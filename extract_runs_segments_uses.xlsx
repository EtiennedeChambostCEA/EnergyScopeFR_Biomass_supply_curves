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281169\Documents\EnergyScope\EnergyScopeFR_Biomass_supply_curves\"/>
    </mc:Choice>
  </mc:AlternateContent>
  <xr:revisionPtr revIDLastSave="0" documentId="13_ncr:1_{605DEF62-AD3C-4200-BD8D-BFC8A623AD02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esources 2050" sheetId="4" r:id="rId1"/>
    <sheet name="Results HIGH" sheetId="5" r:id="rId2"/>
    <sheet name="Results MED" sheetId="9" r:id="rId3"/>
    <sheet name="Results LOW" sheetId="10" r:id="rId4"/>
    <sheet name="Graphs" sheetId="8" r:id="rId5"/>
    <sheet name="runs" sheetId="1" r:id="rId6"/>
    <sheet name="segments" sheetId="2" r:id="rId7"/>
    <sheet name="use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7" i="5" l="1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X7" i="5" a="1"/>
  <c r="X7" i="5" s="1"/>
  <c r="X8" i="5" a="1"/>
  <c r="X8" i="5" s="1"/>
  <c r="X9" i="5" a="1"/>
  <c r="X9" i="5" s="1"/>
  <c r="X10" i="5" a="1"/>
  <c r="X10" i="5" s="1"/>
  <c r="X11" i="5" a="1"/>
  <c r="X11" i="5" s="1"/>
  <c r="X12" i="5" a="1"/>
  <c r="X12" i="5" s="1"/>
  <c r="X13" i="5" a="1"/>
  <c r="X13" i="5" s="1"/>
  <c r="X14" i="5" a="1"/>
  <c r="X14" i="5" s="1"/>
  <c r="X15" i="5" a="1"/>
  <c r="X15" i="5" s="1"/>
  <c r="X16" i="5" a="1"/>
  <c r="X16" i="5" s="1"/>
  <c r="X17" i="5" a="1"/>
  <c r="X17" i="5" s="1"/>
  <c r="X18" i="5" a="1"/>
  <c r="X18" i="5" s="1"/>
  <c r="X19" i="5" a="1"/>
  <c r="X19" i="5" s="1"/>
  <c r="X20" i="5" a="1"/>
  <c r="X20" i="5" s="1"/>
  <c r="X21" i="5" a="1"/>
  <c r="X21" i="5" s="1"/>
  <c r="X22" i="5" a="1"/>
  <c r="X22" i="5" s="1"/>
  <c r="X23" i="5" a="1"/>
  <c r="X23" i="5" s="1"/>
  <c r="X24" i="5" a="1"/>
  <c r="X24" i="5" s="1"/>
  <c r="X25" i="5" a="1"/>
  <c r="X25" i="5" s="1"/>
  <c r="X26" i="5" a="1"/>
  <c r="X26" i="5" s="1"/>
  <c r="X27" i="5" a="1"/>
  <c r="X27" i="5" s="1"/>
  <c r="X28" i="5" a="1"/>
  <c r="X28" i="5" s="1"/>
  <c r="X29" i="5" a="1"/>
  <c r="X29" i="5" s="1"/>
  <c r="X30" i="5" a="1"/>
  <c r="X30" i="5" s="1"/>
  <c r="X31" i="5" a="1"/>
  <c r="X31" i="5" s="1"/>
  <c r="X32" i="5" a="1"/>
  <c r="X32" i="5" s="1"/>
  <c r="X33" i="5" a="1"/>
  <c r="X33" i="5" s="1"/>
  <c r="X34" i="5" a="1"/>
  <c r="X34" i="5" s="1"/>
  <c r="X35" i="5" a="1"/>
  <c r="X35" i="5" s="1"/>
  <c r="X36" i="5" a="1"/>
  <c r="X36" i="5" s="1"/>
  <c r="X37" i="5" a="1"/>
  <c r="X37" i="5" s="1"/>
  <c r="X38" i="5" a="1"/>
  <c r="X38" i="5"/>
  <c r="X39" i="5" a="1"/>
  <c r="X39" i="5" s="1"/>
  <c r="X40" i="5" a="1"/>
  <c r="X40" i="5" s="1"/>
  <c r="X41" i="5" a="1"/>
  <c r="X41" i="5" s="1"/>
  <c r="X42" i="5" a="1"/>
  <c r="X42" i="5" s="1"/>
  <c r="X43" i="5" a="1"/>
  <c r="X43" i="5" s="1"/>
  <c r="X44" i="5" a="1"/>
  <c r="X44" i="5" s="1"/>
  <c r="X45" i="5" a="1"/>
  <c r="X45" i="5" s="1"/>
  <c r="X46" i="5" a="1"/>
  <c r="X46" i="5" s="1"/>
  <c r="X47" i="5" a="1"/>
  <c r="X47" i="5" s="1"/>
  <c r="X48" i="5" a="1"/>
  <c r="X48" i="5" s="1"/>
  <c r="X49" i="5" a="1"/>
  <c r="X49" i="5" s="1"/>
  <c r="X50" i="5" a="1"/>
  <c r="X50" i="5" s="1"/>
  <c r="X51" i="5" a="1"/>
  <c r="X51" i="5" s="1"/>
  <c r="X52" i="5" a="1"/>
  <c r="X52" i="5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J2" i="5" l="1" a="1"/>
  <c r="J2" i="5" s="1"/>
  <c r="L2" i="5" s="1"/>
  <c r="J3" i="5" a="1"/>
  <c r="J3" i="5" s="1"/>
  <c r="L3" i="5" s="1"/>
  <c r="J4" i="5" a="1"/>
  <c r="J4" i="5" s="1"/>
  <c r="L4" i="5" s="1"/>
  <c r="J5" i="5" a="1"/>
  <c r="J5" i="5" s="1"/>
  <c r="L5" i="5" s="1"/>
  <c r="J6" i="5" a="1"/>
  <c r="J6" i="5" s="1"/>
  <c r="L6" i="5" s="1"/>
  <c r="J7" i="5" a="1"/>
  <c r="J7" i="5" s="1"/>
  <c r="L7" i="5" s="1"/>
  <c r="J8" i="5" a="1"/>
  <c r="J8" i="5" s="1"/>
  <c r="L8" i="5" s="1"/>
  <c r="J9" i="5" a="1"/>
  <c r="J9" i="5" s="1"/>
  <c r="L9" i="5" s="1"/>
  <c r="J10" i="5" a="1"/>
  <c r="J10" i="5" s="1"/>
  <c r="L10" i="5" s="1"/>
  <c r="J11" i="5" a="1"/>
  <c r="J11" i="5" s="1"/>
  <c r="L11" i="5" s="1"/>
  <c r="J12" i="5" a="1"/>
  <c r="J12" i="5" s="1"/>
  <c r="L12" i="5" s="1"/>
  <c r="J13" i="5" a="1"/>
  <c r="J13" i="5" s="1"/>
  <c r="L13" i="5" s="1"/>
  <c r="J14" i="5" a="1"/>
  <c r="J14" i="5" s="1"/>
  <c r="L14" i="5" s="1"/>
  <c r="J15" i="5" a="1"/>
  <c r="J15" i="5" s="1"/>
  <c r="L15" i="5" s="1"/>
  <c r="J16" i="5" a="1"/>
  <c r="J16" i="5" s="1"/>
  <c r="L16" i="5" s="1"/>
  <c r="J17" i="5" a="1"/>
  <c r="J17" i="5" s="1"/>
  <c r="L17" i="5" s="1"/>
  <c r="J18" i="5" a="1"/>
  <c r="J18" i="5"/>
  <c r="L18" i="5" s="1"/>
  <c r="J19" i="5" a="1"/>
  <c r="J19" i="5" s="1"/>
  <c r="L19" i="5" s="1"/>
  <c r="J20" i="5" a="1"/>
  <c r="J20" i="5" s="1"/>
  <c r="L20" i="5" s="1"/>
  <c r="J21" i="5" a="1"/>
  <c r="J21" i="5" s="1"/>
  <c r="L21" i="5" s="1"/>
  <c r="J22" i="5" a="1"/>
  <c r="J22" i="5" s="1"/>
  <c r="L22" i="5" s="1"/>
  <c r="J23" i="5" a="1"/>
  <c r="J23" i="5" s="1"/>
  <c r="L23" i="5" s="1"/>
  <c r="J24" i="5" a="1"/>
  <c r="J24" i="5" s="1"/>
  <c r="L24" i="5" s="1"/>
  <c r="J25" i="5" a="1"/>
  <c r="J25" i="5" s="1"/>
  <c r="L25" i="5" s="1"/>
  <c r="J26" i="5" a="1"/>
  <c r="J26" i="5" s="1"/>
  <c r="L26" i="5" s="1"/>
  <c r="J27" i="5" a="1"/>
  <c r="J27" i="5" s="1"/>
  <c r="L27" i="5" s="1"/>
  <c r="J28" i="5" a="1"/>
  <c r="J28" i="5" s="1"/>
  <c r="L28" i="5" s="1"/>
  <c r="J29" i="5" a="1"/>
  <c r="J29" i="5" s="1"/>
  <c r="L29" i="5" s="1"/>
  <c r="J30" i="5" a="1"/>
  <c r="J30" i="5" s="1"/>
  <c r="L30" i="5" s="1"/>
  <c r="J31" i="5" a="1"/>
  <c r="J31" i="5" s="1"/>
  <c r="L31" i="5" s="1"/>
  <c r="J32" i="5" a="1"/>
  <c r="J32" i="5" s="1"/>
  <c r="L32" i="5" s="1"/>
  <c r="J33" i="5" a="1"/>
  <c r="J33" i="5" s="1"/>
  <c r="L33" i="5" s="1"/>
  <c r="J34" i="5" a="1"/>
  <c r="J34" i="5"/>
  <c r="L34" i="5" s="1"/>
  <c r="J35" i="5" a="1"/>
  <c r="J35" i="5" s="1"/>
  <c r="L35" i="5" s="1"/>
  <c r="J36" i="5" a="1"/>
  <c r="J36" i="5" s="1"/>
  <c r="L36" i="5" s="1"/>
  <c r="J37" i="5" a="1"/>
  <c r="J37" i="5" s="1"/>
  <c r="L37" i="5" s="1"/>
  <c r="J38" i="5" a="1"/>
  <c r="J38" i="5" s="1"/>
  <c r="L38" i="5" s="1"/>
  <c r="J39" i="5" a="1"/>
  <c r="J39" i="5" s="1"/>
  <c r="L39" i="5" s="1"/>
  <c r="J40" i="5" a="1"/>
  <c r="J40" i="5" s="1"/>
  <c r="L40" i="5" s="1"/>
  <c r="J41" i="5" a="1"/>
  <c r="J41" i="5" s="1"/>
  <c r="L41" i="5" s="1"/>
  <c r="J42" i="5" a="1"/>
  <c r="J42" i="5" s="1"/>
  <c r="L42" i="5" s="1"/>
  <c r="J43" i="5" a="1"/>
  <c r="J43" i="5" s="1"/>
  <c r="L43" i="5" s="1"/>
  <c r="J44" i="5" a="1"/>
  <c r="J44" i="5" s="1"/>
  <c r="L44" i="5" s="1"/>
  <c r="J45" i="5" a="1"/>
  <c r="J45" i="5" s="1"/>
  <c r="L45" i="5" s="1"/>
  <c r="J46" i="5" a="1"/>
  <c r="J46" i="5" s="1"/>
  <c r="L46" i="5" s="1"/>
  <c r="J47" i="5" a="1"/>
  <c r="J47" i="5" s="1"/>
  <c r="L47" i="5" s="1"/>
  <c r="J48" i="5" a="1"/>
  <c r="J48" i="5" s="1"/>
  <c r="L48" i="5" s="1"/>
  <c r="J49" i="5" a="1"/>
  <c r="J49" i="5" s="1"/>
  <c r="L49" i="5" s="1"/>
  <c r="J50" i="5" a="1"/>
  <c r="J50" i="5" s="1"/>
  <c r="L50" i="5" s="1"/>
  <c r="J51" i="5" a="1"/>
  <c r="J51" i="5" s="1"/>
  <c r="L51" i="5" s="1"/>
  <c r="J52" i="5" a="1"/>
  <c r="J52" i="5" s="1"/>
  <c r="L52" i="5" s="1"/>
  <c r="J53" i="5" a="1"/>
  <c r="J53" i="5" s="1"/>
  <c r="L53" i="5" s="1"/>
  <c r="J54" i="5" a="1"/>
  <c r="J54" i="5" s="1"/>
  <c r="L54" i="5" s="1"/>
  <c r="J55" i="5" a="1"/>
  <c r="J55" i="5" s="1"/>
  <c r="L55" i="5" s="1"/>
  <c r="J56" i="5" a="1"/>
  <c r="J56" i="5" s="1"/>
  <c r="L56" i="5" s="1"/>
  <c r="J57" i="5" a="1"/>
  <c r="J57" i="5" s="1"/>
  <c r="L57" i="5" s="1"/>
  <c r="J58" i="5" a="1"/>
  <c r="J58" i="5" s="1"/>
  <c r="L58" i="5" s="1"/>
  <c r="J59" i="5" a="1"/>
  <c r="J59" i="5" s="1"/>
  <c r="L59" i="5" s="1"/>
  <c r="J60" i="5" a="1"/>
  <c r="J60" i="5" s="1"/>
  <c r="L60" i="5" s="1"/>
  <c r="J61" i="5" a="1"/>
  <c r="J61" i="5" s="1"/>
  <c r="L61" i="5" s="1"/>
  <c r="J62" i="5" a="1"/>
  <c r="J62" i="5" s="1"/>
  <c r="L62" i="5" s="1"/>
  <c r="J63" i="5" a="1"/>
  <c r="J63" i="5" s="1"/>
  <c r="L63" i="5" s="1"/>
  <c r="J64" i="5" a="1"/>
  <c r="J64" i="5" s="1"/>
  <c r="L64" i="5" s="1"/>
  <c r="J65" i="5" a="1"/>
  <c r="J65" i="5" s="1"/>
  <c r="L65" i="5" s="1"/>
  <c r="J66" i="5" a="1"/>
  <c r="J66" i="5" s="1"/>
  <c r="L66" i="5" s="1"/>
  <c r="J67" i="5" a="1"/>
  <c r="J67" i="5" s="1"/>
  <c r="L67" i="5" s="1"/>
  <c r="J68" i="5" a="1"/>
  <c r="J68" i="5" s="1"/>
  <c r="L68" i="5" s="1"/>
  <c r="J69" i="5" a="1"/>
  <c r="J69" i="5" s="1"/>
  <c r="L69" i="5" s="1"/>
  <c r="J70" i="5" a="1"/>
  <c r="J70" i="5" s="1"/>
  <c r="L70" i="5" s="1"/>
  <c r="J71" i="5" a="1"/>
  <c r="J71" i="5" s="1"/>
  <c r="L71" i="5" s="1"/>
  <c r="J72" i="5" a="1"/>
  <c r="J72" i="5" s="1"/>
  <c r="L72" i="5" s="1"/>
  <c r="J73" i="5" a="1"/>
  <c r="J73" i="5" s="1"/>
  <c r="L73" i="5" s="1"/>
  <c r="J74" i="5" a="1"/>
  <c r="J74" i="5" s="1"/>
  <c r="L74" i="5" s="1"/>
  <c r="J75" i="5" a="1"/>
  <c r="J75" i="5" s="1"/>
  <c r="L75" i="5" s="1"/>
  <c r="J76" i="5" a="1"/>
  <c r="J76" i="5" s="1"/>
  <c r="L76" i="5" s="1"/>
  <c r="J77" i="5" a="1"/>
  <c r="J77" i="5" s="1"/>
  <c r="L77" i="5" s="1"/>
  <c r="J78" i="5" a="1"/>
  <c r="J78" i="5" s="1"/>
  <c r="L78" i="5" s="1"/>
  <c r="J79" i="5" a="1"/>
  <c r="J79" i="5" s="1"/>
  <c r="L79" i="5" s="1"/>
  <c r="J80" i="5" a="1"/>
  <c r="J80" i="5" s="1"/>
  <c r="L80" i="5" s="1"/>
  <c r="J81" i="5" a="1"/>
  <c r="J81" i="5" s="1"/>
  <c r="L81" i="5" s="1"/>
  <c r="J82" i="5" a="1"/>
  <c r="J82" i="5" s="1"/>
  <c r="L82" i="5" s="1"/>
  <c r="J83" i="5" a="1"/>
  <c r="J83" i="5" s="1"/>
  <c r="L83" i="5" s="1"/>
  <c r="J84" i="5" a="1"/>
  <c r="J84" i="5" s="1"/>
  <c r="L84" i="5" s="1"/>
  <c r="J85" i="5" a="1"/>
  <c r="J85" i="5" s="1"/>
  <c r="L85" i="5" s="1"/>
  <c r="J86" i="5" a="1"/>
  <c r="J86" i="5" s="1"/>
  <c r="L86" i="5" s="1"/>
  <c r="J87" i="5" a="1"/>
  <c r="J87" i="5" s="1"/>
  <c r="L87" i="5" s="1"/>
  <c r="J88" i="5" a="1"/>
  <c r="J88" i="5" s="1"/>
  <c r="L88" i="5" s="1"/>
  <c r="J89" i="5" a="1"/>
  <c r="J89" i="5" s="1"/>
  <c r="L89" i="5" s="1"/>
  <c r="J90" i="5" a="1"/>
  <c r="J90" i="5" s="1"/>
  <c r="L90" i="5" s="1"/>
  <c r="J91" i="5" a="1"/>
  <c r="J91" i="5" s="1"/>
  <c r="L91" i="5" s="1"/>
  <c r="J92" i="5" a="1"/>
  <c r="J92" i="5" s="1"/>
  <c r="L92" i="5" s="1"/>
  <c r="J93" i="5" a="1"/>
  <c r="J93" i="5" s="1"/>
  <c r="L93" i="5" s="1"/>
  <c r="J94" i="5" a="1"/>
  <c r="J94" i="5" s="1"/>
  <c r="L94" i="5" s="1"/>
  <c r="J95" i="5" a="1"/>
  <c r="J95" i="5" s="1"/>
  <c r="L95" i="5" s="1"/>
  <c r="I2" i="5" a="1"/>
  <c r="I2" i="5" s="1"/>
  <c r="P2" i="5" s="1"/>
  <c r="AG10" i="5" a="1"/>
  <c r="AG10" i="5" s="1"/>
  <c r="AG11" i="5" a="1"/>
  <c r="AG11" i="5" s="1"/>
  <c r="AG12" i="5" a="1"/>
  <c r="AG12" i="5" s="1"/>
  <c r="AG13" i="5" a="1"/>
  <c r="AG13" i="5" s="1"/>
  <c r="AG14" i="5" a="1"/>
  <c r="AG14" i="5" s="1"/>
  <c r="AG15" i="5" a="1"/>
  <c r="AG15" i="5" s="1"/>
  <c r="AG16" i="5" a="1"/>
  <c r="AG16" i="5" s="1"/>
  <c r="AG17" i="5" a="1"/>
  <c r="AG17" i="5" s="1"/>
  <c r="AG18" i="5" a="1"/>
  <c r="AG18" i="5" s="1"/>
  <c r="AG19" i="5" a="1"/>
  <c r="AG19" i="5" s="1"/>
  <c r="AG20" i="5" a="1"/>
  <c r="AG20" i="5" s="1"/>
  <c r="AG21" i="5" a="1"/>
  <c r="AG21" i="5" s="1"/>
  <c r="AG22" i="5" a="1"/>
  <c r="AG22" i="5" s="1"/>
  <c r="AG23" i="5" a="1"/>
  <c r="AG23" i="5" s="1"/>
  <c r="AG24" i="5" a="1"/>
  <c r="AG24" i="5" s="1"/>
  <c r="AG25" i="5" a="1"/>
  <c r="AG25" i="5" s="1"/>
  <c r="AG26" i="5" a="1"/>
  <c r="AG26" i="5" s="1"/>
  <c r="AG27" i="5" a="1"/>
  <c r="AG27" i="5" s="1"/>
  <c r="W7" i="5" a="1"/>
  <c r="W7" i="5" s="1"/>
  <c r="W8" i="5" a="1"/>
  <c r="W8" i="5" s="1"/>
  <c r="W9" i="5" a="1"/>
  <c r="W9" i="5" s="1"/>
  <c r="W10" i="5" a="1"/>
  <c r="W10" i="5" s="1"/>
  <c r="W11" i="5" a="1"/>
  <c r="W11" i="5" s="1"/>
  <c r="W12" i="5" a="1"/>
  <c r="W12" i="5" s="1"/>
  <c r="W13" i="5" a="1"/>
  <c r="W13" i="5" s="1"/>
  <c r="W14" i="5" a="1"/>
  <c r="W14" i="5" s="1"/>
  <c r="W15" i="5" a="1"/>
  <c r="W15" i="5" s="1"/>
  <c r="W16" i="5" a="1"/>
  <c r="W16" i="5" s="1"/>
  <c r="W17" i="5" a="1"/>
  <c r="W17" i="5" s="1"/>
  <c r="W18" i="5" a="1"/>
  <c r="W18" i="5" s="1"/>
  <c r="W19" i="5" a="1"/>
  <c r="W19" i="5" s="1"/>
  <c r="W20" i="5" a="1"/>
  <c r="W20" i="5" s="1"/>
  <c r="W21" i="5" a="1"/>
  <c r="W21" i="5" s="1"/>
  <c r="W22" i="5" a="1"/>
  <c r="W22" i="5" s="1"/>
  <c r="W23" i="5" a="1"/>
  <c r="W23" i="5" s="1"/>
  <c r="W24" i="5" a="1"/>
  <c r="W24" i="5" s="1"/>
  <c r="W25" i="5" a="1"/>
  <c r="W25" i="5" s="1"/>
  <c r="W26" i="5" a="1"/>
  <c r="W26" i="5" s="1"/>
  <c r="W27" i="5" a="1"/>
  <c r="W27" i="5" s="1"/>
  <c r="W28" i="5" a="1"/>
  <c r="W28" i="5" s="1"/>
  <c r="W29" i="5" a="1"/>
  <c r="W29" i="5" s="1"/>
  <c r="W30" i="5" a="1"/>
  <c r="W30" i="5" s="1"/>
  <c r="W31" i="5" a="1"/>
  <c r="W31" i="5" s="1"/>
  <c r="W32" i="5" a="1"/>
  <c r="W32" i="5" s="1"/>
  <c r="W33" i="5" a="1"/>
  <c r="W33" i="5" s="1"/>
  <c r="W34" i="5" a="1"/>
  <c r="W34" i="5" s="1"/>
  <c r="W35" i="5" a="1"/>
  <c r="W35" i="5" s="1"/>
  <c r="W36" i="5" a="1"/>
  <c r="W36" i="5" s="1"/>
  <c r="W37" i="5" a="1"/>
  <c r="W37" i="5" s="1"/>
  <c r="W38" i="5" a="1"/>
  <c r="W38" i="5" s="1"/>
  <c r="W39" i="5" a="1"/>
  <c r="W39" i="5" s="1"/>
  <c r="W40" i="5" a="1"/>
  <c r="W40" i="5" s="1"/>
  <c r="W41" i="5" a="1"/>
  <c r="W41" i="5" s="1"/>
  <c r="W42" i="5" a="1"/>
  <c r="W42" i="5" s="1"/>
  <c r="W43" i="5" a="1"/>
  <c r="W43" i="5" s="1"/>
  <c r="W44" i="5" a="1"/>
  <c r="W44" i="5" s="1"/>
  <c r="W45" i="5" a="1"/>
  <c r="W45" i="5" s="1"/>
  <c r="W46" i="5" a="1"/>
  <c r="W46" i="5" s="1"/>
  <c r="W47" i="5" a="1"/>
  <c r="W47" i="5" s="1"/>
  <c r="W48" i="5" a="1"/>
  <c r="W48" i="5" s="1"/>
  <c r="S49" i="5"/>
  <c r="S50" i="5"/>
  <c r="S51" i="5"/>
  <c r="S52" i="5"/>
  <c r="E94" i="5"/>
  <c r="N94" i="5" s="1"/>
  <c r="E95" i="5"/>
  <c r="N95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AC10" i="5"/>
  <c r="AE10" i="5" s="1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E3" i="5"/>
  <c r="N3" i="5" s="1"/>
  <c r="E4" i="5"/>
  <c r="N4" i="5" s="1"/>
  <c r="E5" i="5"/>
  <c r="N5" i="5" s="1"/>
  <c r="E6" i="5"/>
  <c r="N6" i="5" s="1"/>
  <c r="E7" i="5"/>
  <c r="N7" i="5" s="1"/>
  <c r="E8" i="5"/>
  <c r="N8" i="5" s="1"/>
  <c r="E9" i="5"/>
  <c r="N9" i="5" s="1"/>
  <c r="E10" i="5"/>
  <c r="N10" i="5" s="1"/>
  <c r="E11" i="5"/>
  <c r="N11" i="5" s="1"/>
  <c r="E12" i="5"/>
  <c r="E13" i="5"/>
  <c r="N13" i="5" s="1"/>
  <c r="E14" i="5"/>
  <c r="N14" i="5" s="1"/>
  <c r="E15" i="5"/>
  <c r="N15" i="5" s="1"/>
  <c r="E16" i="5"/>
  <c r="N16" i="5" s="1"/>
  <c r="E17" i="5"/>
  <c r="N17" i="5" s="1"/>
  <c r="E18" i="5"/>
  <c r="N18" i="5" s="1"/>
  <c r="E19" i="5"/>
  <c r="N19" i="5" s="1"/>
  <c r="E20" i="5"/>
  <c r="N20" i="5" s="1"/>
  <c r="E21" i="5"/>
  <c r="N21" i="5" s="1"/>
  <c r="E22" i="5"/>
  <c r="N22" i="5" s="1"/>
  <c r="E23" i="5"/>
  <c r="N23" i="5" s="1"/>
  <c r="E24" i="5"/>
  <c r="N24" i="5" s="1"/>
  <c r="E25" i="5"/>
  <c r="N25" i="5" s="1"/>
  <c r="E26" i="5"/>
  <c r="N26" i="5" s="1"/>
  <c r="E27" i="5"/>
  <c r="N27" i="5" s="1"/>
  <c r="E28" i="5"/>
  <c r="N28" i="5" s="1"/>
  <c r="E29" i="5"/>
  <c r="N29" i="5" s="1"/>
  <c r="E30" i="5"/>
  <c r="N30" i="5" s="1"/>
  <c r="E31" i="5"/>
  <c r="N31" i="5" s="1"/>
  <c r="E32" i="5"/>
  <c r="N32" i="5" s="1"/>
  <c r="E33" i="5"/>
  <c r="N33" i="5" s="1"/>
  <c r="E34" i="5"/>
  <c r="N34" i="5" s="1"/>
  <c r="E35" i="5"/>
  <c r="N35" i="5" s="1"/>
  <c r="E36" i="5"/>
  <c r="N36" i="5" s="1"/>
  <c r="E37" i="5"/>
  <c r="N37" i="5" s="1"/>
  <c r="E38" i="5"/>
  <c r="N38" i="5" s="1"/>
  <c r="E39" i="5"/>
  <c r="N39" i="5" s="1"/>
  <c r="E40" i="5"/>
  <c r="N40" i="5" s="1"/>
  <c r="E41" i="5"/>
  <c r="N41" i="5" s="1"/>
  <c r="E42" i="5"/>
  <c r="N42" i="5" s="1"/>
  <c r="E43" i="5"/>
  <c r="N43" i="5" s="1"/>
  <c r="E44" i="5"/>
  <c r="N44" i="5" s="1"/>
  <c r="E45" i="5"/>
  <c r="N45" i="5" s="1"/>
  <c r="E46" i="5"/>
  <c r="N46" i="5" s="1"/>
  <c r="E47" i="5"/>
  <c r="N47" i="5" s="1"/>
  <c r="E48" i="5"/>
  <c r="N48" i="5" s="1"/>
  <c r="E49" i="5"/>
  <c r="N49" i="5" s="1"/>
  <c r="E50" i="5"/>
  <c r="N50" i="5" s="1"/>
  <c r="E51" i="5"/>
  <c r="N51" i="5" s="1"/>
  <c r="E52" i="5"/>
  <c r="N52" i="5" s="1"/>
  <c r="E53" i="5"/>
  <c r="N53" i="5" s="1"/>
  <c r="E54" i="5"/>
  <c r="N54" i="5" s="1"/>
  <c r="E55" i="5"/>
  <c r="N55" i="5" s="1"/>
  <c r="E56" i="5"/>
  <c r="N56" i="5" s="1"/>
  <c r="E57" i="5"/>
  <c r="N57" i="5" s="1"/>
  <c r="E58" i="5"/>
  <c r="N58" i="5" s="1"/>
  <c r="E59" i="5"/>
  <c r="N59" i="5" s="1"/>
  <c r="E60" i="5"/>
  <c r="N60" i="5" s="1"/>
  <c r="E61" i="5"/>
  <c r="N61" i="5" s="1"/>
  <c r="E62" i="5"/>
  <c r="N62" i="5" s="1"/>
  <c r="E63" i="5"/>
  <c r="N63" i="5" s="1"/>
  <c r="E64" i="5"/>
  <c r="N64" i="5" s="1"/>
  <c r="E65" i="5"/>
  <c r="N65" i="5" s="1"/>
  <c r="E66" i="5"/>
  <c r="N66" i="5" s="1"/>
  <c r="E67" i="5"/>
  <c r="N67" i="5" s="1"/>
  <c r="E68" i="5"/>
  <c r="N68" i="5" s="1"/>
  <c r="E69" i="5"/>
  <c r="N69" i="5" s="1"/>
  <c r="E70" i="5"/>
  <c r="N70" i="5" s="1"/>
  <c r="E71" i="5"/>
  <c r="N71" i="5" s="1"/>
  <c r="E72" i="5"/>
  <c r="N72" i="5" s="1"/>
  <c r="E73" i="5"/>
  <c r="N73" i="5" s="1"/>
  <c r="E74" i="5"/>
  <c r="N74" i="5" s="1"/>
  <c r="E75" i="5"/>
  <c r="N75" i="5" s="1"/>
  <c r="E76" i="5"/>
  <c r="N76" i="5" s="1"/>
  <c r="E77" i="5"/>
  <c r="N77" i="5" s="1"/>
  <c r="E78" i="5"/>
  <c r="N78" i="5" s="1"/>
  <c r="E79" i="5"/>
  <c r="N79" i="5" s="1"/>
  <c r="E80" i="5"/>
  <c r="N80" i="5" s="1"/>
  <c r="E81" i="5"/>
  <c r="N81" i="5" s="1"/>
  <c r="E82" i="5"/>
  <c r="N82" i="5" s="1"/>
  <c r="E83" i="5"/>
  <c r="N83" i="5" s="1"/>
  <c r="E84" i="5"/>
  <c r="N84" i="5" s="1"/>
  <c r="E85" i="5"/>
  <c r="N85" i="5" s="1"/>
  <c r="E86" i="5"/>
  <c r="N86" i="5" s="1"/>
  <c r="E87" i="5"/>
  <c r="N87" i="5" s="1"/>
  <c r="E88" i="5"/>
  <c r="N88" i="5" s="1"/>
  <c r="E89" i="5"/>
  <c r="N89" i="5" s="1"/>
  <c r="E90" i="5"/>
  <c r="N90" i="5" s="1"/>
  <c r="E91" i="5"/>
  <c r="N91" i="5" s="1"/>
  <c r="E92" i="5"/>
  <c r="N92" i="5" s="1"/>
  <c r="E93" i="5"/>
  <c r="N93" i="5" s="1"/>
  <c r="O84" i="5" l="1"/>
  <c r="P84" i="5"/>
  <c r="O24" i="5"/>
  <c r="P24" i="5"/>
  <c r="O63" i="5"/>
  <c r="P63" i="5"/>
  <c r="O3" i="5"/>
  <c r="P3" i="5"/>
  <c r="O62" i="5"/>
  <c r="P62" i="5"/>
  <c r="O41" i="5"/>
  <c r="P41" i="5"/>
  <c r="O60" i="5"/>
  <c r="P60" i="5"/>
  <c r="O59" i="5"/>
  <c r="P59" i="5"/>
  <c r="O78" i="5"/>
  <c r="P78" i="5"/>
  <c r="O18" i="5"/>
  <c r="P18" i="5"/>
  <c r="O57" i="5"/>
  <c r="P57" i="5"/>
  <c r="O36" i="5"/>
  <c r="P36" i="5"/>
  <c r="O55" i="5"/>
  <c r="P55" i="5"/>
  <c r="O74" i="5"/>
  <c r="P74" i="5"/>
  <c r="O14" i="5"/>
  <c r="P14" i="5"/>
  <c r="O93" i="5"/>
  <c r="P93" i="5"/>
  <c r="O33" i="5"/>
  <c r="P33" i="5"/>
  <c r="O92" i="5"/>
  <c r="P92" i="5"/>
  <c r="O32" i="5"/>
  <c r="P32" i="5"/>
  <c r="O71" i="5"/>
  <c r="P71" i="5"/>
  <c r="O11" i="5"/>
  <c r="P11" i="5"/>
  <c r="O90" i="5"/>
  <c r="P90" i="5"/>
  <c r="O30" i="5"/>
  <c r="P30" i="5"/>
  <c r="O69" i="5"/>
  <c r="P69" i="5"/>
  <c r="O29" i="5"/>
  <c r="P29" i="5"/>
  <c r="O68" i="5"/>
  <c r="P68" i="5"/>
  <c r="O48" i="5"/>
  <c r="P48" i="5"/>
  <c r="O28" i="5"/>
  <c r="P28" i="5"/>
  <c r="O8" i="5"/>
  <c r="P8" i="5"/>
  <c r="O64" i="5"/>
  <c r="P64" i="5"/>
  <c r="O4" i="5"/>
  <c r="P4" i="5"/>
  <c r="O83" i="5"/>
  <c r="P83" i="5"/>
  <c r="O23" i="5"/>
  <c r="P23" i="5"/>
  <c r="O82" i="5"/>
  <c r="P82" i="5"/>
  <c r="O22" i="5"/>
  <c r="P22" i="5"/>
  <c r="O61" i="5"/>
  <c r="P61" i="5"/>
  <c r="O40" i="5"/>
  <c r="P40" i="5"/>
  <c r="O79" i="5"/>
  <c r="P79" i="5"/>
  <c r="O19" i="5"/>
  <c r="P19" i="5"/>
  <c r="O38" i="5"/>
  <c r="P38" i="5"/>
  <c r="O77" i="5"/>
  <c r="P77" i="5"/>
  <c r="O17" i="5"/>
  <c r="P17" i="5"/>
  <c r="O76" i="5"/>
  <c r="P76" i="5"/>
  <c r="O16" i="5"/>
  <c r="P16" i="5"/>
  <c r="O75" i="5"/>
  <c r="P75" i="5"/>
  <c r="O15" i="5"/>
  <c r="P15" i="5"/>
  <c r="O94" i="5"/>
  <c r="P94" i="5"/>
  <c r="O34" i="5"/>
  <c r="P34" i="5"/>
  <c r="O73" i="5"/>
  <c r="P73" i="5"/>
  <c r="O72" i="5"/>
  <c r="P72" i="5"/>
  <c r="O12" i="5"/>
  <c r="P12" i="5"/>
  <c r="O31" i="5"/>
  <c r="P31" i="5"/>
  <c r="O70" i="5"/>
  <c r="P70" i="5"/>
  <c r="O89" i="5"/>
  <c r="P89" i="5"/>
  <c r="O49" i="5"/>
  <c r="P49" i="5"/>
  <c r="O9" i="5"/>
  <c r="P9" i="5"/>
  <c r="O88" i="5"/>
  <c r="P88" i="5"/>
  <c r="O87" i="5"/>
  <c r="P87" i="5"/>
  <c r="O67" i="5"/>
  <c r="P67" i="5"/>
  <c r="O47" i="5"/>
  <c r="P47" i="5"/>
  <c r="O27" i="5"/>
  <c r="P27" i="5"/>
  <c r="O7" i="5"/>
  <c r="P7" i="5"/>
  <c r="O44" i="5"/>
  <c r="P44" i="5"/>
  <c r="O43" i="5"/>
  <c r="P43" i="5"/>
  <c r="O42" i="5"/>
  <c r="P42" i="5"/>
  <c r="O81" i="5"/>
  <c r="P81" i="5"/>
  <c r="O21" i="5"/>
  <c r="P21" i="5"/>
  <c r="O80" i="5"/>
  <c r="P80" i="5"/>
  <c r="O20" i="5"/>
  <c r="P20" i="5"/>
  <c r="O39" i="5"/>
  <c r="P39" i="5"/>
  <c r="O58" i="5"/>
  <c r="P58" i="5"/>
  <c r="O37" i="5"/>
  <c r="P37" i="5"/>
  <c r="O56" i="5"/>
  <c r="P56" i="5"/>
  <c r="O95" i="5"/>
  <c r="P95" i="5"/>
  <c r="O35" i="5"/>
  <c r="P35" i="5"/>
  <c r="O54" i="5"/>
  <c r="P54" i="5"/>
  <c r="O53" i="5"/>
  <c r="P53" i="5"/>
  <c r="O13" i="5"/>
  <c r="P13" i="5"/>
  <c r="O52" i="5"/>
  <c r="P52" i="5"/>
  <c r="O91" i="5"/>
  <c r="P91" i="5"/>
  <c r="O51" i="5"/>
  <c r="P51" i="5"/>
  <c r="O50" i="5"/>
  <c r="P50" i="5"/>
  <c r="O10" i="5"/>
  <c r="P10" i="5"/>
  <c r="O86" i="5"/>
  <c r="P86" i="5"/>
  <c r="O66" i="5"/>
  <c r="P66" i="5"/>
  <c r="O46" i="5"/>
  <c r="P46" i="5"/>
  <c r="O26" i="5"/>
  <c r="P26" i="5"/>
  <c r="O6" i="5"/>
  <c r="P6" i="5"/>
  <c r="O85" i="5"/>
  <c r="P85" i="5"/>
  <c r="O65" i="5"/>
  <c r="P65" i="5"/>
  <c r="O45" i="5"/>
  <c r="P45" i="5"/>
  <c r="O25" i="5"/>
  <c r="P25" i="5"/>
  <c r="O5" i="5"/>
  <c r="P5" i="5"/>
  <c r="M59" i="5"/>
  <c r="M47" i="5"/>
  <c r="M41" i="5"/>
  <c r="M20" i="5"/>
  <c r="M39" i="5"/>
  <c r="M87" i="5"/>
  <c r="M81" i="5"/>
  <c r="M61" i="5"/>
  <c r="M40" i="5"/>
  <c r="M27" i="5"/>
  <c r="M21" i="5"/>
  <c r="M19" i="5"/>
  <c r="M80" i="5"/>
  <c r="M79" i="5"/>
  <c r="M67" i="5"/>
  <c r="M60" i="5"/>
  <c r="M85" i="5"/>
  <c r="M65" i="5"/>
  <c r="M45" i="5"/>
  <c r="M25" i="5"/>
  <c r="M3" i="5"/>
  <c r="M83" i="5"/>
  <c r="M63" i="5"/>
  <c r="M43" i="5"/>
  <c r="M23" i="5"/>
  <c r="M82" i="5"/>
  <c r="M62" i="5"/>
  <c r="M42" i="5"/>
  <c r="M22" i="5"/>
  <c r="M78" i="5"/>
  <c r="M58" i="5"/>
  <c r="M38" i="5"/>
  <c r="M18" i="5"/>
  <c r="M77" i="5"/>
  <c r="M57" i="5"/>
  <c r="M37" i="5"/>
  <c r="M17" i="5"/>
  <c r="M76" i="5"/>
  <c r="M56" i="5"/>
  <c r="M36" i="5"/>
  <c r="M16" i="5"/>
  <c r="M95" i="5"/>
  <c r="M75" i="5"/>
  <c r="M55" i="5"/>
  <c r="M15" i="5"/>
  <c r="M94" i="5"/>
  <c r="M74" i="5"/>
  <c r="M54" i="5"/>
  <c r="M34" i="5"/>
  <c r="M14" i="5"/>
  <c r="M93" i="5"/>
  <c r="M73" i="5"/>
  <c r="M53" i="5"/>
  <c r="M33" i="5"/>
  <c r="M13" i="5"/>
  <c r="M92" i="5"/>
  <c r="M72" i="5"/>
  <c r="M52" i="5"/>
  <c r="M32" i="5"/>
  <c r="M12" i="5"/>
  <c r="M91" i="5"/>
  <c r="M71" i="5"/>
  <c r="M51" i="5"/>
  <c r="M31" i="5"/>
  <c r="M11" i="5"/>
  <c r="M10" i="5"/>
  <c r="M89" i="5"/>
  <c r="M69" i="5"/>
  <c r="M49" i="5"/>
  <c r="M29" i="5"/>
  <c r="M9" i="5"/>
  <c r="M35" i="5"/>
  <c r="M90" i="5"/>
  <c r="M70" i="5"/>
  <c r="M50" i="5"/>
  <c r="M30" i="5"/>
  <c r="M88" i="5"/>
  <c r="M68" i="5"/>
  <c r="M48" i="5"/>
  <c r="M28" i="5"/>
  <c r="M8" i="5"/>
  <c r="M7" i="5"/>
  <c r="M86" i="5"/>
  <c r="M66" i="5"/>
  <c r="M46" i="5"/>
  <c r="M26" i="5"/>
  <c r="M6" i="5"/>
  <c r="M5" i="5"/>
  <c r="M2" i="5"/>
  <c r="M84" i="5"/>
  <c r="M64" i="5"/>
  <c r="M44" i="5"/>
  <c r="M24" i="5"/>
  <c r="M4" i="5"/>
  <c r="AE12" i="5"/>
  <c r="AE23" i="5"/>
  <c r="AE22" i="5"/>
  <c r="AE25" i="5"/>
  <c r="AE19" i="5"/>
  <c r="AE18" i="5"/>
  <c r="U44" i="5"/>
  <c r="U33" i="5"/>
  <c r="AE17" i="5"/>
  <c r="AE16" i="5"/>
  <c r="U19" i="5"/>
  <c r="AE15" i="5"/>
  <c r="AE14" i="5"/>
  <c r="AE13" i="5"/>
  <c r="AE21" i="5"/>
  <c r="AE27" i="5"/>
  <c r="U9" i="5"/>
  <c r="AE11" i="5"/>
  <c r="AE20" i="5"/>
  <c r="AE26" i="5"/>
  <c r="AE24" i="5"/>
  <c r="U18" i="5"/>
  <c r="U17" i="5"/>
  <c r="U14" i="5"/>
  <c r="U13" i="5"/>
  <c r="U12" i="5"/>
  <c r="U37" i="5"/>
  <c r="U15" i="5"/>
  <c r="U10" i="5"/>
  <c r="U8" i="5"/>
  <c r="U36" i="5"/>
  <c r="U11" i="5"/>
  <c r="G76" i="5"/>
  <c r="U35" i="5"/>
  <c r="U21" i="5"/>
  <c r="U34" i="5"/>
  <c r="U20" i="5"/>
  <c r="G66" i="5"/>
  <c r="U32" i="5"/>
  <c r="G78" i="5"/>
  <c r="U31" i="5"/>
  <c r="G11" i="5"/>
  <c r="U30" i="5"/>
  <c r="U29" i="5"/>
  <c r="U16" i="5"/>
  <c r="U28" i="5"/>
  <c r="G15" i="5"/>
  <c r="U27" i="5"/>
  <c r="U24" i="5"/>
  <c r="G65" i="5"/>
  <c r="U22" i="5"/>
  <c r="U23" i="5"/>
  <c r="U42" i="5"/>
  <c r="U43" i="5"/>
  <c r="U41" i="5"/>
  <c r="U48" i="5"/>
  <c r="U40" i="5"/>
  <c r="U47" i="5"/>
  <c r="U26" i="5"/>
  <c r="U39" i="5"/>
  <c r="U46" i="5"/>
  <c r="U7" i="5"/>
  <c r="U38" i="5"/>
  <c r="U45" i="5"/>
  <c r="U25" i="5"/>
  <c r="G72" i="5"/>
  <c r="G36" i="5"/>
  <c r="G90" i="5"/>
  <c r="G29" i="5"/>
  <c r="G16" i="5"/>
  <c r="G81" i="5"/>
  <c r="G62" i="5"/>
  <c r="G12" i="5"/>
  <c r="G79" i="5"/>
  <c r="G37" i="5"/>
  <c r="G34" i="5"/>
  <c r="G89" i="5"/>
  <c r="G50" i="5"/>
  <c r="G28" i="5"/>
  <c r="G6" i="5"/>
  <c r="G88" i="5"/>
  <c r="G49" i="5"/>
  <c r="G27" i="5"/>
  <c r="G3" i="5"/>
  <c r="G17" i="5"/>
  <c r="G85" i="5"/>
  <c r="G57" i="5"/>
  <c r="G14" i="5"/>
  <c r="G61" i="5"/>
  <c r="G18" i="5"/>
  <c r="G35" i="5"/>
  <c r="G51" i="5"/>
  <c r="G7" i="5"/>
  <c r="G86" i="5"/>
  <c r="G47" i="5"/>
  <c r="G38" i="5"/>
  <c r="G67" i="5"/>
  <c r="G56" i="5"/>
  <c r="G13" i="5"/>
  <c r="G75" i="5"/>
  <c r="G55" i="5"/>
  <c r="G77" i="5"/>
  <c r="G64" i="5"/>
  <c r="G33" i="5"/>
  <c r="G63" i="5"/>
  <c r="G80" i="5"/>
  <c r="G41" i="5"/>
  <c r="G95" i="5"/>
  <c r="G22" i="5"/>
  <c r="G42" i="5"/>
  <c r="G94" i="5"/>
  <c r="G10" i="5"/>
  <c r="G32" i="5"/>
  <c r="G54" i="5"/>
  <c r="G60" i="5"/>
  <c r="G93" i="5"/>
  <c r="G9" i="5"/>
  <c r="G31" i="5"/>
  <c r="G53" i="5"/>
  <c r="G59" i="5"/>
  <c r="G92" i="5"/>
  <c r="G8" i="5"/>
  <c r="G30" i="5"/>
  <c r="G52" i="5"/>
  <c r="G58" i="5"/>
  <c r="G91" i="5"/>
  <c r="G68" i="5"/>
  <c r="G4" i="5"/>
  <c r="G26" i="5"/>
  <c r="G48" i="5"/>
  <c r="G87" i="5"/>
  <c r="G73" i="5"/>
  <c r="G24" i="5"/>
  <c r="G46" i="5"/>
  <c r="G21" i="5"/>
  <c r="G23" i="5"/>
  <c r="G45" i="5"/>
  <c r="G71" i="5"/>
  <c r="G84" i="5"/>
  <c r="G20" i="5"/>
  <c r="G40" i="5"/>
  <c r="G44" i="5"/>
  <c r="G70" i="5"/>
  <c r="G83" i="5"/>
  <c r="G19" i="5"/>
  <c r="G39" i="5"/>
  <c r="G43" i="5"/>
  <c r="G69" i="5"/>
  <c r="G82" i="5"/>
  <c r="G5" i="5"/>
  <c r="G74" i="5"/>
  <c r="G2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<sst xmlns="http://schemas.openxmlformats.org/spreadsheetml/2006/main" count="13120" uniqueCount="164">
  <si>
    <t>run_id</t>
  </si>
  <si>
    <t>wood_cap</t>
  </si>
  <si>
    <t>total_cost</t>
  </si>
  <si>
    <t>wood_injected_GWh</t>
  </si>
  <si>
    <t>wood_consumed_GWh</t>
  </si>
  <si>
    <t>segment</t>
  </si>
  <si>
    <t>APPLES</t>
  </si>
  <si>
    <t>CEREALSTRAW</t>
  </si>
  <si>
    <t>CHERRIES</t>
  </si>
  <si>
    <t>CP_RES</t>
  </si>
  <si>
    <t>CP_RW</t>
  </si>
  <si>
    <t>FUELWOODRW</t>
  </si>
  <si>
    <t>FUELWOOD_RES</t>
  </si>
  <si>
    <t>LANDSCAPECARE</t>
  </si>
  <si>
    <t>MAIZESTRAW</t>
  </si>
  <si>
    <t>MISCANTHUS</t>
  </si>
  <si>
    <t>MSW</t>
  </si>
  <si>
    <t>OLIVES</t>
  </si>
  <si>
    <t>OLIVE_PITS</t>
  </si>
  <si>
    <t>OSR</t>
  </si>
  <si>
    <t>OTHERSECRESID</t>
  </si>
  <si>
    <t>POPLAR</t>
  </si>
  <si>
    <t>RICESTRAW</t>
  </si>
  <si>
    <t>SAWDUST</t>
  </si>
  <si>
    <t>SWITCHGRASS</t>
  </si>
  <si>
    <t>VINEYARDS</t>
  </si>
  <si>
    <t>WILLOW</t>
  </si>
  <si>
    <t>technology</t>
  </si>
  <si>
    <t>BIOMASS_SEQUESTRATION</t>
  </si>
  <si>
    <t>BIOMASS_TO_HVC</t>
  </si>
  <si>
    <t>DEC_BOILER_WOOD</t>
  </si>
  <si>
    <t>DHN_BOILER_WOOD</t>
  </si>
  <si>
    <t>DHN_COGEN_WOOD</t>
  </si>
  <si>
    <t>E_WOOD_TO_FT</t>
  </si>
  <si>
    <t>E_WOOD_TO_METHANE</t>
  </si>
  <si>
    <t>E_WOOD_TO_METHANOL</t>
  </si>
  <si>
    <t>H2_BIOMASS</t>
  </si>
  <si>
    <t>IND_BOILER_WOOD</t>
  </si>
  <si>
    <t>IND_COGEN_WOOD</t>
  </si>
  <si>
    <t>PYROLYSIS_TO_FUELS</t>
  </si>
  <si>
    <t>PYROLYSIS_TO_LFO</t>
  </si>
  <si>
    <t>WOOD_TO_FT</t>
  </si>
  <si>
    <t>WOOD_TO_METHANE</t>
  </si>
  <si>
    <t>WOOD_TO_METHANOL</t>
  </si>
  <si>
    <t>2050 ENSPRESO scenario</t>
  </si>
  <si>
    <t>HIGH</t>
  </si>
  <si>
    <t>MED</t>
  </si>
  <si>
    <t>LOW</t>
  </si>
  <si>
    <t>Resource</t>
  </si>
  <si>
    <t>Scenario</t>
  </si>
  <si>
    <t>Potential (GWh)</t>
  </si>
  <si>
    <t>Production cost (M€/GWh)</t>
  </si>
  <si>
    <t>GHG impact (tCO2eq/MWh)</t>
  </si>
  <si>
    <t>HIGH_2050</t>
  </si>
  <si>
    <t>MED_2050</t>
  </si>
  <si>
    <t>LOW_2050</t>
  </si>
  <si>
    <t>run</t>
  </si>
  <si>
    <t>Solid biomass availability (GWh/y)</t>
  </si>
  <si>
    <t>Total cost (M€/y) HIGH</t>
  </si>
  <si>
    <t>Total cost (M€/y) MED</t>
  </si>
  <si>
    <t>Total cost (M€/y) LOW</t>
  </si>
  <si>
    <t>Marginal value of solid biomass (€/MWh) HIGH</t>
  </si>
  <si>
    <t>Marginal value of solid biomass (€/MWh) MED</t>
  </si>
  <si>
    <t>Marginal value of solid biomass (€/MWh) LOW</t>
  </si>
  <si>
    <t>APPLES2</t>
  </si>
  <si>
    <t>CEREALSTRAW3</t>
  </si>
  <si>
    <t>CHERRIES4</t>
  </si>
  <si>
    <t>CP_RES5</t>
  </si>
  <si>
    <t>CP_RW6</t>
  </si>
  <si>
    <t>FUELWOODRW7</t>
  </si>
  <si>
    <t>FUELWOOD_RES8</t>
  </si>
  <si>
    <t>LANDSCAPECARE9</t>
  </si>
  <si>
    <t>MAIZESTRAW10</t>
  </si>
  <si>
    <t>MISCANTHUS11</t>
  </si>
  <si>
    <t>MSW12</t>
  </si>
  <si>
    <t>OLIVES13</t>
  </si>
  <si>
    <t>OLIVE_PITS14</t>
  </si>
  <si>
    <t>OSR15</t>
  </si>
  <si>
    <t>OTHERSECRESID16</t>
  </si>
  <si>
    <t>POPLAR17</t>
  </si>
  <si>
    <t>RICESTRAW18</t>
  </si>
  <si>
    <t>SAWDUST19</t>
  </si>
  <si>
    <t>SWITCHGRASS20</t>
  </si>
  <si>
    <t>VINEYARDS21</t>
  </si>
  <si>
    <t>WILLOW22</t>
  </si>
  <si>
    <t>APPLES3</t>
  </si>
  <si>
    <t>CEREALSTRAW4</t>
  </si>
  <si>
    <t>CHERRIES5</t>
  </si>
  <si>
    <t>CP_RES6</t>
  </si>
  <si>
    <t>CP_RW7</t>
  </si>
  <si>
    <t>FUELWOODRW8</t>
  </si>
  <si>
    <t>FUELWOOD_RES9</t>
  </si>
  <si>
    <t>LANDSCAPECARE10</t>
  </si>
  <si>
    <t>MAIZESTRAW11</t>
  </si>
  <si>
    <t>MISCANTHUS12</t>
  </si>
  <si>
    <t>MSW13</t>
  </si>
  <si>
    <t>OLIVES14</t>
  </si>
  <si>
    <t>OLIVE_PITS15</t>
  </si>
  <si>
    <t>OSR16</t>
  </si>
  <si>
    <t>OTHERSECRESID17</t>
  </si>
  <si>
    <t>POPLAR18</t>
  </si>
  <si>
    <t>RICESTRAW19</t>
  </si>
  <si>
    <t>SAWDUST20</t>
  </si>
  <si>
    <t>SWITCHGRASS21</t>
  </si>
  <si>
    <t>VINEYARDS22</t>
  </si>
  <si>
    <t>WILLOW23</t>
  </si>
  <si>
    <t>Marginal supply commodity HIGH</t>
  </si>
  <si>
    <t>Marginal supply commodity MED</t>
  </si>
  <si>
    <t>Marginal supply cost (€/MWh) HIGH</t>
  </si>
  <si>
    <t>Marginal supply cost (€/MWh) MED</t>
  </si>
  <si>
    <t>Marginal supply cost (€/MWh) LOW</t>
  </si>
  <si>
    <t>BIOMASS_SEQUESTRATION2</t>
  </si>
  <si>
    <t>BIOMASS_TO_HVC2</t>
  </si>
  <si>
    <t>DEC_BOILER_WOOD3</t>
  </si>
  <si>
    <t>DHN_BOILER_WOOD4</t>
  </si>
  <si>
    <t>DHN_COGEN_WOOD5</t>
  </si>
  <si>
    <t>E_WOOD_TO_FT6</t>
  </si>
  <si>
    <t>E_WOOD_TO_METHANE7</t>
  </si>
  <si>
    <t>E_WOOD_TO_METHANOL8</t>
  </si>
  <si>
    <t>H2_BIOMASS9</t>
  </si>
  <si>
    <t>IND_BOILER_WOOD10</t>
  </si>
  <si>
    <t>IND_COGEN_WOOD11</t>
  </si>
  <si>
    <t>PYROLYSIS_TO_FUELS12</t>
  </si>
  <si>
    <t>PYROLYSIS_TO_LFO13</t>
  </si>
  <si>
    <t>WOOD_TO_FT14</t>
  </si>
  <si>
    <t>WOOD_TO_METHANE15</t>
  </si>
  <si>
    <t>WOOD_TO_METHANOL16</t>
  </si>
  <si>
    <t>BIOMASS_SEQUESTRATION22</t>
  </si>
  <si>
    <t>BIOMASS_TO_HVC23</t>
  </si>
  <si>
    <t>DEC_BOILER_WOOD34</t>
  </si>
  <si>
    <t>DHN_BOILER_WOOD45</t>
  </si>
  <si>
    <t>DHN_COGEN_WOOD56</t>
  </si>
  <si>
    <t>E_WOOD_TO_FT67</t>
  </si>
  <si>
    <t>E_WOOD_TO_METHANE78</t>
  </si>
  <si>
    <t>E_WOOD_TO_METHANOL89</t>
  </si>
  <si>
    <t>H2_BIOMASS910</t>
  </si>
  <si>
    <t>IND_BOILER_WOOD1011</t>
  </si>
  <si>
    <t>IND_COGEN_WOOD1112</t>
  </si>
  <si>
    <t>PYROLYSIS_TO_FUELS1213</t>
  </si>
  <si>
    <t>PYROLYSIS_TO_LFO1314</t>
  </si>
  <si>
    <t>WOOD_TO_FT1415</t>
  </si>
  <si>
    <t>WOOD_TO_METHANE1516</t>
  </si>
  <si>
    <t>WOOD_TO_METHANOL1617</t>
  </si>
  <si>
    <t>Marginal use HIGH</t>
  </si>
  <si>
    <t>Average willingness-to-pay (€/MWh) HIGH</t>
  </si>
  <si>
    <t>Marginal use MED</t>
  </si>
  <si>
    <t>Average willingness-to-pay (€/MWh) MED</t>
  </si>
  <si>
    <t>Marginal use LOW</t>
  </si>
  <si>
    <t>Marginal supply commodity LOW2</t>
  </si>
  <si>
    <t>Average willingness-to-pay (€/MWh) LOW</t>
  </si>
  <si>
    <t>Carbon cost of marginal biomass (€/MWh) 2</t>
  </si>
  <si>
    <t xml:space="preserve"> </t>
  </si>
  <si>
    <t>Marginal emission factor (kgCO2/MWh)</t>
  </si>
  <si>
    <t>Total Cost (M€) HIGH +1Mt CO2</t>
  </si>
  <si>
    <t>Marginal Carbon cost (€/tCO2) HIGH</t>
  </si>
  <si>
    <t>Total cost (M€/y) MED +1Mt CO2</t>
  </si>
  <si>
    <t>Carbon cost of marginal biomass (€/MWh) 3</t>
  </si>
  <si>
    <t>Carbon cost of marginal biomass (€/MWh) 4</t>
  </si>
  <si>
    <t>Marginal emission factor (kgCO2/MWh) HIGH</t>
  </si>
  <si>
    <t>Marginal Carbon cost (€/tCO2) MED</t>
  </si>
  <si>
    <t>Carbon cost of marginal biomass (€/MWh) HIGH</t>
  </si>
  <si>
    <t>System cost of marginal biomass (€/MWh) HIGH</t>
  </si>
  <si>
    <t>Carbon cost of marginal biomass (€/MWh) MED</t>
  </si>
  <si>
    <t>System cost of marginal biomass (€/MWh)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</si>
</sst>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_-* #,##0_-;\-* #,##0_-;_-* &quot;-&quot;??_-;_-@_-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3" fontId="0" fillId="0" borderId="0" xfId="1" applyFont="1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165" fontId="0" fillId="0" borderId="0" xfId="1" applyNumberFormat="1" applyFont="1"/>
    <xf numFmtId="165" fontId="0" fillId="2" borderId="0" xfId="1" applyNumberFormat="1" applyFont="1" applyFill="1"/>
    <xf numFmtId="165" fontId="0" fillId="3" borderId="0" xfId="1" applyNumberFormat="1" applyFont="1" applyFill="1"/>
    <xf numFmtId="165" fontId="0" fillId="4" borderId="0" xfId="1" applyNumberFormat="1" applyFont="1" applyFill="1"/>
    <xf numFmtId="166" fontId="0" fillId="0" borderId="0" xfId="1" applyNumberFormat="1" applyFont="1"/>
    <xf numFmtId="43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43" fontId="5" fillId="0" borderId="0" xfId="1" applyNumberFormat="1" applyFont="1"/>
    <xf numFmtId="43" fontId="6" fillId="0" borderId="0" xfId="1" applyNumberFormat="1" applyFont="1"/>
    <xf numFmtId="43" fontId="7" fillId="0" borderId="0" xfId="1" applyNumberFormat="1" applyFont="1"/>
    <xf numFmtId="43" fontId="8" fillId="0" borderId="0" xfId="1" applyNumberFormat="1" applyFont="1"/>
    <xf numFmtId="165" fontId="8" fillId="0" borderId="0" xfId="1" applyNumberFormat="1" applyFont="1"/>
    <xf numFmtId="166" fontId="0" fillId="3" borderId="0" xfId="1" applyNumberFormat="1" applyFont="1" applyFill="1"/>
    <xf numFmtId="166" fontId="0" fillId="2" borderId="0" xfId="1" applyNumberFormat="1" applyFont="1" applyFill="1"/>
    <xf numFmtId="43" fontId="0" fillId="5" borderId="0" xfId="1" applyNumberFormat="1" applyFont="1" applyFill="1"/>
  </cellXfs>
  <cellStyles count="2">
    <cellStyle name="Milliers" xfId="1" builtinId="3"/>
    <cellStyle name="Normal" xfId="0" builtinId="0"/>
  </cellStyles>
  <dxfs count="1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of  Total</a:t>
            </a:r>
            <a:r>
              <a:rPr lang="fr-FR" baseline="0"/>
              <a:t> cost (M/€) and marginal value of biomass (€/MWh) regarding its availability (GWh) FRANCE_2050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237887394994848E-2"/>
          <c:y val="0.14356120826709062"/>
          <c:w val="0.57076022269500437"/>
          <c:h val="0.63405251012939756"/>
        </c:manualLayout>
      </c:layout>
      <c:lineChart>
        <c:grouping val="standard"/>
        <c:varyColors val="0"/>
        <c:ser>
          <c:idx val="0"/>
          <c:order val="0"/>
          <c:tx>
            <c:strRef>
              <c:f>'Results HIGH'!$C$1</c:f>
              <c:strCache>
                <c:ptCount val="1"/>
                <c:pt idx="0">
                  <c:v> Total cost (M€/y) HIGH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HIGH'!$C$2:$C$102</c:f>
              <c:numCache>
                <c:formatCode>_-* #\ ##0_-;\-* #\ ##0_-;_-* "-"??_-;_-@_-</c:formatCode>
                <c:ptCount val="101"/>
                <c:pt idx="0">
                  <c:v>274941.75385600002</c:v>
                </c:pt>
                <c:pt idx="1">
                  <c:v>267601.76101299998</c:v>
                </c:pt>
                <c:pt idx="2">
                  <c:v>265008.29394399998</c:v>
                </c:pt>
                <c:pt idx="3">
                  <c:v>263125.29813000013</c:v>
                </c:pt>
                <c:pt idx="4">
                  <c:v>261235.384284</c:v>
                </c:pt>
                <c:pt idx="5">
                  <c:v>259360.96998299999</c:v>
                </c:pt>
                <c:pt idx="6">
                  <c:v>257554.20269500001</c:v>
                </c:pt>
                <c:pt idx="7">
                  <c:v>255970.967103</c:v>
                </c:pt>
                <c:pt idx="8">
                  <c:v>254713.242769</c:v>
                </c:pt>
                <c:pt idx="9">
                  <c:v>253847.482353</c:v>
                </c:pt>
                <c:pt idx="10">
                  <c:v>253003.05948500001</c:v>
                </c:pt>
                <c:pt idx="11">
                  <c:v>252178.43993200001</c:v>
                </c:pt>
                <c:pt idx="12">
                  <c:v>251327.92093299999</c:v>
                </c:pt>
                <c:pt idx="13">
                  <c:v>250532.85854399999</c:v>
                </c:pt>
                <c:pt idx="14">
                  <c:v>249790.52653800001</c:v>
                </c:pt>
                <c:pt idx="15">
                  <c:v>249069.12671400001</c:v>
                </c:pt>
                <c:pt idx="16">
                  <c:v>248373.56453</c:v>
                </c:pt>
                <c:pt idx="17">
                  <c:v>247696.32881599999</c:v>
                </c:pt>
                <c:pt idx="18">
                  <c:v>247014.71740699999</c:v>
                </c:pt>
                <c:pt idx="19">
                  <c:v>246363.18303700001</c:v>
                </c:pt>
                <c:pt idx="20">
                  <c:v>245759.66760399999</c:v>
                </c:pt>
                <c:pt idx="21">
                  <c:v>245168.47249099999</c:v>
                </c:pt>
                <c:pt idx="22">
                  <c:v>244580.21311700001</c:v>
                </c:pt>
                <c:pt idx="23">
                  <c:v>243999.86928000001</c:v>
                </c:pt>
                <c:pt idx="24">
                  <c:v>243419.46192199999</c:v>
                </c:pt>
                <c:pt idx="25">
                  <c:v>242858.083128</c:v>
                </c:pt>
                <c:pt idx="26">
                  <c:v>242272.691735</c:v>
                </c:pt>
                <c:pt idx="27">
                  <c:v>241688.04057099999</c:v>
                </c:pt>
                <c:pt idx="28">
                  <c:v>241130.81185299999</c:v>
                </c:pt>
                <c:pt idx="29">
                  <c:v>240590.65342700001</c:v>
                </c:pt>
                <c:pt idx="30">
                  <c:v>240047.69926699999</c:v>
                </c:pt>
                <c:pt idx="31">
                  <c:v>239531.499755</c:v>
                </c:pt>
                <c:pt idx="32">
                  <c:v>239010.57830699999</c:v>
                </c:pt>
                <c:pt idx="33">
                  <c:v>238524.96465099999</c:v>
                </c:pt>
                <c:pt idx="34">
                  <c:v>238054.143495</c:v>
                </c:pt>
                <c:pt idx="35">
                  <c:v>237682.53136600001</c:v>
                </c:pt>
                <c:pt idx="36">
                  <c:v>237344.923351</c:v>
                </c:pt>
                <c:pt idx="37">
                  <c:v>236995.70568700001</c:v>
                </c:pt>
                <c:pt idx="38">
                  <c:v>236686.08374999999</c:v>
                </c:pt>
                <c:pt idx="39">
                  <c:v>236396.12483399999</c:v>
                </c:pt>
                <c:pt idx="40">
                  <c:v>236123.035179</c:v>
                </c:pt>
                <c:pt idx="41">
                  <c:v>235900.11620700001</c:v>
                </c:pt>
                <c:pt idx="42">
                  <c:v>235642.013301</c:v>
                </c:pt>
                <c:pt idx="43">
                  <c:v>235414.285034</c:v>
                </c:pt>
                <c:pt idx="44">
                  <c:v>235141.16809200001</c:v>
                </c:pt>
                <c:pt idx="45">
                  <c:v>234889.09547299999</c:v>
                </c:pt>
                <c:pt idx="46">
                  <c:v>234639.53292999999</c:v>
                </c:pt>
                <c:pt idx="47">
                  <c:v>234396.696096</c:v>
                </c:pt>
                <c:pt idx="48">
                  <c:v>234150.845141</c:v>
                </c:pt>
                <c:pt idx="49">
                  <c:v>233911.35823000001</c:v>
                </c:pt>
                <c:pt idx="50">
                  <c:v>233690.116358</c:v>
                </c:pt>
                <c:pt idx="51">
                  <c:v>233445.53253699999</c:v>
                </c:pt>
                <c:pt idx="52">
                  <c:v>233220.80556400001</c:v>
                </c:pt>
                <c:pt idx="53">
                  <c:v>233013.550288</c:v>
                </c:pt>
                <c:pt idx="54">
                  <c:v>232803.78734000001</c:v>
                </c:pt>
                <c:pt idx="55">
                  <c:v>232620.992126</c:v>
                </c:pt>
                <c:pt idx="56">
                  <c:v>232471.88763300001</c:v>
                </c:pt>
                <c:pt idx="57">
                  <c:v>232306.16099100001</c:v>
                </c:pt>
                <c:pt idx="58">
                  <c:v>232149.263764</c:v>
                </c:pt>
                <c:pt idx="59">
                  <c:v>232009.838827</c:v>
                </c:pt>
                <c:pt idx="60">
                  <c:v>231882.274061</c:v>
                </c:pt>
                <c:pt idx="61">
                  <c:v>231763.44177899999</c:v>
                </c:pt>
                <c:pt idx="62">
                  <c:v>231633.87149799999</c:v>
                </c:pt>
                <c:pt idx="63">
                  <c:v>231511.08336799999</c:v>
                </c:pt>
                <c:pt idx="64">
                  <c:v>231373.92004</c:v>
                </c:pt>
                <c:pt idx="65">
                  <c:v>231230.17717499999</c:v>
                </c:pt>
                <c:pt idx="66">
                  <c:v>231096.447996</c:v>
                </c:pt>
                <c:pt idx="67">
                  <c:v>230978.46144300001</c:v>
                </c:pt>
                <c:pt idx="68">
                  <c:v>230862.92511899999</c:v>
                </c:pt>
                <c:pt idx="69">
                  <c:v>230748.573213</c:v>
                </c:pt>
                <c:pt idx="70">
                  <c:v>230653.17514599999</c:v>
                </c:pt>
                <c:pt idx="71">
                  <c:v>230525.129384</c:v>
                </c:pt>
                <c:pt idx="72">
                  <c:v>230446.19109099999</c:v>
                </c:pt>
                <c:pt idx="73">
                  <c:v>230359.38039999999</c:v>
                </c:pt>
                <c:pt idx="74">
                  <c:v>230245.47980100001</c:v>
                </c:pt>
                <c:pt idx="75">
                  <c:v>230153.95745099999</c:v>
                </c:pt>
                <c:pt idx="76">
                  <c:v>230062.09575199999</c:v>
                </c:pt>
                <c:pt idx="77">
                  <c:v>229968.37546400001</c:v>
                </c:pt>
                <c:pt idx="78">
                  <c:v>229868.11596299999</c:v>
                </c:pt>
                <c:pt idx="79">
                  <c:v>229810.853588</c:v>
                </c:pt>
                <c:pt idx="80">
                  <c:v>229685.10768700001</c:v>
                </c:pt>
                <c:pt idx="81">
                  <c:v>229613.050155</c:v>
                </c:pt>
                <c:pt idx="82">
                  <c:v>229516.787843</c:v>
                </c:pt>
                <c:pt idx="83">
                  <c:v>229441.92554500001</c:v>
                </c:pt>
                <c:pt idx="84">
                  <c:v>229333.728474</c:v>
                </c:pt>
                <c:pt idx="85">
                  <c:v>229273.73811899999</c:v>
                </c:pt>
                <c:pt idx="86">
                  <c:v>229182.84281100001</c:v>
                </c:pt>
                <c:pt idx="87">
                  <c:v>229093.883803</c:v>
                </c:pt>
                <c:pt idx="88">
                  <c:v>229011.10003199999</c:v>
                </c:pt>
                <c:pt idx="89">
                  <c:v>228913.564308</c:v>
                </c:pt>
                <c:pt idx="90">
                  <c:v>228832.14740799999</c:v>
                </c:pt>
                <c:pt idx="91">
                  <c:v>228752.98261899999</c:v>
                </c:pt>
                <c:pt idx="92">
                  <c:v>228737.84727599999</c:v>
                </c:pt>
                <c:pt idx="93">
                  <c:v>228727.576038</c:v>
                </c:pt>
                <c:pt idx="94">
                  <c:v>228733.382105</c:v>
                </c:pt>
                <c:pt idx="95">
                  <c:v>228739.64419699999</c:v>
                </c:pt>
                <c:pt idx="96">
                  <c:v>228752.97332200001</c:v>
                </c:pt>
                <c:pt idx="97">
                  <c:v>228742.25139799999</c:v>
                </c:pt>
                <c:pt idx="98">
                  <c:v>228745.78900700001</c:v>
                </c:pt>
                <c:pt idx="99">
                  <c:v>228768.13871699999</c:v>
                </c:pt>
                <c:pt idx="100">
                  <c:v>228765.864195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6-4134-8EE4-5165F9FF406C}"/>
            </c:ext>
          </c:extLst>
        </c:ser>
        <c:ser>
          <c:idx val="2"/>
          <c:order val="2"/>
          <c:tx>
            <c:strRef>
              <c:f>'Results HIGH'!$Q$1</c:f>
              <c:strCache>
                <c:ptCount val="1"/>
                <c:pt idx="0">
                  <c:v> Total cost (M€/y) MED 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HIGH'!$Q$2:$Q$102</c:f>
              <c:numCache>
                <c:formatCode>_-* #\ ##0_-;\-* #\ ##0_-;_-* "-"??_-;_-@_-</c:formatCode>
                <c:ptCount val="101"/>
                <c:pt idx="4">
                  <c:v>266901.02650899999</c:v>
                </c:pt>
                <c:pt idx="5">
                  <c:v>264012.72067299997</c:v>
                </c:pt>
                <c:pt idx="6">
                  <c:v>262049.47800500001</c:v>
                </c:pt>
                <c:pt idx="7">
                  <c:v>260183.84982199999</c:v>
                </c:pt>
                <c:pt idx="8">
                  <c:v>258372.67485499999</c:v>
                </c:pt>
                <c:pt idx="9">
                  <c:v>257042.06121000001</c:v>
                </c:pt>
                <c:pt idx="10">
                  <c:v>255801.449437</c:v>
                </c:pt>
                <c:pt idx="11">
                  <c:v>254645.553889</c:v>
                </c:pt>
                <c:pt idx="12">
                  <c:v>253680.60125499999</c:v>
                </c:pt>
                <c:pt idx="13">
                  <c:v>252762.17050400001</c:v>
                </c:pt>
                <c:pt idx="14">
                  <c:v>251921.111351</c:v>
                </c:pt>
                <c:pt idx="15">
                  <c:v>251092.962875</c:v>
                </c:pt>
                <c:pt idx="16">
                  <c:v>250301.60540100001</c:v>
                </c:pt>
                <c:pt idx="17">
                  <c:v>249614.485021</c:v>
                </c:pt>
                <c:pt idx="18">
                  <c:v>248934.861474</c:v>
                </c:pt>
                <c:pt idx="19">
                  <c:v>248350.98176900001</c:v>
                </c:pt>
                <c:pt idx="20">
                  <c:v>247847.12072000001</c:v>
                </c:pt>
                <c:pt idx="21">
                  <c:v>247304.57363299999</c:v>
                </c:pt>
                <c:pt idx="22">
                  <c:v>246768.58388300001</c:v>
                </c:pt>
                <c:pt idx="23">
                  <c:v>246278.29730400001</c:v>
                </c:pt>
                <c:pt idx="24">
                  <c:v>245747.00687700001</c:v>
                </c:pt>
                <c:pt idx="25">
                  <c:v>245244.949891</c:v>
                </c:pt>
                <c:pt idx="26">
                  <c:v>244744.310803</c:v>
                </c:pt>
                <c:pt idx="27">
                  <c:v>244231.09899599999</c:v>
                </c:pt>
                <c:pt idx="28">
                  <c:v>243726.77122299999</c:v>
                </c:pt>
                <c:pt idx="29">
                  <c:v>243233.22068999999</c:v>
                </c:pt>
                <c:pt idx="30">
                  <c:v>242746.538463</c:v>
                </c:pt>
                <c:pt idx="31">
                  <c:v>242220.05739500001</c:v>
                </c:pt>
                <c:pt idx="32">
                  <c:v>241784.29868199999</c:v>
                </c:pt>
                <c:pt idx="33">
                  <c:v>241340.080342</c:v>
                </c:pt>
                <c:pt idx="34">
                  <c:v>240994.98097400001</c:v>
                </c:pt>
                <c:pt idx="35">
                  <c:v>240667.05547799999</c:v>
                </c:pt>
                <c:pt idx="36">
                  <c:v>240371.70606500001</c:v>
                </c:pt>
                <c:pt idx="37">
                  <c:v>240084.69772200001</c:v>
                </c:pt>
                <c:pt idx="38">
                  <c:v>239809.19821599999</c:v>
                </c:pt>
                <c:pt idx="39">
                  <c:v>239541.22274100001</c:v>
                </c:pt>
                <c:pt idx="40">
                  <c:v>239333.179878</c:v>
                </c:pt>
                <c:pt idx="41">
                  <c:v>239123.565497</c:v>
                </c:pt>
                <c:pt idx="42">
                  <c:v>238957.314251</c:v>
                </c:pt>
                <c:pt idx="43">
                  <c:v>238778.54795199999</c:v>
                </c:pt>
                <c:pt idx="44">
                  <c:v>238623.54113900001</c:v>
                </c:pt>
                <c:pt idx="45">
                  <c:v>238494.86339799999</c:v>
                </c:pt>
                <c:pt idx="46">
                  <c:v>238440.84305</c:v>
                </c:pt>
                <c:pt idx="47">
                  <c:v>238451.89108999999</c:v>
                </c:pt>
                <c:pt idx="48">
                  <c:v>238445.92582900001</c:v>
                </c:pt>
                <c:pt idx="49">
                  <c:v>238458.58859199999</c:v>
                </c:pt>
                <c:pt idx="50">
                  <c:v>238442.411464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6-4134-8EE4-5165F9FF406C}"/>
            </c:ext>
          </c:extLst>
        </c:ser>
        <c:ser>
          <c:idx val="4"/>
          <c:order val="4"/>
          <c:tx>
            <c:strRef>
              <c:f>'Results HIGH'!$AB$1</c:f>
              <c:strCache>
                <c:ptCount val="1"/>
                <c:pt idx="0">
                  <c:v> Total cost (M€/y)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HIGH'!$AB$2:$AB$102</c:f>
              <c:numCache>
                <c:formatCode>_-* #\ ##0_-;\-* #\ ##0_-;_-* "-"??_-;_-@_-</c:formatCode>
                <c:ptCount val="101"/>
                <c:pt idx="7">
                  <c:v>266369.77708000003</c:v>
                </c:pt>
                <c:pt idx="8">
                  <c:v>263559.30327700003</c:v>
                </c:pt>
                <c:pt idx="9">
                  <c:v>261969.33494</c:v>
                </c:pt>
                <c:pt idx="10">
                  <c:v>260643.11810200001</c:v>
                </c:pt>
                <c:pt idx="11">
                  <c:v>259373.135541</c:v>
                </c:pt>
                <c:pt idx="12">
                  <c:v>258073.923193</c:v>
                </c:pt>
                <c:pt idx="13">
                  <c:v>256827.431014</c:v>
                </c:pt>
                <c:pt idx="14">
                  <c:v>255607.776946</c:v>
                </c:pt>
                <c:pt idx="15">
                  <c:v>254365.46416199999</c:v>
                </c:pt>
                <c:pt idx="16">
                  <c:v>253195.40676700001</c:v>
                </c:pt>
                <c:pt idx="17">
                  <c:v>252225.88427000001</c:v>
                </c:pt>
                <c:pt idx="18">
                  <c:v>251461.26212500001</c:v>
                </c:pt>
                <c:pt idx="19">
                  <c:v>250994.675946</c:v>
                </c:pt>
                <c:pt idx="20">
                  <c:v>250534.47270400001</c:v>
                </c:pt>
                <c:pt idx="21">
                  <c:v>250085.604013</c:v>
                </c:pt>
                <c:pt idx="22">
                  <c:v>249660.638695</c:v>
                </c:pt>
                <c:pt idx="23">
                  <c:v>249239.298801</c:v>
                </c:pt>
                <c:pt idx="24">
                  <c:v>248743.51000800001</c:v>
                </c:pt>
                <c:pt idx="25">
                  <c:v>248323.53390499999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6-4134-8EE4-5165F9FF4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370144"/>
        <c:axId val="1580372224"/>
      </c:lineChart>
      <c:lineChart>
        <c:grouping val="standard"/>
        <c:varyColors val="0"/>
        <c:ser>
          <c:idx val="1"/>
          <c:order val="1"/>
          <c:tx>
            <c:strRef>
              <c:f>'Results HIGH'!$E$1</c:f>
              <c:strCache>
                <c:ptCount val="1"/>
                <c:pt idx="0">
                  <c:v> Marginal value of solid biomass (€/MWh) HIGH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HIGH'!$E$2:$E$102</c:f>
              <c:numCache>
                <c:formatCode>_-* #\ ##0_-;\-* #\ ##0_-;_-* "-"??_-;_-@_-</c:formatCode>
                <c:ptCount val="101"/>
                <c:pt idx="1">
                  <c:v>1467.9985686000089</c:v>
                </c:pt>
                <c:pt idx="2">
                  <c:v>518.69341380000117</c:v>
                </c:pt>
                <c:pt idx="3">
                  <c:v>376.5991627999698</c:v>
                </c:pt>
                <c:pt idx="4">
                  <c:v>377.98276920002536</c:v>
                </c:pt>
                <c:pt idx="5">
                  <c:v>374.88286020000231</c:v>
                </c:pt>
                <c:pt idx="6">
                  <c:v>361.35345759999473</c:v>
                </c:pt>
                <c:pt idx="7">
                  <c:v>316.64711840000234</c:v>
                </c:pt>
                <c:pt idx="8">
                  <c:v>251.54486679999971</c:v>
                </c:pt>
                <c:pt idx="9">
                  <c:v>173.15208320000093</c:v>
                </c:pt>
                <c:pt idx="10">
                  <c:v>168.88457359999884</c:v>
                </c:pt>
                <c:pt idx="11">
                  <c:v>164.92391059999937</c:v>
                </c:pt>
                <c:pt idx="12">
                  <c:v>170.10379980000434</c:v>
                </c:pt>
                <c:pt idx="13">
                  <c:v>159.01247779999977</c:v>
                </c:pt>
                <c:pt idx="14">
                  <c:v>148.46640119999645</c:v>
                </c:pt>
                <c:pt idx="15">
                  <c:v>144.27996479999854</c:v>
                </c:pt>
                <c:pt idx="16">
                  <c:v>139.11243680000189</c:v>
                </c:pt>
                <c:pt idx="17">
                  <c:v>135.4471428000019</c:v>
                </c:pt>
                <c:pt idx="18">
                  <c:v>136.32228180000092</c:v>
                </c:pt>
                <c:pt idx="19">
                  <c:v>130.30687399999587</c:v>
                </c:pt>
                <c:pt idx="20">
                  <c:v>120.70308660000447</c:v>
                </c:pt>
                <c:pt idx="21">
                  <c:v>118.23902259999886</c:v>
                </c:pt>
                <c:pt idx="22">
                  <c:v>117.6518747999973</c:v>
                </c:pt>
                <c:pt idx="23">
                  <c:v>116.06876739999862</c:v>
                </c:pt>
                <c:pt idx="24">
                  <c:v>116.08147160000517</c:v>
                </c:pt>
                <c:pt idx="25">
                  <c:v>112.27575879999786</c:v>
                </c:pt>
                <c:pt idx="26">
                  <c:v>117.07827859999961</c:v>
                </c:pt>
                <c:pt idx="27">
                  <c:v>116.93023280000197</c:v>
                </c:pt>
                <c:pt idx="28">
                  <c:v>111.4457435999997</c:v>
                </c:pt>
                <c:pt idx="29">
                  <c:v>108.03168519999599</c:v>
                </c:pt>
                <c:pt idx="30">
                  <c:v>108.5908320000046</c:v>
                </c:pt>
                <c:pt idx="31">
                  <c:v>103.23990239999839</c:v>
                </c:pt>
                <c:pt idx="32">
                  <c:v>104.18428960000165</c:v>
                </c:pt>
                <c:pt idx="33">
                  <c:v>97.122731200000274</c:v>
                </c:pt>
                <c:pt idx="34">
                  <c:v>94.16423119999817</c:v>
                </c:pt>
                <c:pt idx="35">
                  <c:v>74.322425799997291</c:v>
                </c:pt>
                <c:pt idx="36">
                  <c:v>67.521603000001051</c:v>
                </c:pt>
                <c:pt idx="37">
                  <c:v>69.843532799999238</c:v>
                </c:pt>
                <c:pt idx="38">
                  <c:v>61.924387400003617</c:v>
                </c:pt>
                <c:pt idx="39">
                  <c:v>57.991783200000647</c:v>
                </c:pt>
                <c:pt idx="40">
                  <c:v>54.617930999997768</c:v>
                </c:pt>
                <c:pt idx="41">
                  <c:v>44.583794399996989</c:v>
                </c:pt>
                <c:pt idx="42">
                  <c:v>51.620581200002924</c:v>
                </c:pt>
                <c:pt idx="43">
                  <c:v>45.545653399999722</c:v>
                </c:pt>
                <c:pt idx="44">
                  <c:v>54.623388399998653</c:v>
                </c:pt>
                <c:pt idx="45">
                  <c:v>50.414523800002641</c:v>
                </c:pt>
                <c:pt idx="46">
                  <c:v>49.912508600001459</c:v>
                </c:pt>
                <c:pt idx="47">
                  <c:v>48.567366799997394</c:v>
                </c:pt>
                <c:pt idx="48">
                  <c:v>49.170191000000344</c:v>
                </c:pt>
                <c:pt idx="49">
                  <c:v>47.897382199997082</c:v>
                </c:pt>
                <c:pt idx="50">
                  <c:v>44.248374400002646</c:v>
                </c:pt>
                <c:pt idx="51">
                  <c:v>48.916764200001488</c:v>
                </c:pt>
                <c:pt idx="52">
                  <c:v>44.945394599996511</c:v>
                </c:pt>
                <c:pt idx="53">
                  <c:v>41.451055200002152</c:v>
                </c:pt>
                <c:pt idx="54">
                  <c:v>41.952589599997737</c:v>
                </c:pt>
                <c:pt idx="55">
                  <c:v>36.559042800002501</c:v>
                </c:pt>
                <c:pt idx="56">
                  <c:v>29.820898599998326</c:v>
                </c:pt>
                <c:pt idx="57">
                  <c:v>33.145328399998832</c:v>
                </c:pt>
                <c:pt idx="58">
                  <c:v>31.37944540000171</c:v>
                </c:pt>
                <c:pt idx="59">
                  <c:v>27.884987400000682</c:v>
                </c:pt>
                <c:pt idx="60">
                  <c:v>25.512953199999174</c:v>
                </c:pt>
                <c:pt idx="61">
                  <c:v>23.76645640000352</c:v>
                </c:pt>
                <c:pt idx="62">
                  <c:v>25.914056199998594</c:v>
                </c:pt>
                <c:pt idx="63">
                  <c:v>24.557626000000166</c:v>
                </c:pt>
                <c:pt idx="64">
                  <c:v>27.432665599999019</c:v>
                </c:pt>
                <c:pt idx="65">
                  <c:v>28.748573000001489</c:v>
                </c:pt>
                <c:pt idx="66">
                  <c:v>26.74583579999744</c:v>
                </c:pt>
                <c:pt idx="67">
                  <c:v>23.597310599999037</c:v>
                </c:pt>
                <c:pt idx="68">
                  <c:v>23.10726480000303</c:v>
                </c:pt>
                <c:pt idx="69">
                  <c:v>22.870381199999247</c:v>
                </c:pt>
                <c:pt idx="70">
                  <c:v>19.07961340000038</c:v>
                </c:pt>
                <c:pt idx="71">
                  <c:v>25.609152399998855</c:v>
                </c:pt>
                <c:pt idx="72">
                  <c:v>15.787658600002759</c:v>
                </c:pt>
                <c:pt idx="73">
                  <c:v>17.362138199998299</c:v>
                </c:pt>
                <c:pt idx="74">
                  <c:v>22.780119799997191</c:v>
                </c:pt>
                <c:pt idx="75">
                  <c:v>18.304470000002766</c:v>
                </c:pt>
                <c:pt idx="76">
                  <c:v>18.372339800000191</c:v>
                </c:pt>
                <c:pt idx="77">
                  <c:v>18.744057599996449</c:v>
                </c:pt>
                <c:pt idx="78">
                  <c:v>20.051900200004454</c:v>
                </c:pt>
                <c:pt idx="79">
                  <c:v>11.45247499999823</c:v>
                </c:pt>
                <c:pt idx="80">
                  <c:v>25.149180199997499</c:v>
                </c:pt>
                <c:pt idx="81">
                  <c:v>14.411506400001235</c:v>
                </c:pt>
                <c:pt idx="82">
                  <c:v>19.252462400001242</c:v>
                </c:pt>
                <c:pt idx="83">
                  <c:v>14.972459599998546</c:v>
                </c:pt>
                <c:pt idx="84">
                  <c:v>21.639414200000463</c:v>
                </c:pt>
                <c:pt idx="85">
                  <c:v>11.998071000003256</c:v>
                </c:pt>
                <c:pt idx="86">
                  <c:v>18.179061599995478</c:v>
                </c:pt>
                <c:pt idx="87">
                  <c:v>17.791801600001055</c:v>
                </c:pt>
                <c:pt idx="88">
                  <c:v>16.556754200003343</c:v>
                </c:pt>
                <c:pt idx="89">
                  <c:v>19.507144799997334</c:v>
                </c:pt>
                <c:pt idx="90">
                  <c:v>16.283380000002218</c:v>
                </c:pt>
                <c:pt idx="91">
                  <c:v>15.83295780000044</c:v>
                </c:pt>
                <c:pt idx="92">
                  <c:v>3.0270686000003479</c:v>
                </c:pt>
                <c:pt idx="93">
                  <c:v>2.0542475999973249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46-4134-8EE4-5165F9FF406C}"/>
            </c:ext>
          </c:extLst>
        </c:ser>
        <c:ser>
          <c:idx val="3"/>
          <c:order val="3"/>
          <c:tx>
            <c:strRef>
              <c:f>'Results HIGH'!$S$1</c:f>
              <c:strCache>
                <c:ptCount val="1"/>
                <c:pt idx="0">
                  <c:v> Marginal value of solid biomass (€/MWh) MED 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HIGH'!$S$2:$S$102</c:f>
              <c:numCache>
                <c:formatCode>_-* #\ ##0_-;\-* #\ ##0_-;_-* "-"??_-;_-@_-</c:formatCode>
                <c:ptCount val="101"/>
                <c:pt idx="5">
                  <c:v>577.66116720000286</c:v>
                </c:pt>
                <c:pt idx="6">
                  <c:v>392.6485335999925</c:v>
                </c:pt>
                <c:pt idx="7">
                  <c:v>373.12563660000455</c:v>
                </c:pt>
                <c:pt idx="8">
                  <c:v>362.23499339999984</c:v>
                </c:pt>
                <c:pt idx="9">
                  <c:v>266.12272899999516</c:v>
                </c:pt>
                <c:pt idx="10">
                  <c:v>248.1223546000023</c:v>
                </c:pt>
                <c:pt idx="11">
                  <c:v>231.17910960000006</c:v>
                </c:pt>
                <c:pt idx="12">
                  <c:v>192.99052680000315</c:v>
                </c:pt>
                <c:pt idx="13">
                  <c:v>183.68615019999561</c:v>
                </c:pt>
                <c:pt idx="14">
                  <c:v>168.21183060000186</c:v>
                </c:pt>
                <c:pt idx="15">
                  <c:v>165.62969520000041</c:v>
                </c:pt>
                <c:pt idx="16">
                  <c:v>158.2714947999979</c:v>
                </c:pt>
                <c:pt idx="17">
                  <c:v>137.42407600000149</c:v>
                </c:pt>
                <c:pt idx="18">
                  <c:v>135.92470939999913</c:v>
                </c:pt>
                <c:pt idx="19">
                  <c:v>116.77594099999988</c:v>
                </c:pt>
                <c:pt idx="20">
                  <c:v>100.77220979999983</c:v>
                </c:pt>
                <c:pt idx="21">
                  <c:v>108.5094174000027</c:v>
                </c:pt>
                <c:pt idx="22">
                  <c:v>107.19794999999577</c:v>
                </c:pt>
                <c:pt idx="23">
                  <c:v>98.057315800001376</c:v>
                </c:pt>
                <c:pt idx="24">
                  <c:v>106.25808539999998</c:v>
                </c:pt>
                <c:pt idx="25">
                  <c:v>100.4113972000021</c:v>
                </c:pt>
                <c:pt idx="26">
                  <c:v>100.12781759999925</c:v>
                </c:pt>
                <c:pt idx="27">
                  <c:v>102.64236140000286</c:v>
                </c:pt>
                <c:pt idx="28">
                  <c:v>100.86555459999946</c:v>
                </c:pt>
                <c:pt idx="29">
                  <c:v>98.710106600000287</c:v>
                </c:pt>
                <c:pt idx="30">
                  <c:v>97.336445399996592</c:v>
                </c:pt>
                <c:pt idx="31">
                  <c:v>105.29621359999874</c:v>
                </c:pt>
                <c:pt idx="32">
                  <c:v>87.151742600003502</c:v>
                </c:pt>
                <c:pt idx="33">
                  <c:v>88.843667999998431</c:v>
                </c:pt>
                <c:pt idx="34">
                  <c:v>69.019873599999116</c:v>
                </c:pt>
                <c:pt idx="35">
                  <c:v>65.585099200002148</c:v>
                </c:pt>
                <c:pt idx="36">
                  <c:v>59.069882599997797</c:v>
                </c:pt>
                <c:pt idx="37">
                  <c:v>57.401668599998807</c:v>
                </c:pt>
                <c:pt idx="38">
                  <c:v>55.099901200004389</c:v>
                </c:pt>
                <c:pt idx="39">
                  <c:v>53.595094999996945</c:v>
                </c:pt>
                <c:pt idx="40">
                  <c:v>41.608572600001935</c:v>
                </c:pt>
                <c:pt idx="41">
                  <c:v>41.922876199998427</c:v>
                </c:pt>
                <c:pt idx="42">
                  <c:v>33.250249199999963</c:v>
                </c:pt>
                <c:pt idx="43">
                  <c:v>35.753259800001977</c:v>
                </c:pt>
                <c:pt idx="44">
                  <c:v>31.001362599997083</c:v>
                </c:pt>
                <c:pt idx="45">
                  <c:v>25.735548200004267</c:v>
                </c:pt>
                <c:pt idx="46">
                  <c:v>10.804069599998185</c:v>
                </c:pt>
                <c:pt idx="47">
                  <c:v>-2.2096079999988434</c:v>
                </c:pt>
                <c:pt idx="48">
                  <c:v>1.1930521999951453</c:v>
                </c:pt>
                <c:pt idx="49">
                  <c:v>-2.5325525999942329</c:v>
                </c:pt>
                <c:pt idx="50">
                  <c:v>3.2354255999962334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6-4134-8EE4-5165F9FF406C}"/>
            </c:ext>
          </c:extLst>
        </c:ser>
        <c:ser>
          <c:idx val="5"/>
          <c:order val="5"/>
          <c:tx>
            <c:strRef>
              <c:f>'Results HIGH'!$AC$1</c:f>
              <c:strCache>
                <c:ptCount val="1"/>
                <c:pt idx="0">
                  <c:v> Marginal value of solid biomass (€/MWh)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HIGH'!$AC$2:$AC$102</c:f>
              <c:numCache>
                <c:formatCode>_-* #\ ##0_-;\-* #\ ##0_-;_-* "-"??_-;_-@_-</c:formatCode>
                <c:ptCount val="101"/>
                <c:pt idx="8">
                  <c:v>562.0947606000002</c:v>
                </c:pt>
                <c:pt idx="9">
                  <c:v>317.99366740000551</c:v>
                </c:pt>
                <c:pt idx="10">
                  <c:v>265.24336759999863</c:v>
                </c:pt>
                <c:pt idx="11">
                  <c:v>253.99651220000231</c:v>
                </c:pt>
                <c:pt idx="12">
                  <c:v>259.84246960000019</c:v>
                </c:pt>
                <c:pt idx="13">
                  <c:v>249.29843579999869</c:v>
                </c:pt>
                <c:pt idx="14">
                  <c:v>243.93081360000068</c:v>
                </c:pt>
                <c:pt idx="15">
                  <c:v>248.46255680000175</c:v>
                </c:pt>
                <c:pt idx="16">
                  <c:v>234.01147899999634</c:v>
                </c:pt>
                <c:pt idx="17">
                  <c:v>193.90449939999962</c:v>
                </c:pt>
                <c:pt idx="18">
                  <c:v>152.92442900000026</c:v>
                </c:pt>
                <c:pt idx="19">
                  <c:v>93.317235800001072</c:v>
                </c:pt>
                <c:pt idx="20">
                  <c:v>92.040648399997735</c:v>
                </c:pt>
                <c:pt idx="21">
                  <c:v>89.773738200002114</c:v>
                </c:pt>
                <c:pt idx="22">
                  <c:v>84.993063600000454</c:v>
                </c:pt>
                <c:pt idx="23">
                  <c:v>84.267978800000847</c:v>
                </c:pt>
                <c:pt idx="24">
                  <c:v>99.157758599997038</c:v>
                </c:pt>
                <c:pt idx="25">
                  <c:v>83.995220600004544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6-4134-8EE4-5165F9FF4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065520"/>
        <c:axId val="1569064272"/>
      </c:lineChart>
      <c:catAx>
        <c:axId val="158037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Biomass</a:t>
                </a:r>
                <a:r>
                  <a:rPr lang="fr-FR" baseline="0"/>
                  <a:t> availability (GWh/y)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0372224"/>
        <c:crosses val="autoZero"/>
        <c:auto val="1"/>
        <c:lblAlgn val="ctr"/>
        <c:lblOffset val="100"/>
        <c:noMultiLvlLbl val="0"/>
      </c:catAx>
      <c:valAx>
        <c:axId val="1580372224"/>
        <c:scaling>
          <c:orientation val="minMax"/>
          <c:min val="2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system cost (M€)/y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0370144"/>
        <c:crosses val="autoZero"/>
        <c:crossBetween val="between"/>
      </c:valAx>
      <c:valAx>
        <c:axId val="1569064272"/>
        <c:scaling>
          <c:orientation val="minMax"/>
          <c:max val="5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Marginal</a:t>
                </a:r>
                <a:r>
                  <a:rPr lang="fr-FR" baseline="0"/>
                  <a:t> value of solid biomass (€/MWh)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9065520"/>
        <c:crosses val="max"/>
        <c:crossBetween val="between"/>
      </c:valAx>
      <c:catAx>
        <c:axId val="1569065520"/>
        <c:scaling>
          <c:orientation val="minMax"/>
        </c:scaling>
        <c:delete val="1"/>
        <c:axPos val="b"/>
        <c:numFmt formatCode="_-* #\ ##0_-;\-* #\ ##0_-;_-* &quot;-&quot;??_-;_-@_-" sourceLinked="1"/>
        <c:majorTickMark val="out"/>
        <c:minorTickMark val="none"/>
        <c:tickLblPos val="nextTo"/>
        <c:crossAx val="156906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8818020310136"/>
          <c:y val="0.32237584968015726"/>
          <c:w val="0.24810241338217123"/>
          <c:h val="0.33452757991896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of marginal use and supply regarding biomass availability (GWh/y) FRANCE_HIGH_ 2050</a:t>
            </a:r>
            <a:r>
              <a:rPr lang="fr-FR" baseline="0"/>
              <a:t> </a:t>
            </a:r>
            <a:r>
              <a:rPr lang="fr-F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899222848189997E-2"/>
          <c:y val="0.10941002949852507"/>
          <c:w val="0.75043072708336755"/>
          <c:h val="0.70529997909553344"/>
        </c:manualLayout>
      </c:layout>
      <c:areaChart>
        <c:grouping val="stacked"/>
        <c:varyColors val="0"/>
        <c:ser>
          <c:idx val="4"/>
          <c:order val="2"/>
          <c:tx>
            <c:strRef>
              <c:f>'Results HIGH'!$I$1</c:f>
              <c:strCache>
                <c:ptCount val="1"/>
                <c:pt idx="0">
                  <c:v> Marginal supply cost (€/MWh) HIGH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8575">
              <a:solidFill>
                <a:schemeClr val="accent2">
                  <a:lumMod val="75000"/>
                </a:schemeClr>
              </a:solidFill>
              <a:prstDash val="solid"/>
            </a:ln>
            <a:effectLst/>
          </c:spP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HIGH'!$I$2:$I$102</c:f>
              <c:numCache>
                <c:formatCode>_(* #,##0.00_);_(* \(#,##0.00\);_(* "-"??_);_(@_)</c:formatCode>
                <c:ptCount val="101"/>
                <c:pt idx="0">
                  <c:v>11.9127345132743</c:v>
                </c:pt>
                <c:pt idx="1">
                  <c:v>11.912012144955899</c:v>
                </c:pt>
                <c:pt idx="2">
                  <c:v>11.912012144955899</c:v>
                </c:pt>
                <c:pt idx="3">
                  <c:v>11.912012144955899</c:v>
                </c:pt>
                <c:pt idx="4">
                  <c:v>11.912012144955899</c:v>
                </c:pt>
                <c:pt idx="5">
                  <c:v>11.912012144955899</c:v>
                </c:pt>
                <c:pt idx="6">
                  <c:v>11.912012144955899</c:v>
                </c:pt>
                <c:pt idx="7">
                  <c:v>11.912012144955899</c:v>
                </c:pt>
                <c:pt idx="8">
                  <c:v>5.4618157894736798</c:v>
                </c:pt>
                <c:pt idx="9">
                  <c:v>5.4618157894736798</c:v>
                </c:pt>
                <c:pt idx="10">
                  <c:v>8.0893504559270504</c:v>
                </c:pt>
                <c:pt idx="11">
                  <c:v>8.0893504559270504</c:v>
                </c:pt>
                <c:pt idx="12">
                  <c:v>8.0893504559270504</c:v>
                </c:pt>
                <c:pt idx="13">
                  <c:v>8.0893504559270504</c:v>
                </c:pt>
                <c:pt idx="14">
                  <c:v>8.0893504559270504</c:v>
                </c:pt>
                <c:pt idx="15">
                  <c:v>8.0893504559270504</c:v>
                </c:pt>
                <c:pt idx="16">
                  <c:v>8.0893504559270504</c:v>
                </c:pt>
                <c:pt idx="17">
                  <c:v>8.0893504559270504</c:v>
                </c:pt>
                <c:pt idx="18">
                  <c:v>0.19956115953864198</c:v>
                </c:pt>
                <c:pt idx="19">
                  <c:v>8.0893504559270504</c:v>
                </c:pt>
                <c:pt idx="20">
                  <c:v>8.0893504559270504</c:v>
                </c:pt>
                <c:pt idx="21">
                  <c:v>8.0893504559270504</c:v>
                </c:pt>
                <c:pt idx="22">
                  <c:v>8.0893504559270504</c:v>
                </c:pt>
                <c:pt idx="23">
                  <c:v>8.0893504559270504</c:v>
                </c:pt>
                <c:pt idx="24">
                  <c:v>8.0893504559270504</c:v>
                </c:pt>
                <c:pt idx="25">
                  <c:v>8.0893504559270504</c:v>
                </c:pt>
                <c:pt idx="26">
                  <c:v>8.0893504559270504</c:v>
                </c:pt>
                <c:pt idx="27">
                  <c:v>8.0893504559270504</c:v>
                </c:pt>
                <c:pt idx="28">
                  <c:v>8.1622330434782597</c:v>
                </c:pt>
                <c:pt idx="29">
                  <c:v>8.1622330434782597</c:v>
                </c:pt>
                <c:pt idx="30">
                  <c:v>8.1622330434782597</c:v>
                </c:pt>
                <c:pt idx="31">
                  <c:v>14.876070726438199</c:v>
                </c:pt>
                <c:pt idx="32">
                  <c:v>14.876070726438199</c:v>
                </c:pt>
                <c:pt idx="33">
                  <c:v>14.876070726438199</c:v>
                </c:pt>
                <c:pt idx="34">
                  <c:v>14.876070726438199</c:v>
                </c:pt>
                <c:pt idx="35">
                  <c:v>14.876070726438199</c:v>
                </c:pt>
                <c:pt idx="36">
                  <c:v>14.876070726438199</c:v>
                </c:pt>
                <c:pt idx="37">
                  <c:v>14.876070726438199</c:v>
                </c:pt>
                <c:pt idx="38">
                  <c:v>14.876070726438199</c:v>
                </c:pt>
                <c:pt idx="39">
                  <c:v>14.876070726438199</c:v>
                </c:pt>
                <c:pt idx="40">
                  <c:v>14.876070726438199</c:v>
                </c:pt>
                <c:pt idx="41">
                  <c:v>14.876070726438199</c:v>
                </c:pt>
                <c:pt idx="42">
                  <c:v>14.876070726438199</c:v>
                </c:pt>
                <c:pt idx="43">
                  <c:v>14.876070726438199</c:v>
                </c:pt>
                <c:pt idx="44">
                  <c:v>14.876070726438199</c:v>
                </c:pt>
                <c:pt idx="45">
                  <c:v>14.876070726438199</c:v>
                </c:pt>
                <c:pt idx="46">
                  <c:v>14.876070726438199</c:v>
                </c:pt>
                <c:pt idx="47">
                  <c:v>14.876070726438199</c:v>
                </c:pt>
                <c:pt idx="48">
                  <c:v>14.876070726438199</c:v>
                </c:pt>
                <c:pt idx="49">
                  <c:v>14.876070726438199</c:v>
                </c:pt>
                <c:pt idx="50">
                  <c:v>14.876070726438199</c:v>
                </c:pt>
                <c:pt idx="51">
                  <c:v>14.876070726438199</c:v>
                </c:pt>
                <c:pt idx="52">
                  <c:v>14.876070726438199</c:v>
                </c:pt>
                <c:pt idx="53">
                  <c:v>14.876070726438199</c:v>
                </c:pt>
                <c:pt idx="54">
                  <c:v>14.876070726438199</c:v>
                </c:pt>
                <c:pt idx="55">
                  <c:v>14.731599999999998</c:v>
                </c:pt>
                <c:pt idx="56">
                  <c:v>24.512988996763799</c:v>
                </c:pt>
                <c:pt idx="57">
                  <c:v>24.512988996763799</c:v>
                </c:pt>
                <c:pt idx="58">
                  <c:v>24.512988996763799</c:v>
                </c:pt>
                <c:pt idx="59">
                  <c:v>24.512988996763799</c:v>
                </c:pt>
                <c:pt idx="60">
                  <c:v>24.512988996763799</c:v>
                </c:pt>
                <c:pt idx="61">
                  <c:v>24.512988996763799</c:v>
                </c:pt>
                <c:pt idx="62">
                  <c:v>24.512988996763799</c:v>
                </c:pt>
                <c:pt idx="63">
                  <c:v>24.512988996763799</c:v>
                </c:pt>
                <c:pt idx="64">
                  <c:v>24.512988996763799</c:v>
                </c:pt>
                <c:pt idx="65">
                  <c:v>24.512988996763799</c:v>
                </c:pt>
                <c:pt idx="66">
                  <c:v>24.512988996763799</c:v>
                </c:pt>
                <c:pt idx="67">
                  <c:v>24.512988996763799</c:v>
                </c:pt>
                <c:pt idx="68">
                  <c:v>24.512988996763799</c:v>
                </c:pt>
                <c:pt idx="69">
                  <c:v>24.512988996763799</c:v>
                </c:pt>
                <c:pt idx="70">
                  <c:v>24.512988996763799</c:v>
                </c:pt>
                <c:pt idx="71">
                  <c:v>24.512988996763799</c:v>
                </c:pt>
                <c:pt idx="72">
                  <c:v>24.512988996763799</c:v>
                </c:pt>
                <c:pt idx="73">
                  <c:v>24.512988996763799</c:v>
                </c:pt>
                <c:pt idx="74">
                  <c:v>16.663244636678201</c:v>
                </c:pt>
                <c:pt idx="75">
                  <c:v>16.663244636678201</c:v>
                </c:pt>
                <c:pt idx="76">
                  <c:v>16.663244636678201</c:v>
                </c:pt>
                <c:pt idx="77">
                  <c:v>16.663244636678201</c:v>
                </c:pt>
                <c:pt idx="78">
                  <c:v>16.663244636678201</c:v>
                </c:pt>
                <c:pt idx="79">
                  <c:v>16.663244636678201</c:v>
                </c:pt>
                <c:pt idx="80">
                  <c:v>16.663244636678201</c:v>
                </c:pt>
                <c:pt idx="81">
                  <c:v>16.663244636678201</c:v>
                </c:pt>
                <c:pt idx="82">
                  <c:v>16.663244636678201</c:v>
                </c:pt>
                <c:pt idx="83">
                  <c:v>17.576198730734401</c:v>
                </c:pt>
                <c:pt idx="84">
                  <c:v>17.576198730734401</c:v>
                </c:pt>
                <c:pt idx="85">
                  <c:v>17.576198730734401</c:v>
                </c:pt>
                <c:pt idx="86">
                  <c:v>17.576198730734401</c:v>
                </c:pt>
                <c:pt idx="87">
                  <c:v>17.576198730734401</c:v>
                </c:pt>
                <c:pt idx="88">
                  <c:v>17.576198730734401</c:v>
                </c:pt>
                <c:pt idx="89">
                  <c:v>17.576198730734401</c:v>
                </c:pt>
                <c:pt idx="90">
                  <c:v>17.576198730734401</c:v>
                </c:pt>
                <c:pt idx="91">
                  <c:v>17.576198730734401</c:v>
                </c:pt>
                <c:pt idx="92">
                  <c:v>31.796335570469797</c:v>
                </c:pt>
                <c:pt idx="93">
                  <c:v>31.796335570469797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8-4B70-A774-F1AAC7E5CE7D}"/>
            </c:ext>
          </c:extLst>
        </c:ser>
        <c:ser>
          <c:idx val="1"/>
          <c:order val="3"/>
          <c:tx>
            <c:strRef>
              <c:f>'Results HIGH'!$L$1</c:f>
              <c:strCache>
                <c:ptCount val="1"/>
                <c:pt idx="0">
                  <c:v> Carbon cost of marginal biomass (€/MWh) HIGH </c:v>
                </c:pt>
              </c:strCache>
            </c:strRef>
          </c:tx>
          <c:spPr>
            <a:pattFill prst="dkDnDiag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57150">
              <a:noFill/>
            </a:ln>
            <a:effectLst/>
          </c:spPr>
          <c:val>
            <c:numRef>
              <c:f>'Results HIGH'!$L$2:$L$102</c:f>
              <c:numCache>
                <c:formatCode>_(* #,##0.00_);_(* \(#,##0.00\);_(* "-"??_);_(@_)</c:formatCode>
                <c:ptCount val="101"/>
                <c:pt idx="0">
                  <c:v>80.190062887325055</c:v>
                </c:pt>
                <c:pt idx="1">
                  <c:v>22.778578299533841</c:v>
                </c:pt>
                <c:pt idx="2">
                  <c:v>14.812448062430999</c:v>
                </c:pt>
                <c:pt idx="3">
                  <c:v>14.822053399592694</c:v>
                </c:pt>
                <c:pt idx="4">
                  <c:v>14.697760675782799</c:v>
                </c:pt>
                <c:pt idx="5">
                  <c:v>14.382241806578424</c:v>
                </c:pt>
                <c:pt idx="6">
                  <c:v>13.208891217024984</c:v>
                </c:pt>
                <c:pt idx="7">
                  <c:v>10.99467348618268</c:v>
                </c:pt>
                <c:pt idx="8">
                  <c:v>12.611270491586486</c:v>
                </c:pt>
                <c:pt idx="9">
                  <c:v>12.153107484875646</c:v>
                </c:pt>
                <c:pt idx="10">
                  <c:v>11.950446908656168</c:v>
                </c:pt>
                <c:pt idx="11">
                  <c:v>12.122958864044522</c:v>
                </c:pt>
                <c:pt idx="12">
                  <c:v>11.783416359447235</c:v>
                </c:pt>
                <c:pt idx="13">
                  <c:v>10.669406318050848</c:v>
                </c:pt>
                <c:pt idx="14">
                  <c:v>10.326528361411333</c:v>
                </c:pt>
                <c:pt idx="15">
                  <c:v>9.4772745988184912</c:v>
                </c:pt>
                <c:pt idx="16">
                  <c:v>10.72677945331699</c:v>
                </c:pt>
                <c:pt idx="17">
                  <c:v>10.082989910995199</c:v>
                </c:pt>
                <c:pt idx="18">
                  <c:v>17.828889538751969</c:v>
                </c:pt>
                <c:pt idx="19">
                  <c:v>8.918296656192009</c:v>
                </c:pt>
                <c:pt idx="20">
                  <c:v>8.5823407762472179</c:v>
                </c:pt>
                <c:pt idx="21">
                  <c:v>8.5818855320505261</c:v>
                </c:pt>
                <c:pt idx="22">
                  <c:v>8.5175382675442943</c:v>
                </c:pt>
                <c:pt idx="23">
                  <c:v>8.098308616593588</c:v>
                </c:pt>
                <c:pt idx="24">
                  <c:v>7.4122331701714863</c:v>
                </c:pt>
                <c:pt idx="25">
                  <c:v>8.8635027207145232</c:v>
                </c:pt>
                <c:pt idx="26">
                  <c:v>8.5196118211035614</c:v>
                </c:pt>
                <c:pt idx="27">
                  <c:v>7.8882665069945626</c:v>
                </c:pt>
                <c:pt idx="28">
                  <c:v>8.0786733283819441</c:v>
                </c:pt>
                <c:pt idx="29">
                  <c:v>8.1371883924787891</c:v>
                </c:pt>
                <c:pt idx="30">
                  <c:v>7.78974838644538</c:v>
                </c:pt>
                <c:pt idx="31">
                  <c:v>4.4978161604643327</c:v>
                </c:pt>
                <c:pt idx="32">
                  <c:v>4.2861955977376285</c:v>
                </c:pt>
                <c:pt idx="33">
                  <c:v>4.3809527142325475</c:v>
                </c:pt>
                <c:pt idx="34">
                  <c:v>3.1155736630323401</c:v>
                </c:pt>
                <c:pt idx="35">
                  <c:v>3.191275929724112</c:v>
                </c:pt>
                <c:pt idx="36">
                  <c:v>3.1359386997306267</c:v>
                </c:pt>
                <c:pt idx="37">
                  <c:v>2.7523749414465537</c:v>
                </c:pt>
                <c:pt idx="38">
                  <c:v>2.7389497046180944</c:v>
                </c:pt>
                <c:pt idx="39">
                  <c:v>2.6242577807428891</c:v>
                </c:pt>
                <c:pt idx="40">
                  <c:v>2.4727062050224222</c:v>
                </c:pt>
                <c:pt idx="41">
                  <c:v>2.3243570207418376</c:v>
                </c:pt>
                <c:pt idx="42">
                  <c:v>2.3417532357597901</c:v>
                </c:pt>
                <c:pt idx="43">
                  <c:v>2.7597295774657078</c:v>
                </c:pt>
                <c:pt idx="44">
                  <c:v>2.5043311774826025</c:v>
                </c:pt>
                <c:pt idx="45">
                  <c:v>2.2730208454634844</c:v>
                </c:pt>
                <c:pt idx="46">
                  <c:v>2.330661887204418</c:v>
                </c:pt>
                <c:pt idx="47">
                  <c:v>2.2548316317447479</c:v>
                </c:pt>
                <c:pt idx="48">
                  <c:v>2.2633787094453401</c:v>
                </c:pt>
                <c:pt idx="49">
                  <c:v>2.341477244320838</c:v>
                </c:pt>
                <c:pt idx="50">
                  <c:v>2.5812593305062501</c:v>
                </c:pt>
                <c:pt idx="51">
                  <c:v>2.3392498834543352</c:v>
                </c:pt>
                <c:pt idx="52">
                  <c:v>2.1210835219504549</c:v>
                </c:pt>
                <c:pt idx="53">
                  <c:v>2.0648627435685669</c:v>
                </c:pt>
                <c:pt idx="54">
                  <c:v>1.9364470166347534</c:v>
                </c:pt>
                <c:pt idx="55">
                  <c:v>1.5203100904084554</c:v>
                </c:pt>
                <c:pt idx="56">
                  <c:v>1.9298634865009336</c:v>
                </c:pt>
                <c:pt idx="57">
                  <c:v>1.9725171910014039</c:v>
                </c:pt>
                <c:pt idx="58">
                  <c:v>1.7904944206485967</c:v>
                </c:pt>
                <c:pt idx="59">
                  <c:v>1.8663158800122299</c:v>
                </c:pt>
                <c:pt idx="60">
                  <c:v>1.7143892036723831</c:v>
                </c:pt>
                <c:pt idx="61">
                  <c:v>1.9121452118806337</c:v>
                </c:pt>
                <c:pt idx="62">
                  <c:v>1.8258891605952363</c:v>
                </c:pt>
                <c:pt idx="63">
                  <c:v>1.8432512072326579</c:v>
                </c:pt>
                <c:pt idx="64">
                  <c:v>1.8936850310751971</c:v>
                </c:pt>
                <c:pt idx="65">
                  <c:v>1.7246849648021576</c:v>
                </c:pt>
                <c:pt idx="66">
                  <c:v>1.5808766817293269</c:v>
                </c:pt>
                <c:pt idx="67">
                  <c:v>1.6612586665024576</c:v>
                </c:pt>
                <c:pt idx="68">
                  <c:v>1.6535514072304773</c:v>
                </c:pt>
                <c:pt idx="69">
                  <c:v>1.5441865913414818</c:v>
                </c:pt>
                <c:pt idx="70">
                  <c:v>1.6670049251785388</c:v>
                </c:pt>
                <c:pt idx="71">
                  <c:v>1.5051499474156775</c:v>
                </c:pt>
                <c:pt idx="72">
                  <c:v>1.6990423538313104</c:v>
                </c:pt>
                <c:pt idx="73">
                  <c:v>1.4283662758405049</c:v>
                </c:pt>
                <c:pt idx="74">
                  <c:v>5.870529306720627</c:v>
                </c:pt>
                <c:pt idx="75">
                  <c:v>7.279186981678941</c:v>
                </c:pt>
                <c:pt idx="76">
                  <c:v>7.4884927593588237</c:v>
                </c:pt>
                <c:pt idx="77">
                  <c:v>7.8670931032799052</c:v>
                </c:pt>
                <c:pt idx="78">
                  <c:v>6.2450610940797171</c:v>
                </c:pt>
                <c:pt idx="79">
                  <c:v>8.688560258159324</c:v>
                </c:pt>
                <c:pt idx="80">
                  <c:v>6.2759334708002337</c:v>
                </c:pt>
                <c:pt idx="81">
                  <c:v>7.4127334788001429</c:v>
                </c:pt>
                <c:pt idx="82">
                  <c:v>6.4835576150408443</c:v>
                </c:pt>
                <c:pt idx="83">
                  <c:v>7.4292619521611263</c:v>
                </c:pt>
                <c:pt idx="84">
                  <c:v>6.466229907120173</c:v>
                </c:pt>
                <c:pt idx="85">
                  <c:v>8.0503310851190388</c:v>
                </c:pt>
                <c:pt idx="86">
                  <c:v>7.906424737679945</c:v>
                </c:pt>
                <c:pt idx="87">
                  <c:v>8.3726021995210598</c:v>
                </c:pt>
                <c:pt idx="88">
                  <c:v>7.831466030879457</c:v>
                </c:pt>
                <c:pt idx="89">
                  <c:v>7.0962043852795436</c:v>
                </c:pt>
                <c:pt idx="90">
                  <c:v>7.6901282020802499</c:v>
                </c:pt>
                <c:pt idx="91">
                  <c:v>5.6368512943200839</c:v>
                </c:pt>
                <c:pt idx="92">
                  <c:v>5.2448178815987152</c:v>
                </c:pt>
                <c:pt idx="93">
                  <c:v>5.1485321865595131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4-457F-AD68-958297A8F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21296"/>
        <c:axId val="589423376"/>
      </c:areaChart>
      <c:lineChart>
        <c:grouping val="standard"/>
        <c:varyColors val="0"/>
        <c:ser>
          <c:idx val="0"/>
          <c:order val="0"/>
          <c:tx>
            <c:strRef>
              <c:f>'Results HIGH'!$E$1</c:f>
              <c:strCache>
                <c:ptCount val="1"/>
                <c:pt idx="0">
                  <c:v> Marginal value of solid biomass (€/MWh) HIGH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HIGH'!$E$2:$E$102</c:f>
              <c:numCache>
                <c:formatCode>_-* #\ ##0_-;\-* #\ ##0_-;_-* "-"??_-;_-@_-</c:formatCode>
                <c:ptCount val="101"/>
                <c:pt idx="1">
                  <c:v>1467.9985686000089</c:v>
                </c:pt>
                <c:pt idx="2">
                  <c:v>518.69341380000117</c:v>
                </c:pt>
                <c:pt idx="3">
                  <c:v>376.5991627999698</c:v>
                </c:pt>
                <c:pt idx="4">
                  <c:v>377.98276920002536</c:v>
                </c:pt>
                <c:pt idx="5">
                  <c:v>374.88286020000231</c:v>
                </c:pt>
                <c:pt idx="6">
                  <c:v>361.35345759999473</c:v>
                </c:pt>
                <c:pt idx="7">
                  <c:v>316.64711840000234</c:v>
                </c:pt>
                <c:pt idx="8">
                  <c:v>251.54486679999971</c:v>
                </c:pt>
                <c:pt idx="9">
                  <c:v>173.15208320000093</c:v>
                </c:pt>
                <c:pt idx="10">
                  <c:v>168.88457359999884</c:v>
                </c:pt>
                <c:pt idx="11">
                  <c:v>164.92391059999937</c:v>
                </c:pt>
                <c:pt idx="12">
                  <c:v>170.10379980000434</c:v>
                </c:pt>
                <c:pt idx="13">
                  <c:v>159.01247779999977</c:v>
                </c:pt>
                <c:pt idx="14">
                  <c:v>148.46640119999645</c:v>
                </c:pt>
                <c:pt idx="15">
                  <c:v>144.27996479999854</c:v>
                </c:pt>
                <c:pt idx="16">
                  <c:v>139.11243680000189</c:v>
                </c:pt>
                <c:pt idx="17">
                  <c:v>135.4471428000019</c:v>
                </c:pt>
                <c:pt idx="18">
                  <c:v>136.32228180000092</c:v>
                </c:pt>
                <c:pt idx="19">
                  <c:v>130.30687399999587</c:v>
                </c:pt>
                <c:pt idx="20">
                  <c:v>120.70308660000447</c:v>
                </c:pt>
                <c:pt idx="21">
                  <c:v>118.23902259999886</c:v>
                </c:pt>
                <c:pt idx="22">
                  <c:v>117.6518747999973</c:v>
                </c:pt>
                <c:pt idx="23">
                  <c:v>116.06876739999862</c:v>
                </c:pt>
                <c:pt idx="24">
                  <c:v>116.08147160000517</c:v>
                </c:pt>
                <c:pt idx="25">
                  <c:v>112.27575879999786</c:v>
                </c:pt>
                <c:pt idx="26">
                  <c:v>117.07827859999961</c:v>
                </c:pt>
                <c:pt idx="27">
                  <c:v>116.93023280000197</c:v>
                </c:pt>
                <c:pt idx="28">
                  <c:v>111.4457435999997</c:v>
                </c:pt>
                <c:pt idx="29">
                  <c:v>108.03168519999599</c:v>
                </c:pt>
                <c:pt idx="30">
                  <c:v>108.5908320000046</c:v>
                </c:pt>
                <c:pt idx="31">
                  <c:v>103.23990239999839</c:v>
                </c:pt>
                <c:pt idx="32">
                  <c:v>104.18428960000165</c:v>
                </c:pt>
                <c:pt idx="33">
                  <c:v>97.122731200000274</c:v>
                </c:pt>
                <c:pt idx="34">
                  <c:v>94.16423119999817</c:v>
                </c:pt>
                <c:pt idx="35">
                  <c:v>74.322425799997291</c:v>
                </c:pt>
                <c:pt idx="36">
                  <c:v>67.521603000001051</c:v>
                </c:pt>
                <c:pt idx="37">
                  <c:v>69.843532799999238</c:v>
                </c:pt>
                <c:pt idx="38">
                  <c:v>61.924387400003617</c:v>
                </c:pt>
                <c:pt idx="39">
                  <c:v>57.991783200000647</c:v>
                </c:pt>
                <c:pt idx="40">
                  <c:v>54.617930999997768</c:v>
                </c:pt>
                <c:pt idx="41">
                  <c:v>44.583794399996989</c:v>
                </c:pt>
                <c:pt idx="42">
                  <c:v>51.620581200002924</c:v>
                </c:pt>
                <c:pt idx="43">
                  <c:v>45.545653399999722</c:v>
                </c:pt>
                <c:pt idx="44">
                  <c:v>54.623388399998653</c:v>
                </c:pt>
                <c:pt idx="45">
                  <c:v>50.414523800002641</c:v>
                </c:pt>
                <c:pt idx="46">
                  <c:v>49.912508600001459</c:v>
                </c:pt>
                <c:pt idx="47">
                  <c:v>48.567366799997394</c:v>
                </c:pt>
                <c:pt idx="48">
                  <c:v>49.170191000000344</c:v>
                </c:pt>
                <c:pt idx="49">
                  <c:v>47.897382199997082</c:v>
                </c:pt>
                <c:pt idx="50">
                  <c:v>44.248374400002646</c:v>
                </c:pt>
                <c:pt idx="51">
                  <c:v>48.916764200001488</c:v>
                </c:pt>
                <c:pt idx="52">
                  <c:v>44.945394599996511</c:v>
                </c:pt>
                <c:pt idx="53">
                  <c:v>41.451055200002152</c:v>
                </c:pt>
                <c:pt idx="54">
                  <c:v>41.952589599997737</c:v>
                </c:pt>
                <c:pt idx="55">
                  <c:v>36.559042800002501</c:v>
                </c:pt>
                <c:pt idx="56">
                  <c:v>29.820898599998326</c:v>
                </c:pt>
                <c:pt idx="57">
                  <c:v>33.145328399998832</c:v>
                </c:pt>
                <c:pt idx="58">
                  <c:v>31.37944540000171</c:v>
                </c:pt>
                <c:pt idx="59">
                  <c:v>27.884987400000682</c:v>
                </c:pt>
                <c:pt idx="60">
                  <c:v>25.512953199999174</c:v>
                </c:pt>
                <c:pt idx="61">
                  <c:v>23.76645640000352</c:v>
                </c:pt>
                <c:pt idx="62">
                  <c:v>25.914056199998594</c:v>
                </c:pt>
                <c:pt idx="63">
                  <c:v>24.557626000000166</c:v>
                </c:pt>
                <c:pt idx="64">
                  <c:v>27.432665599999019</c:v>
                </c:pt>
                <c:pt idx="65">
                  <c:v>28.748573000001489</c:v>
                </c:pt>
                <c:pt idx="66">
                  <c:v>26.74583579999744</c:v>
                </c:pt>
                <c:pt idx="67">
                  <c:v>23.597310599999037</c:v>
                </c:pt>
                <c:pt idx="68">
                  <c:v>23.10726480000303</c:v>
                </c:pt>
                <c:pt idx="69">
                  <c:v>22.870381199999247</c:v>
                </c:pt>
                <c:pt idx="70">
                  <c:v>19.07961340000038</c:v>
                </c:pt>
                <c:pt idx="71">
                  <c:v>25.609152399998855</c:v>
                </c:pt>
                <c:pt idx="72">
                  <c:v>15.787658600002759</c:v>
                </c:pt>
                <c:pt idx="73">
                  <c:v>17.362138199998299</c:v>
                </c:pt>
                <c:pt idx="74">
                  <c:v>22.780119799997191</c:v>
                </c:pt>
                <c:pt idx="75">
                  <c:v>18.304470000002766</c:v>
                </c:pt>
                <c:pt idx="76">
                  <c:v>18.372339800000191</c:v>
                </c:pt>
                <c:pt idx="77">
                  <c:v>18.744057599996449</c:v>
                </c:pt>
                <c:pt idx="78">
                  <c:v>20.051900200004454</c:v>
                </c:pt>
                <c:pt idx="79">
                  <c:v>11.45247499999823</c:v>
                </c:pt>
                <c:pt idx="80">
                  <c:v>25.149180199997499</c:v>
                </c:pt>
                <c:pt idx="81">
                  <c:v>14.411506400001235</c:v>
                </c:pt>
                <c:pt idx="82">
                  <c:v>19.252462400001242</c:v>
                </c:pt>
                <c:pt idx="83">
                  <c:v>14.972459599998546</c:v>
                </c:pt>
                <c:pt idx="84">
                  <c:v>21.639414200000463</c:v>
                </c:pt>
                <c:pt idx="85">
                  <c:v>11.998071000003256</c:v>
                </c:pt>
                <c:pt idx="86">
                  <c:v>18.179061599995478</c:v>
                </c:pt>
                <c:pt idx="87">
                  <c:v>17.791801600001055</c:v>
                </c:pt>
                <c:pt idx="88">
                  <c:v>16.556754200003343</c:v>
                </c:pt>
                <c:pt idx="89">
                  <c:v>19.507144799997334</c:v>
                </c:pt>
                <c:pt idx="90">
                  <c:v>16.283380000002218</c:v>
                </c:pt>
                <c:pt idx="91">
                  <c:v>15.83295780000044</c:v>
                </c:pt>
                <c:pt idx="92">
                  <c:v>3.0270686000003479</c:v>
                </c:pt>
                <c:pt idx="93">
                  <c:v>2.0542475999973249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8-4B70-A774-F1AAC7E5CE7D}"/>
            </c:ext>
          </c:extLst>
        </c:ser>
        <c:ser>
          <c:idx val="2"/>
          <c:order val="1"/>
          <c:tx>
            <c:strRef>
              <c:f>'Results HIGH'!$G$1</c:f>
              <c:strCache>
                <c:ptCount val="1"/>
                <c:pt idx="0">
                  <c:v> Average willingness-to-pay (€/MWh) HIGH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HIGH'!$G$2:$G$102</c:f>
              <c:numCache>
                <c:formatCode>_-* #\ ##0.0_-;\-* #\ ##0.0_-;_-* "-"??_-;_-@_-</c:formatCode>
                <c:ptCount val="101"/>
                <c:pt idx="1">
                  <c:v>505.71277717500055</c:v>
                </c:pt>
                <c:pt idx="2">
                  <c:v>505.71277717500055</c:v>
                </c:pt>
                <c:pt idx="3">
                  <c:v>505.71277717500055</c:v>
                </c:pt>
                <c:pt idx="4">
                  <c:v>505.71277717500055</c:v>
                </c:pt>
                <c:pt idx="5">
                  <c:v>505.71277717500055</c:v>
                </c:pt>
                <c:pt idx="6">
                  <c:v>505.71277717500055</c:v>
                </c:pt>
                <c:pt idx="7">
                  <c:v>505.71277717500055</c:v>
                </c:pt>
                <c:pt idx="8">
                  <c:v>505.71277717500055</c:v>
                </c:pt>
                <c:pt idx="9">
                  <c:v>151.81926785454533</c:v>
                </c:pt>
                <c:pt idx="10">
                  <c:v>151.81926785454533</c:v>
                </c:pt>
                <c:pt idx="11">
                  <c:v>151.81926785454533</c:v>
                </c:pt>
                <c:pt idx="12">
                  <c:v>151.81926785454533</c:v>
                </c:pt>
                <c:pt idx="13">
                  <c:v>151.81926785454533</c:v>
                </c:pt>
                <c:pt idx="14">
                  <c:v>151.81926785454533</c:v>
                </c:pt>
                <c:pt idx="15">
                  <c:v>151.81926785454533</c:v>
                </c:pt>
                <c:pt idx="16">
                  <c:v>151.81926785454533</c:v>
                </c:pt>
                <c:pt idx="17">
                  <c:v>151.81926785454533</c:v>
                </c:pt>
                <c:pt idx="18">
                  <c:v>151.81926785454533</c:v>
                </c:pt>
                <c:pt idx="19">
                  <c:v>151.81926785454533</c:v>
                </c:pt>
                <c:pt idx="20">
                  <c:v>99.670582030000205</c:v>
                </c:pt>
                <c:pt idx="21">
                  <c:v>99.670582030000205</c:v>
                </c:pt>
                <c:pt idx="22">
                  <c:v>99.670582030000205</c:v>
                </c:pt>
                <c:pt idx="23">
                  <c:v>99.670582030000205</c:v>
                </c:pt>
                <c:pt idx="24">
                  <c:v>99.670582030000205</c:v>
                </c:pt>
                <c:pt idx="25">
                  <c:v>99.670582030000205</c:v>
                </c:pt>
                <c:pt idx="26">
                  <c:v>99.670582030000205</c:v>
                </c:pt>
                <c:pt idx="27">
                  <c:v>99.670582030000205</c:v>
                </c:pt>
                <c:pt idx="28">
                  <c:v>99.670582030000205</c:v>
                </c:pt>
                <c:pt idx="29">
                  <c:v>99.670582030000205</c:v>
                </c:pt>
                <c:pt idx="30">
                  <c:v>99.670582030000205</c:v>
                </c:pt>
                <c:pt idx="31">
                  <c:v>99.670582030000205</c:v>
                </c:pt>
                <c:pt idx="32">
                  <c:v>99.670582030000205</c:v>
                </c:pt>
                <c:pt idx="33">
                  <c:v>99.670582030000205</c:v>
                </c:pt>
                <c:pt idx="34">
                  <c:v>99.670582030000205</c:v>
                </c:pt>
                <c:pt idx="35">
                  <c:v>99.670582030000205</c:v>
                </c:pt>
                <c:pt idx="36">
                  <c:v>99.670582030000205</c:v>
                </c:pt>
                <c:pt idx="37">
                  <c:v>99.670582030000205</c:v>
                </c:pt>
                <c:pt idx="38">
                  <c:v>99.670582030000205</c:v>
                </c:pt>
                <c:pt idx="39">
                  <c:v>99.670582030000205</c:v>
                </c:pt>
                <c:pt idx="40">
                  <c:v>48.851065692307351</c:v>
                </c:pt>
                <c:pt idx="41">
                  <c:v>48.851065692307351</c:v>
                </c:pt>
                <c:pt idx="42">
                  <c:v>48.851065692307351</c:v>
                </c:pt>
                <c:pt idx="43">
                  <c:v>48.851065692307351</c:v>
                </c:pt>
                <c:pt idx="44">
                  <c:v>48.851065692307351</c:v>
                </c:pt>
                <c:pt idx="45">
                  <c:v>48.851065692307351</c:v>
                </c:pt>
                <c:pt idx="46">
                  <c:v>48.851065692307351</c:v>
                </c:pt>
                <c:pt idx="47">
                  <c:v>48.851065692307351</c:v>
                </c:pt>
                <c:pt idx="48">
                  <c:v>48.851065692307351</c:v>
                </c:pt>
                <c:pt idx="49">
                  <c:v>48.851065692307351</c:v>
                </c:pt>
                <c:pt idx="50">
                  <c:v>48.851065692307351</c:v>
                </c:pt>
                <c:pt idx="51">
                  <c:v>48.851065692307351</c:v>
                </c:pt>
                <c:pt idx="52">
                  <c:v>48.851065692307351</c:v>
                </c:pt>
                <c:pt idx="53">
                  <c:v>30.625052138461836</c:v>
                </c:pt>
                <c:pt idx="54">
                  <c:v>30.625052138461836</c:v>
                </c:pt>
                <c:pt idx="55">
                  <c:v>30.625052138461836</c:v>
                </c:pt>
                <c:pt idx="56">
                  <c:v>30.625052138461836</c:v>
                </c:pt>
                <c:pt idx="57">
                  <c:v>30.625052138461836</c:v>
                </c:pt>
                <c:pt idx="58">
                  <c:v>30.625052138461836</c:v>
                </c:pt>
                <c:pt idx="59">
                  <c:v>30.625052138461836</c:v>
                </c:pt>
                <c:pt idx="60">
                  <c:v>30.625052138461836</c:v>
                </c:pt>
                <c:pt idx="61">
                  <c:v>30.625052138461836</c:v>
                </c:pt>
                <c:pt idx="62">
                  <c:v>30.625052138461836</c:v>
                </c:pt>
                <c:pt idx="63">
                  <c:v>30.625052138461836</c:v>
                </c:pt>
                <c:pt idx="64">
                  <c:v>30.625052138461836</c:v>
                </c:pt>
                <c:pt idx="65">
                  <c:v>30.625052138461836</c:v>
                </c:pt>
                <c:pt idx="66">
                  <c:v>22.399602400000109</c:v>
                </c:pt>
                <c:pt idx="67">
                  <c:v>22.399602400000109</c:v>
                </c:pt>
                <c:pt idx="68">
                  <c:v>22.399602400000109</c:v>
                </c:pt>
                <c:pt idx="69">
                  <c:v>22.399602400000109</c:v>
                </c:pt>
                <c:pt idx="70">
                  <c:v>22.399602400000109</c:v>
                </c:pt>
                <c:pt idx="71">
                  <c:v>22.399602400000109</c:v>
                </c:pt>
                <c:pt idx="72">
                  <c:v>22.399602400000109</c:v>
                </c:pt>
                <c:pt idx="73">
                  <c:v>19.112625079998981</c:v>
                </c:pt>
                <c:pt idx="74">
                  <c:v>19.112625079998981</c:v>
                </c:pt>
                <c:pt idx="75">
                  <c:v>19.112625079998981</c:v>
                </c:pt>
                <c:pt idx="76">
                  <c:v>19.112625079998981</c:v>
                </c:pt>
                <c:pt idx="77">
                  <c:v>19.112625079998981</c:v>
                </c:pt>
                <c:pt idx="78">
                  <c:v>15.509992825000152</c:v>
                </c:pt>
                <c:pt idx="79">
                  <c:v>15.509992825000152</c:v>
                </c:pt>
                <c:pt idx="80">
                  <c:v>15.509992825000152</c:v>
                </c:pt>
                <c:pt idx="81">
                  <c:v>15.509992825000152</c:v>
                </c:pt>
                <c:pt idx="82">
                  <c:v>15.509992825000152</c:v>
                </c:pt>
                <c:pt idx="83">
                  <c:v>15.509992825000152</c:v>
                </c:pt>
                <c:pt idx="84">
                  <c:v>15.509992825000152</c:v>
                </c:pt>
                <c:pt idx="85">
                  <c:v>15.509992825000152</c:v>
                </c:pt>
                <c:pt idx="86">
                  <c:v>15.509992825000152</c:v>
                </c:pt>
                <c:pt idx="87">
                  <c:v>15.509992825000152</c:v>
                </c:pt>
                <c:pt idx="88">
                  <c:v>15.509992825000152</c:v>
                </c:pt>
                <c:pt idx="89">
                  <c:v>15.509992825000152</c:v>
                </c:pt>
                <c:pt idx="90">
                  <c:v>15.509992825000152</c:v>
                </c:pt>
                <c:pt idx="91">
                  <c:v>15.509992825000152</c:v>
                </c:pt>
                <c:pt idx="92">
                  <c:v>15.509992825000152</c:v>
                </c:pt>
                <c:pt idx="93">
                  <c:v>15.509992825000152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8-4B70-A774-F1AAC7E5C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868608"/>
        <c:axId val="1313869856"/>
      </c:lineChart>
      <c:lineChart>
        <c:grouping val="standard"/>
        <c:varyColors val="0"/>
        <c:ser>
          <c:idx val="3"/>
          <c:order val="4"/>
          <c:tx>
            <c:strRef>
              <c:f>'Results HIGH'!$P$1</c:f>
              <c:strCache>
                <c:ptCount val="1"/>
                <c:pt idx="0">
                  <c:v> System cost of marginal biomass (€/MWh) HIGH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'Results HIGH'!$P$2:$P$102</c:f>
              <c:numCache>
                <c:formatCode>_(* #,##0.00_);_(* \(#,##0.00\);_(* "-"??_);_(@_)</c:formatCode>
                <c:ptCount val="101"/>
                <c:pt idx="0">
                  <c:v>92.102797400599357</c:v>
                </c:pt>
                <c:pt idx="1">
                  <c:v>34.690590444489743</c:v>
                </c:pt>
                <c:pt idx="2">
                  <c:v>26.724460207386898</c:v>
                </c:pt>
                <c:pt idx="3">
                  <c:v>26.734065544548592</c:v>
                </c:pt>
                <c:pt idx="4">
                  <c:v>26.609772820738698</c:v>
                </c:pt>
                <c:pt idx="5">
                  <c:v>26.294253951534323</c:v>
                </c:pt>
                <c:pt idx="6">
                  <c:v>25.120903361980883</c:v>
                </c:pt>
                <c:pt idx="7">
                  <c:v>22.906685631138579</c:v>
                </c:pt>
                <c:pt idx="8">
                  <c:v>18.073086281060167</c:v>
                </c:pt>
                <c:pt idx="9">
                  <c:v>17.614923274349326</c:v>
                </c:pt>
                <c:pt idx="10">
                  <c:v>20.039797364583219</c:v>
                </c:pt>
                <c:pt idx="11">
                  <c:v>20.212309319971574</c:v>
                </c:pt>
                <c:pt idx="12">
                  <c:v>19.872766815374284</c:v>
                </c:pt>
                <c:pt idx="13">
                  <c:v>18.7587567739779</c:v>
                </c:pt>
                <c:pt idx="14">
                  <c:v>18.415878817338381</c:v>
                </c:pt>
                <c:pt idx="15">
                  <c:v>17.566625054745543</c:v>
                </c:pt>
                <c:pt idx="16">
                  <c:v>18.81612990924404</c:v>
                </c:pt>
                <c:pt idx="17">
                  <c:v>18.172340366922249</c:v>
                </c:pt>
                <c:pt idx="18">
                  <c:v>18.028450698290612</c:v>
                </c:pt>
                <c:pt idx="19">
                  <c:v>17.007647112119059</c:v>
                </c:pt>
                <c:pt idx="20">
                  <c:v>16.671691232174268</c:v>
                </c:pt>
                <c:pt idx="21">
                  <c:v>16.671235987977575</c:v>
                </c:pt>
                <c:pt idx="22">
                  <c:v>16.606888723471343</c:v>
                </c:pt>
                <c:pt idx="23">
                  <c:v>16.187659072520638</c:v>
                </c:pt>
                <c:pt idx="24">
                  <c:v>15.501583626098537</c:v>
                </c:pt>
                <c:pt idx="25">
                  <c:v>16.952853176641575</c:v>
                </c:pt>
                <c:pt idx="26">
                  <c:v>16.608962277030614</c:v>
                </c:pt>
                <c:pt idx="27">
                  <c:v>15.977616962921612</c:v>
                </c:pt>
                <c:pt idx="28">
                  <c:v>16.240906371860206</c:v>
                </c:pt>
                <c:pt idx="29">
                  <c:v>16.299421435957051</c:v>
                </c:pt>
                <c:pt idx="30">
                  <c:v>15.95198142992364</c:v>
                </c:pt>
                <c:pt idx="31">
                  <c:v>19.373886886902532</c:v>
                </c:pt>
                <c:pt idx="32">
                  <c:v>19.162266324175828</c:v>
                </c:pt>
                <c:pt idx="33">
                  <c:v>19.257023440670746</c:v>
                </c:pt>
                <c:pt idx="34">
                  <c:v>17.99164438947054</c:v>
                </c:pt>
                <c:pt idx="35">
                  <c:v>18.067346656162311</c:v>
                </c:pt>
                <c:pt idx="36">
                  <c:v>18.012009426168824</c:v>
                </c:pt>
                <c:pt idx="37">
                  <c:v>17.628445667884751</c:v>
                </c:pt>
                <c:pt idx="38">
                  <c:v>17.615020431056294</c:v>
                </c:pt>
                <c:pt idx="39">
                  <c:v>17.500328507181088</c:v>
                </c:pt>
                <c:pt idx="40">
                  <c:v>17.34877693146062</c:v>
                </c:pt>
                <c:pt idx="41">
                  <c:v>17.200427747180036</c:v>
                </c:pt>
                <c:pt idx="42">
                  <c:v>17.21782396219799</c:v>
                </c:pt>
                <c:pt idx="43">
                  <c:v>17.635800303903906</c:v>
                </c:pt>
                <c:pt idx="44">
                  <c:v>17.380401903920802</c:v>
                </c:pt>
                <c:pt idx="45">
                  <c:v>17.149091571901682</c:v>
                </c:pt>
                <c:pt idx="46">
                  <c:v>17.206732613642618</c:v>
                </c:pt>
                <c:pt idx="47">
                  <c:v>17.130902358182947</c:v>
                </c:pt>
                <c:pt idx="48">
                  <c:v>17.139449435883538</c:v>
                </c:pt>
                <c:pt idx="49">
                  <c:v>17.217547970759036</c:v>
                </c:pt>
                <c:pt idx="50">
                  <c:v>17.45733005694445</c:v>
                </c:pt>
                <c:pt idx="51">
                  <c:v>17.215320609892533</c:v>
                </c:pt>
                <c:pt idx="52">
                  <c:v>16.997154248388654</c:v>
                </c:pt>
                <c:pt idx="53">
                  <c:v>16.940933470006765</c:v>
                </c:pt>
                <c:pt idx="54">
                  <c:v>16.812517743072952</c:v>
                </c:pt>
                <c:pt idx="55">
                  <c:v>16.251910090408455</c:v>
                </c:pt>
                <c:pt idx="56">
                  <c:v>26.442852483264733</c:v>
                </c:pt>
                <c:pt idx="57">
                  <c:v>26.485506187765203</c:v>
                </c:pt>
                <c:pt idx="58">
                  <c:v>26.303483417412394</c:v>
                </c:pt>
                <c:pt idx="59">
                  <c:v>26.379304876776029</c:v>
                </c:pt>
                <c:pt idx="60">
                  <c:v>26.227378200436181</c:v>
                </c:pt>
                <c:pt idx="61">
                  <c:v>26.425134208644433</c:v>
                </c:pt>
                <c:pt idx="62">
                  <c:v>26.338878157359034</c:v>
                </c:pt>
                <c:pt idx="63">
                  <c:v>26.356240203996457</c:v>
                </c:pt>
                <c:pt idx="64">
                  <c:v>26.406674027838996</c:v>
                </c:pt>
                <c:pt idx="65">
                  <c:v>26.237673961565957</c:v>
                </c:pt>
                <c:pt idx="66">
                  <c:v>26.093865678493124</c:v>
                </c:pt>
                <c:pt idx="67">
                  <c:v>26.174247663266257</c:v>
                </c:pt>
                <c:pt idx="68">
                  <c:v>26.166540403994276</c:v>
                </c:pt>
                <c:pt idx="69">
                  <c:v>26.057175588105281</c:v>
                </c:pt>
                <c:pt idx="70">
                  <c:v>26.179993921942337</c:v>
                </c:pt>
                <c:pt idx="71">
                  <c:v>26.018138944179476</c:v>
                </c:pt>
                <c:pt idx="72">
                  <c:v>26.212031350595108</c:v>
                </c:pt>
                <c:pt idx="73">
                  <c:v>25.941355272604305</c:v>
                </c:pt>
                <c:pt idx="74">
                  <c:v>22.533773943398828</c:v>
                </c:pt>
                <c:pt idx="75">
                  <c:v>23.942431618357141</c:v>
                </c:pt>
                <c:pt idx="76">
                  <c:v>24.151737396037024</c:v>
                </c:pt>
                <c:pt idx="77">
                  <c:v>24.530337739958107</c:v>
                </c:pt>
                <c:pt idx="78">
                  <c:v>22.908305730757917</c:v>
                </c:pt>
                <c:pt idx="79">
                  <c:v>25.351804894837525</c:v>
                </c:pt>
                <c:pt idx="80">
                  <c:v>22.939178107478433</c:v>
                </c:pt>
                <c:pt idx="81">
                  <c:v>24.075978115478343</c:v>
                </c:pt>
                <c:pt idx="82">
                  <c:v>23.146802251719045</c:v>
                </c:pt>
                <c:pt idx="83">
                  <c:v>25.005460682895528</c:v>
                </c:pt>
                <c:pt idx="84">
                  <c:v>24.042428637854574</c:v>
                </c:pt>
                <c:pt idx="85">
                  <c:v>25.626529815853438</c:v>
                </c:pt>
                <c:pt idx="86">
                  <c:v>25.482623468414346</c:v>
                </c:pt>
                <c:pt idx="87">
                  <c:v>25.948800930255459</c:v>
                </c:pt>
                <c:pt idx="88">
                  <c:v>25.407664761613859</c:v>
                </c:pt>
                <c:pt idx="89">
                  <c:v>24.672403116013946</c:v>
                </c:pt>
                <c:pt idx="90">
                  <c:v>25.26632693281465</c:v>
                </c:pt>
                <c:pt idx="91">
                  <c:v>23.213050025054486</c:v>
                </c:pt>
                <c:pt idx="92">
                  <c:v>37.041153452068514</c:v>
                </c:pt>
                <c:pt idx="93">
                  <c:v>36.944867757029307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4-457F-AD68-958297A8F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421296"/>
        <c:axId val="589423376"/>
      </c:lineChart>
      <c:catAx>
        <c:axId val="131386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Biomass availability (GWh)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9856"/>
        <c:crosses val="autoZero"/>
        <c:auto val="1"/>
        <c:lblAlgn val="ctr"/>
        <c:lblOffset val="100"/>
        <c:noMultiLvlLbl val="0"/>
      </c:catAx>
      <c:valAx>
        <c:axId val="131386985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Marginal</a:t>
                </a:r>
                <a:r>
                  <a:rPr lang="fr-FR" baseline="0"/>
                  <a:t> supply cost/willingness-to-pay (€/MWh)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8608"/>
        <c:crosses val="autoZero"/>
        <c:crossBetween val="between"/>
      </c:valAx>
      <c:valAx>
        <c:axId val="589423376"/>
        <c:scaling>
          <c:orientation val="minMax"/>
          <c:max val="200"/>
        </c:scaling>
        <c:delete val="1"/>
        <c:axPos val="r"/>
        <c:numFmt formatCode="_(* #,##0.00_);_(* \(#,##0.00\);_(* &quot;-&quot;??_);_(@_)" sourceLinked="1"/>
        <c:majorTickMark val="out"/>
        <c:minorTickMark val="none"/>
        <c:tickLblPos val="nextTo"/>
        <c:crossAx val="589421296"/>
        <c:crosses val="max"/>
        <c:crossBetween val="between"/>
      </c:valAx>
      <c:catAx>
        <c:axId val="589421296"/>
        <c:scaling>
          <c:orientation val="minMax"/>
        </c:scaling>
        <c:delete val="1"/>
        <c:axPos val="b"/>
        <c:numFmt formatCode="_-* #\ ##0_-;\-* #\ ##0_-;_-* &quot;-&quot;??_-;_-@_-" sourceLinked="1"/>
        <c:majorTickMark val="out"/>
        <c:minorTickMark val="none"/>
        <c:tickLblPos val="nextTo"/>
        <c:crossAx val="5894233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76231306736427"/>
          <c:y val="0.27797133765358978"/>
          <c:w val="0.1368645111160966"/>
          <c:h val="0.50295124613848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of marginal use and supply regarding biomass availability (GWh/y) FRANCE_MED_ 2050  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899222848189997E-2"/>
          <c:y val="0.10941002949852507"/>
          <c:w val="0.7087350875073668"/>
          <c:h val="0.70529997909553344"/>
        </c:manualLayout>
      </c:layout>
      <c:areaChart>
        <c:grouping val="stacked"/>
        <c:varyColors val="0"/>
        <c:ser>
          <c:idx val="4"/>
          <c:order val="2"/>
          <c:tx>
            <c:strRef>
              <c:f>'Results HIGH'!$W$1</c:f>
              <c:strCache>
                <c:ptCount val="1"/>
                <c:pt idx="0">
                  <c:v> Marginal supply cost (€/MWh) MED 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9050">
              <a:solidFill>
                <a:srgbClr val="F79646">
                  <a:lumMod val="75000"/>
                </a:srgbClr>
              </a:solidFill>
              <a:prstDash val="solid"/>
            </a:ln>
            <a:effectLst/>
          </c:spPr>
          <c:cat>
            <c:numRef>
              <c:f>'Results HIGH'!$B$6:$B$52</c:f>
              <c:numCache>
                <c:formatCode>_-* #\ ##0_-;\-* #\ ##0_-;_-* "-"??_-;_-@_-</c:formatCode>
                <c:ptCount val="47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135000</c:v>
                </c:pt>
                <c:pt idx="4">
                  <c:v>140000</c:v>
                </c:pt>
                <c:pt idx="5">
                  <c:v>145000</c:v>
                </c:pt>
                <c:pt idx="6">
                  <c:v>150000</c:v>
                </c:pt>
                <c:pt idx="7">
                  <c:v>155000</c:v>
                </c:pt>
                <c:pt idx="8">
                  <c:v>160000</c:v>
                </c:pt>
                <c:pt idx="9">
                  <c:v>165000</c:v>
                </c:pt>
                <c:pt idx="10">
                  <c:v>170000</c:v>
                </c:pt>
                <c:pt idx="11">
                  <c:v>175000</c:v>
                </c:pt>
                <c:pt idx="12">
                  <c:v>180000</c:v>
                </c:pt>
                <c:pt idx="13">
                  <c:v>185000</c:v>
                </c:pt>
                <c:pt idx="14">
                  <c:v>190000</c:v>
                </c:pt>
                <c:pt idx="15">
                  <c:v>195000</c:v>
                </c:pt>
                <c:pt idx="16">
                  <c:v>200000</c:v>
                </c:pt>
                <c:pt idx="17">
                  <c:v>205000</c:v>
                </c:pt>
                <c:pt idx="18">
                  <c:v>210000</c:v>
                </c:pt>
                <c:pt idx="19">
                  <c:v>215000</c:v>
                </c:pt>
                <c:pt idx="20">
                  <c:v>220000</c:v>
                </c:pt>
                <c:pt idx="21">
                  <c:v>225000</c:v>
                </c:pt>
                <c:pt idx="22">
                  <c:v>230000</c:v>
                </c:pt>
                <c:pt idx="23">
                  <c:v>235000</c:v>
                </c:pt>
                <c:pt idx="24">
                  <c:v>240000</c:v>
                </c:pt>
                <c:pt idx="25">
                  <c:v>245000</c:v>
                </c:pt>
                <c:pt idx="26">
                  <c:v>250000</c:v>
                </c:pt>
                <c:pt idx="27">
                  <c:v>255000</c:v>
                </c:pt>
                <c:pt idx="28">
                  <c:v>260000</c:v>
                </c:pt>
                <c:pt idx="29">
                  <c:v>265000</c:v>
                </c:pt>
                <c:pt idx="30">
                  <c:v>270000</c:v>
                </c:pt>
                <c:pt idx="31">
                  <c:v>275000</c:v>
                </c:pt>
                <c:pt idx="32">
                  <c:v>280000</c:v>
                </c:pt>
                <c:pt idx="33">
                  <c:v>285000</c:v>
                </c:pt>
                <c:pt idx="34">
                  <c:v>290000</c:v>
                </c:pt>
                <c:pt idx="35">
                  <c:v>295000</c:v>
                </c:pt>
                <c:pt idx="36">
                  <c:v>300000</c:v>
                </c:pt>
                <c:pt idx="37">
                  <c:v>305000</c:v>
                </c:pt>
                <c:pt idx="38">
                  <c:v>310000</c:v>
                </c:pt>
                <c:pt idx="39">
                  <c:v>315000</c:v>
                </c:pt>
                <c:pt idx="40">
                  <c:v>320000</c:v>
                </c:pt>
                <c:pt idx="41">
                  <c:v>325000</c:v>
                </c:pt>
                <c:pt idx="42">
                  <c:v>330000</c:v>
                </c:pt>
                <c:pt idx="43">
                  <c:v>335000</c:v>
                </c:pt>
                <c:pt idx="44">
                  <c:v>340000</c:v>
                </c:pt>
                <c:pt idx="45">
                  <c:v>345000</c:v>
                </c:pt>
                <c:pt idx="46">
                  <c:v>350000</c:v>
                </c:pt>
              </c:numCache>
            </c:numRef>
          </c:cat>
          <c:val>
            <c:numRef>
              <c:f>'Results HIGH'!$W$6:$W$52</c:f>
              <c:numCache>
                <c:formatCode>_-* #\ ##0.0_-;\-* #\ ##0.0_-;_-* "-"??_-;_-@_-</c:formatCode>
                <c:ptCount val="47"/>
                <c:pt idx="1">
                  <c:v>8.0893504559270539</c:v>
                </c:pt>
                <c:pt idx="2">
                  <c:v>8.0893504559270539</c:v>
                </c:pt>
                <c:pt idx="3">
                  <c:v>8.0893504559270539</c:v>
                </c:pt>
                <c:pt idx="4">
                  <c:v>8.0893504559270539</c:v>
                </c:pt>
                <c:pt idx="5">
                  <c:v>8.1622330434782633</c:v>
                </c:pt>
                <c:pt idx="6">
                  <c:v>0.19956115953864181</c:v>
                </c:pt>
                <c:pt idx="7">
                  <c:v>0.19956115953864181</c:v>
                </c:pt>
                <c:pt idx="8">
                  <c:v>0.19956115953864181</c:v>
                </c:pt>
                <c:pt idx="9">
                  <c:v>0.19956115953864181</c:v>
                </c:pt>
                <c:pt idx="10">
                  <c:v>14.87607072643825</c:v>
                </c:pt>
                <c:pt idx="11">
                  <c:v>14.87607072643825</c:v>
                </c:pt>
                <c:pt idx="12">
                  <c:v>24.51298899676376</c:v>
                </c:pt>
                <c:pt idx="13">
                  <c:v>24.51298899676376</c:v>
                </c:pt>
                <c:pt idx="14">
                  <c:v>24.51298899676376</c:v>
                </c:pt>
                <c:pt idx="15">
                  <c:v>24.51298899676376</c:v>
                </c:pt>
                <c:pt idx="16">
                  <c:v>24.51298899676376</c:v>
                </c:pt>
                <c:pt idx="17">
                  <c:v>24.51298899676376</c:v>
                </c:pt>
                <c:pt idx="18">
                  <c:v>24.51298899676376</c:v>
                </c:pt>
                <c:pt idx="19">
                  <c:v>24.51298899676376</c:v>
                </c:pt>
                <c:pt idx="20">
                  <c:v>24.51298899676376</c:v>
                </c:pt>
                <c:pt idx="21">
                  <c:v>24.51298899676376</c:v>
                </c:pt>
                <c:pt idx="22">
                  <c:v>24.51298899676376</c:v>
                </c:pt>
                <c:pt idx="23">
                  <c:v>24.51298899676376</c:v>
                </c:pt>
                <c:pt idx="24">
                  <c:v>24.51298899676376</c:v>
                </c:pt>
                <c:pt idx="25">
                  <c:v>24.51298899676376</c:v>
                </c:pt>
                <c:pt idx="26">
                  <c:v>24.51298899676376</c:v>
                </c:pt>
                <c:pt idx="27">
                  <c:v>24.51298899676376</c:v>
                </c:pt>
                <c:pt idx="28">
                  <c:v>16.663244636678197</c:v>
                </c:pt>
                <c:pt idx="29">
                  <c:v>16.663244636678197</c:v>
                </c:pt>
                <c:pt idx="30">
                  <c:v>16.663244636678197</c:v>
                </c:pt>
                <c:pt idx="31">
                  <c:v>16.663244636678197</c:v>
                </c:pt>
                <c:pt idx="32">
                  <c:v>16.663244636678197</c:v>
                </c:pt>
                <c:pt idx="33">
                  <c:v>16.663244636678197</c:v>
                </c:pt>
                <c:pt idx="34">
                  <c:v>17.576198730734365</c:v>
                </c:pt>
                <c:pt idx="35">
                  <c:v>17.576198730734365</c:v>
                </c:pt>
                <c:pt idx="36">
                  <c:v>17.576198730734365</c:v>
                </c:pt>
                <c:pt idx="37">
                  <c:v>17.576198730734365</c:v>
                </c:pt>
                <c:pt idx="38">
                  <c:v>17.576198730734365</c:v>
                </c:pt>
                <c:pt idx="39">
                  <c:v>17.576198730734365</c:v>
                </c:pt>
                <c:pt idx="40">
                  <c:v>17.576198730734365</c:v>
                </c:pt>
                <c:pt idx="41">
                  <c:v>#N/A</c:v>
                </c:pt>
                <c:pt idx="42">
                  <c:v>39.798225000000002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5-474E-BC0B-E3D0C1C65A0A}"/>
            </c:ext>
          </c:extLst>
        </c:ser>
        <c:ser>
          <c:idx val="1"/>
          <c:order val="3"/>
          <c:tx>
            <c:strRef>
              <c:f>'Results HIGH'!$Z$1</c:f>
              <c:strCache>
                <c:ptCount val="1"/>
                <c:pt idx="0">
                  <c:v> Carbon cost of marginal biomass (€/MWh) MED </c:v>
                </c:pt>
              </c:strCache>
            </c:strRef>
          </c:tx>
          <c:spPr>
            <a:pattFill prst="dkDnDiag">
              <a:fgClr>
                <a:srgbClr val="F79646">
                  <a:lumMod val="75000"/>
                </a:srgbClr>
              </a:fgClr>
              <a:bgClr>
                <a:sysClr val="window" lastClr="FFFFFF"/>
              </a:bgClr>
            </a:pattFill>
            <a:ln>
              <a:noFill/>
            </a:ln>
            <a:effectLst/>
          </c:spPr>
          <c:cat>
            <c:numRef>
              <c:f>'Results HIGH'!$B$6:$B$52</c:f>
              <c:numCache>
                <c:formatCode>_-* #\ ##0_-;\-* #\ ##0_-;_-* "-"??_-;_-@_-</c:formatCode>
                <c:ptCount val="47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135000</c:v>
                </c:pt>
                <c:pt idx="4">
                  <c:v>140000</c:v>
                </c:pt>
                <c:pt idx="5">
                  <c:v>145000</c:v>
                </c:pt>
                <c:pt idx="6">
                  <c:v>150000</c:v>
                </c:pt>
                <c:pt idx="7">
                  <c:v>155000</c:v>
                </c:pt>
                <c:pt idx="8">
                  <c:v>160000</c:v>
                </c:pt>
                <c:pt idx="9">
                  <c:v>165000</c:v>
                </c:pt>
                <c:pt idx="10">
                  <c:v>170000</c:v>
                </c:pt>
                <c:pt idx="11">
                  <c:v>175000</c:v>
                </c:pt>
                <c:pt idx="12">
                  <c:v>180000</c:v>
                </c:pt>
                <c:pt idx="13">
                  <c:v>185000</c:v>
                </c:pt>
                <c:pt idx="14">
                  <c:v>190000</c:v>
                </c:pt>
                <c:pt idx="15">
                  <c:v>195000</c:v>
                </c:pt>
                <c:pt idx="16">
                  <c:v>200000</c:v>
                </c:pt>
                <c:pt idx="17">
                  <c:v>205000</c:v>
                </c:pt>
                <c:pt idx="18">
                  <c:v>210000</c:v>
                </c:pt>
                <c:pt idx="19">
                  <c:v>215000</c:v>
                </c:pt>
                <c:pt idx="20">
                  <c:v>220000</c:v>
                </c:pt>
                <c:pt idx="21">
                  <c:v>225000</c:v>
                </c:pt>
                <c:pt idx="22">
                  <c:v>230000</c:v>
                </c:pt>
                <c:pt idx="23">
                  <c:v>235000</c:v>
                </c:pt>
                <c:pt idx="24">
                  <c:v>240000</c:v>
                </c:pt>
                <c:pt idx="25">
                  <c:v>245000</c:v>
                </c:pt>
                <c:pt idx="26">
                  <c:v>250000</c:v>
                </c:pt>
                <c:pt idx="27">
                  <c:v>255000</c:v>
                </c:pt>
                <c:pt idx="28">
                  <c:v>260000</c:v>
                </c:pt>
                <c:pt idx="29">
                  <c:v>265000</c:v>
                </c:pt>
                <c:pt idx="30">
                  <c:v>270000</c:v>
                </c:pt>
                <c:pt idx="31">
                  <c:v>275000</c:v>
                </c:pt>
                <c:pt idx="32">
                  <c:v>280000</c:v>
                </c:pt>
                <c:pt idx="33">
                  <c:v>285000</c:v>
                </c:pt>
                <c:pt idx="34">
                  <c:v>290000</c:v>
                </c:pt>
                <c:pt idx="35">
                  <c:v>295000</c:v>
                </c:pt>
                <c:pt idx="36">
                  <c:v>300000</c:v>
                </c:pt>
                <c:pt idx="37">
                  <c:v>305000</c:v>
                </c:pt>
                <c:pt idx="38">
                  <c:v>310000</c:v>
                </c:pt>
                <c:pt idx="39">
                  <c:v>315000</c:v>
                </c:pt>
                <c:pt idx="40">
                  <c:v>320000</c:v>
                </c:pt>
                <c:pt idx="41">
                  <c:v>325000</c:v>
                </c:pt>
                <c:pt idx="42">
                  <c:v>330000</c:v>
                </c:pt>
                <c:pt idx="43">
                  <c:v>335000</c:v>
                </c:pt>
                <c:pt idx="44">
                  <c:v>340000</c:v>
                </c:pt>
                <c:pt idx="45">
                  <c:v>345000</c:v>
                </c:pt>
                <c:pt idx="46">
                  <c:v>350000</c:v>
                </c:pt>
              </c:numCache>
            </c:numRef>
          </c:cat>
          <c:val>
            <c:numRef>
              <c:f>'Results HIGH'!$Z$6:$Z$52</c:f>
              <c:numCache>
                <c:formatCode>_-* #\ ##0.0_-;\-* #\ ##0.0_-;_-* "-"??_-;_-@_-</c:formatCode>
                <c:ptCount val="47"/>
                <c:pt idx="1">
                  <c:v>29.492146086648578</c:v>
                </c:pt>
                <c:pt idx="2">
                  <c:v>26.644868851967441</c:v>
                </c:pt>
                <c:pt idx="3">
                  <c:v>25.841022938941016</c:v>
                </c:pt>
                <c:pt idx="4">
                  <c:v>19.570220266829331</c:v>
                </c:pt>
                <c:pt idx="5">
                  <c:v>17.00399054970546</c:v>
                </c:pt>
                <c:pt idx="6">
                  <c:v>29.583872009352429</c:v>
                </c:pt>
                <c:pt idx="7">
                  <c:v>24.007563948959564</c:v>
                </c:pt>
                <c:pt idx="8">
                  <c:v>23.196685746095127</c:v>
                </c:pt>
                <c:pt idx="9">
                  <c:v>21.549750562368391</c:v>
                </c:pt>
                <c:pt idx="10">
                  <c:v>6.7475151586751023</c:v>
                </c:pt>
                <c:pt idx="11">
                  <c:v>6.9769336062597738</c:v>
                </c:pt>
                <c:pt idx="12">
                  <c:v>6.3773272705207873</c:v>
                </c:pt>
                <c:pt idx="13">
                  <c:v>6.3523220842561408</c:v>
                </c:pt>
                <c:pt idx="14">
                  <c:v>5.7544974868973879</c:v>
                </c:pt>
                <c:pt idx="15">
                  <c:v>4.6770344374739006</c:v>
                </c:pt>
                <c:pt idx="16">
                  <c:v>5.3752980259193057</c:v>
                </c:pt>
                <c:pt idx="17">
                  <c:v>4.9032175639290516</c:v>
                </c:pt>
                <c:pt idx="18">
                  <c:v>4.5056200932884991</c:v>
                </c:pt>
                <c:pt idx="19">
                  <c:v>5.2685721085096189</c:v>
                </c:pt>
                <c:pt idx="20">
                  <c:v>4.6841686143704937</c:v>
                </c:pt>
                <c:pt idx="21">
                  <c:v>4.7845737015158027</c:v>
                </c:pt>
                <c:pt idx="22">
                  <c:v>4.8037326291817353</c:v>
                </c:pt>
                <c:pt idx="23">
                  <c:v>4.881049522339719</c:v>
                </c:pt>
                <c:pt idx="24">
                  <c:v>4.284936113657948</c:v>
                </c:pt>
                <c:pt idx="25">
                  <c:v>4.5508526267240708</c:v>
                </c:pt>
                <c:pt idx="26">
                  <c:v>5.2579769043226339</c:v>
                </c:pt>
                <c:pt idx="27">
                  <c:v>4.6405670748219183</c:v>
                </c:pt>
                <c:pt idx="28">
                  <c:v>23.948598620158837</c:v>
                </c:pt>
                <c:pt idx="29">
                  <c:v>18.919453452480347</c:v>
                </c:pt>
                <c:pt idx="30">
                  <c:v>17.62143304895945</c:v>
                </c:pt>
                <c:pt idx="31">
                  <c:v>15.74013292415891</c:v>
                </c:pt>
                <c:pt idx="32">
                  <c:v>17.821310925608053</c:v>
                </c:pt>
                <c:pt idx="33">
                  <c:v>18.584109335520303</c:v>
                </c:pt>
                <c:pt idx="34">
                  <c:v>15.833110499999222</c:v>
                </c:pt>
                <c:pt idx="35">
                  <c:v>15.844235502240366</c:v>
                </c:pt>
                <c:pt idx="36">
                  <c:v>13.329128711519559</c:v>
                </c:pt>
                <c:pt idx="37">
                  <c:v>10.298453691599686</c:v>
                </c:pt>
                <c:pt idx="38">
                  <c:v>10.725323490720106</c:v>
                </c:pt>
                <c:pt idx="39">
                  <c:v>11.081211605278812</c:v>
                </c:pt>
                <c:pt idx="40">
                  <c:v>10.985511636720112</c:v>
                </c:pt>
                <c:pt idx="41">
                  <c:v>#N/A</c:v>
                </c:pt>
                <c:pt idx="42">
                  <c:v>9.0696569068793309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3-4B82-8E4E-2ADC82CD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584208"/>
        <c:axId val="966600016"/>
      </c:areaChart>
      <c:lineChart>
        <c:grouping val="standard"/>
        <c:varyColors val="0"/>
        <c:ser>
          <c:idx val="0"/>
          <c:order val="0"/>
          <c:tx>
            <c:strRef>
              <c:f>'Results HIGH'!$S$1</c:f>
              <c:strCache>
                <c:ptCount val="1"/>
                <c:pt idx="0">
                  <c:v> Marginal value of solid biomass (€/MWh) MED </c:v>
                </c:pt>
              </c:strCache>
            </c:strRef>
          </c:tx>
          <c:spPr>
            <a:ln w="28575" cap="rnd">
              <a:solidFill>
                <a:srgbClr val="F79646">
                  <a:lumMod val="75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HIGH'!$B$6:$B$52</c:f>
              <c:numCache>
                <c:formatCode>_-* #\ ##0_-;\-* #\ ##0_-;_-* "-"??_-;_-@_-</c:formatCode>
                <c:ptCount val="47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135000</c:v>
                </c:pt>
                <c:pt idx="4">
                  <c:v>140000</c:v>
                </c:pt>
                <c:pt idx="5">
                  <c:v>145000</c:v>
                </c:pt>
                <c:pt idx="6">
                  <c:v>150000</c:v>
                </c:pt>
                <c:pt idx="7">
                  <c:v>155000</c:v>
                </c:pt>
                <c:pt idx="8">
                  <c:v>160000</c:v>
                </c:pt>
                <c:pt idx="9">
                  <c:v>165000</c:v>
                </c:pt>
                <c:pt idx="10">
                  <c:v>170000</c:v>
                </c:pt>
                <c:pt idx="11">
                  <c:v>175000</c:v>
                </c:pt>
                <c:pt idx="12">
                  <c:v>180000</c:v>
                </c:pt>
                <c:pt idx="13">
                  <c:v>185000</c:v>
                </c:pt>
                <c:pt idx="14">
                  <c:v>190000</c:v>
                </c:pt>
                <c:pt idx="15">
                  <c:v>195000</c:v>
                </c:pt>
                <c:pt idx="16">
                  <c:v>200000</c:v>
                </c:pt>
                <c:pt idx="17">
                  <c:v>205000</c:v>
                </c:pt>
                <c:pt idx="18">
                  <c:v>210000</c:v>
                </c:pt>
                <c:pt idx="19">
                  <c:v>215000</c:v>
                </c:pt>
                <c:pt idx="20">
                  <c:v>220000</c:v>
                </c:pt>
                <c:pt idx="21">
                  <c:v>225000</c:v>
                </c:pt>
                <c:pt idx="22">
                  <c:v>230000</c:v>
                </c:pt>
                <c:pt idx="23">
                  <c:v>235000</c:v>
                </c:pt>
                <c:pt idx="24">
                  <c:v>240000</c:v>
                </c:pt>
                <c:pt idx="25">
                  <c:v>245000</c:v>
                </c:pt>
                <c:pt idx="26">
                  <c:v>250000</c:v>
                </c:pt>
                <c:pt idx="27">
                  <c:v>255000</c:v>
                </c:pt>
                <c:pt idx="28">
                  <c:v>260000</c:v>
                </c:pt>
                <c:pt idx="29">
                  <c:v>265000</c:v>
                </c:pt>
                <c:pt idx="30">
                  <c:v>270000</c:v>
                </c:pt>
                <c:pt idx="31">
                  <c:v>275000</c:v>
                </c:pt>
                <c:pt idx="32">
                  <c:v>280000</c:v>
                </c:pt>
                <c:pt idx="33">
                  <c:v>285000</c:v>
                </c:pt>
                <c:pt idx="34">
                  <c:v>290000</c:v>
                </c:pt>
                <c:pt idx="35">
                  <c:v>295000</c:v>
                </c:pt>
                <c:pt idx="36">
                  <c:v>300000</c:v>
                </c:pt>
                <c:pt idx="37">
                  <c:v>305000</c:v>
                </c:pt>
                <c:pt idx="38">
                  <c:v>310000</c:v>
                </c:pt>
                <c:pt idx="39">
                  <c:v>315000</c:v>
                </c:pt>
                <c:pt idx="40">
                  <c:v>320000</c:v>
                </c:pt>
                <c:pt idx="41">
                  <c:v>325000</c:v>
                </c:pt>
                <c:pt idx="42">
                  <c:v>330000</c:v>
                </c:pt>
                <c:pt idx="43">
                  <c:v>335000</c:v>
                </c:pt>
                <c:pt idx="44">
                  <c:v>340000</c:v>
                </c:pt>
                <c:pt idx="45">
                  <c:v>345000</c:v>
                </c:pt>
                <c:pt idx="46">
                  <c:v>350000</c:v>
                </c:pt>
              </c:numCache>
            </c:numRef>
          </c:cat>
          <c:val>
            <c:numRef>
              <c:f>'Results HIGH'!$S$6:$S$52</c:f>
              <c:numCache>
                <c:formatCode>_-* #\ ##0_-;\-* #\ ##0_-;_-* "-"??_-;_-@_-</c:formatCode>
                <c:ptCount val="47"/>
                <c:pt idx="1">
                  <c:v>577.66116720000286</c:v>
                </c:pt>
                <c:pt idx="2">
                  <c:v>392.6485335999925</c:v>
                </c:pt>
                <c:pt idx="3">
                  <c:v>373.12563660000455</c:v>
                </c:pt>
                <c:pt idx="4">
                  <c:v>362.23499339999984</c:v>
                </c:pt>
                <c:pt idx="5">
                  <c:v>266.12272899999516</c:v>
                </c:pt>
                <c:pt idx="6">
                  <c:v>248.1223546000023</c:v>
                </c:pt>
                <c:pt idx="7">
                  <c:v>231.17910960000006</c:v>
                </c:pt>
                <c:pt idx="8">
                  <c:v>192.99052680000315</c:v>
                </c:pt>
                <c:pt idx="9">
                  <c:v>183.68615019999561</c:v>
                </c:pt>
                <c:pt idx="10">
                  <c:v>168.21183060000186</c:v>
                </c:pt>
                <c:pt idx="11">
                  <c:v>165.62969520000041</c:v>
                </c:pt>
                <c:pt idx="12">
                  <c:v>158.2714947999979</c:v>
                </c:pt>
                <c:pt idx="13">
                  <c:v>137.42407600000149</c:v>
                </c:pt>
                <c:pt idx="14">
                  <c:v>135.92470939999913</c:v>
                </c:pt>
                <c:pt idx="15">
                  <c:v>116.77594099999988</c:v>
                </c:pt>
                <c:pt idx="16">
                  <c:v>100.77220979999983</c:v>
                </c:pt>
                <c:pt idx="17">
                  <c:v>108.5094174000027</c:v>
                </c:pt>
                <c:pt idx="18">
                  <c:v>107.19794999999577</c:v>
                </c:pt>
                <c:pt idx="19">
                  <c:v>98.057315800001376</c:v>
                </c:pt>
                <c:pt idx="20">
                  <c:v>106.25808539999998</c:v>
                </c:pt>
                <c:pt idx="21">
                  <c:v>100.4113972000021</c:v>
                </c:pt>
                <c:pt idx="22">
                  <c:v>100.12781759999925</c:v>
                </c:pt>
                <c:pt idx="23">
                  <c:v>102.64236140000286</c:v>
                </c:pt>
                <c:pt idx="24">
                  <c:v>100.86555459999946</c:v>
                </c:pt>
                <c:pt idx="25">
                  <c:v>98.710106600000287</c:v>
                </c:pt>
                <c:pt idx="26">
                  <c:v>97.336445399996592</c:v>
                </c:pt>
                <c:pt idx="27">
                  <c:v>105.29621359999874</c:v>
                </c:pt>
                <c:pt idx="28">
                  <c:v>87.151742600003502</c:v>
                </c:pt>
                <c:pt idx="29">
                  <c:v>88.843667999998431</c:v>
                </c:pt>
                <c:pt idx="30">
                  <c:v>69.019873599999116</c:v>
                </c:pt>
                <c:pt idx="31">
                  <c:v>65.585099200002148</c:v>
                </c:pt>
                <c:pt idx="32">
                  <c:v>59.069882599997797</c:v>
                </c:pt>
                <c:pt idx="33">
                  <c:v>57.401668599998807</c:v>
                </c:pt>
                <c:pt idx="34">
                  <c:v>55.099901200004389</c:v>
                </c:pt>
                <c:pt idx="35">
                  <c:v>53.595094999996945</c:v>
                </c:pt>
                <c:pt idx="36">
                  <c:v>41.608572600001935</c:v>
                </c:pt>
                <c:pt idx="37">
                  <c:v>41.922876199998427</c:v>
                </c:pt>
                <c:pt idx="38">
                  <c:v>33.250249199999963</c:v>
                </c:pt>
                <c:pt idx="39">
                  <c:v>35.753259800001977</c:v>
                </c:pt>
                <c:pt idx="40">
                  <c:v>31.001362599997083</c:v>
                </c:pt>
                <c:pt idx="41">
                  <c:v>25.735548200004267</c:v>
                </c:pt>
                <c:pt idx="42">
                  <c:v>10.804069599998185</c:v>
                </c:pt>
                <c:pt idx="43">
                  <c:v>-2.2096079999988434</c:v>
                </c:pt>
                <c:pt idx="44">
                  <c:v>1.1930521999951453</c:v>
                </c:pt>
                <c:pt idx="45">
                  <c:v>-2.5325525999942329</c:v>
                </c:pt>
                <c:pt idx="46">
                  <c:v>3.2354255999962334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5-474E-BC0B-E3D0C1C65A0A}"/>
            </c:ext>
          </c:extLst>
        </c:ser>
        <c:ser>
          <c:idx val="2"/>
          <c:order val="1"/>
          <c:tx>
            <c:strRef>
              <c:f>'Results HIGH'!$U$1</c:f>
              <c:strCache>
                <c:ptCount val="1"/>
                <c:pt idx="0">
                  <c:v> Average willingness-to-pay (€/MWh) MED </c:v>
                </c:pt>
              </c:strCache>
            </c:strRef>
          </c:tx>
          <c:spPr>
            <a:ln w="28575" cap="rnd">
              <a:solidFill>
                <a:srgbClr val="F79646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'Results HIGH'!$B$6:$B$52</c:f>
              <c:numCache>
                <c:formatCode>_-* #\ ##0_-;\-* #\ ##0_-;_-* "-"??_-;_-@_-</c:formatCode>
                <c:ptCount val="47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135000</c:v>
                </c:pt>
                <c:pt idx="4">
                  <c:v>140000</c:v>
                </c:pt>
                <c:pt idx="5">
                  <c:v>145000</c:v>
                </c:pt>
                <c:pt idx="6">
                  <c:v>150000</c:v>
                </c:pt>
                <c:pt idx="7">
                  <c:v>155000</c:v>
                </c:pt>
                <c:pt idx="8">
                  <c:v>160000</c:v>
                </c:pt>
                <c:pt idx="9">
                  <c:v>165000</c:v>
                </c:pt>
                <c:pt idx="10">
                  <c:v>170000</c:v>
                </c:pt>
                <c:pt idx="11">
                  <c:v>175000</c:v>
                </c:pt>
                <c:pt idx="12">
                  <c:v>180000</c:v>
                </c:pt>
                <c:pt idx="13">
                  <c:v>185000</c:v>
                </c:pt>
                <c:pt idx="14">
                  <c:v>190000</c:v>
                </c:pt>
                <c:pt idx="15">
                  <c:v>195000</c:v>
                </c:pt>
                <c:pt idx="16">
                  <c:v>200000</c:v>
                </c:pt>
                <c:pt idx="17">
                  <c:v>205000</c:v>
                </c:pt>
                <c:pt idx="18">
                  <c:v>210000</c:v>
                </c:pt>
                <c:pt idx="19">
                  <c:v>215000</c:v>
                </c:pt>
                <c:pt idx="20">
                  <c:v>220000</c:v>
                </c:pt>
                <c:pt idx="21">
                  <c:v>225000</c:v>
                </c:pt>
                <c:pt idx="22">
                  <c:v>230000</c:v>
                </c:pt>
                <c:pt idx="23">
                  <c:v>235000</c:v>
                </c:pt>
                <c:pt idx="24">
                  <c:v>240000</c:v>
                </c:pt>
                <c:pt idx="25">
                  <c:v>245000</c:v>
                </c:pt>
                <c:pt idx="26">
                  <c:v>250000</c:v>
                </c:pt>
                <c:pt idx="27">
                  <c:v>255000</c:v>
                </c:pt>
                <c:pt idx="28">
                  <c:v>260000</c:v>
                </c:pt>
                <c:pt idx="29">
                  <c:v>265000</c:v>
                </c:pt>
                <c:pt idx="30">
                  <c:v>270000</c:v>
                </c:pt>
                <c:pt idx="31">
                  <c:v>275000</c:v>
                </c:pt>
                <c:pt idx="32">
                  <c:v>280000</c:v>
                </c:pt>
                <c:pt idx="33">
                  <c:v>285000</c:v>
                </c:pt>
                <c:pt idx="34">
                  <c:v>290000</c:v>
                </c:pt>
                <c:pt idx="35">
                  <c:v>295000</c:v>
                </c:pt>
                <c:pt idx="36">
                  <c:v>300000</c:v>
                </c:pt>
                <c:pt idx="37">
                  <c:v>305000</c:v>
                </c:pt>
                <c:pt idx="38">
                  <c:v>310000</c:v>
                </c:pt>
                <c:pt idx="39">
                  <c:v>315000</c:v>
                </c:pt>
                <c:pt idx="40">
                  <c:v>320000</c:v>
                </c:pt>
                <c:pt idx="41">
                  <c:v>325000</c:v>
                </c:pt>
                <c:pt idx="42">
                  <c:v>330000</c:v>
                </c:pt>
                <c:pt idx="43">
                  <c:v>335000</c:v>
                </c:pt>
                <c:pt idx="44">
                  <c:v>340000</c:v>
                </c:pt>
                <c:pt idx="45">
                  <c:v>345000</c:v>
                </c:pt>
                <c:pt idx="46">
                  <c:v>350000</c:v>
                </c:pt>
              </c:numCache>
            </c:numRef>
          </c:cat>
          <c:val>
            <c:numRef>
              <c:f>'Results HIGH'!$U$6:$U$52</c:f>
              <c:numCache>
                <c:formatCode>_-* #\ ##0_-;\-* #\ ##0_-;_-* "-"??_-;_-@_-</c:formatCode>
                <c:ptCount val="47"/>
                <c:pt idx="1">
                  <c:v>426.41758269999997</c:v>
                </c:pt>
                <c:pt idx="2">
                  <c:v>426.41758269999997</c:v>
                </c:pt>
                <c:pt idx="3">
                  <c:v>426.41758269999997</c:v>
                </c:pt>
                <c:pt idx="4">
                  <c:v>426.41758269999997</c:v>
                </c:pt>
                <c:pt idx="5">
                  <c:v>182.2126015636361</c:v>
                </c:pt>
                <c:pt idx="6">
                  <c:v>182.2126015636361</c:v>
                </c:pt>
                <c:pt idx="7">
                  <c:v>182.2126015636361</c:v>
                </c:pt>
                <c:pt idx="8">
                  <c:v>182.2126015636361</c:v>
                </c:pt>
                <c:pt idx="9">
                  <c:v>182.2126015636361</c:v>
                </c:pt>
                <c:pt idx="10">
                  <c:v>182.2126015636361</c:v>
                </c:pt>
                <c:pt idx="11">
                  <c:v>182.2126015636361</c:v>
                </c:pt>
                <c:pt idx="12">
                  <c:v>182.2126015636361</c:v>
                </c:pt>
                <c:pt idx="13">
                  <c:v>182.2126015636361</c:v>
                </c:pt>
                <c:pt idx="14">
                  <c:v>182.2126015636361</c:v>
                </c:pt>
                <c:pt idx="15">
                  <c:v>182.2126015636361</c:v>
                </c:pt>
                <c:pt idx="16">
                  <c:v>85.883827533333417</c:v>
                </c:pt>
                <c:pt idx="17">
                  <c:v>85.883827533333417</c:v>
                </c:pt>
                <c:pt idx="18">
                  <c:v>85.883827533333417</c:v>
                </c:pt>
                <c:pt idx="19">
                  <c:v>85.883827533333417</c:v>
                </c:pt>
                <c:pt idx="20">
                  <c:v>85.883827533333417</c:v>
                </c:pt>
                <c:pt idx="21">
                  <c:v>85.883827533333417</c:v>
                </c:pt>
                <c:pt idx="22">
                  <c:v>85.883827533333417</c:v>
                </c:pt>
                <c:pt idx="23">
                  <c:v>85.883827533333417</c:v>
                </c:pt>
                <c:pt idx="24">
                  <c:v>85.883827533333417</c:v>
                </c:pt>
                <c:pt idx="25">
                  <c:v>85.883827533333417</c:v>
                </c:pt>
                <c:pt idx="26">
                  <c:v>85.883827533333417</c:v>
                </c:pt>
                <c:pt idx="27">
                  <c:v>85.883827533333417</c:v>
                </c:pt>
                <c:pt idx="28">
                  <c:v>85.883827533333417</c:v>
                </c:pt>
                <c:pt idx="29">
                  <c:v>85.883827533333417</c:v>
                </c:pt>
                <c:pt idx="30">
                  <c:v>85.883827533333417</c:v>
                </c:pt>
                <c:pt idx="31">
                  <c:v>85.883827533333417</c:v>
                </c:pt>
                <c:pt idx="32">
                  <c:v>85.883827533333417</c:v>
                </c:pt>
                <c:pt idx="33">
                  <c:v>85.883827533333417</c:v>
                </c:pt>
                <c:pt idx="34">
                  <c:v>85.883827533333417</c:v>
                </c:pt>
                <c:pt idx="35">
                  <c:v>85.883827533333417</c:v>
                </c:pt>
                <c:pt idx="36">
                  <c:v>85.883827533333417</c:v>
                </c:pt>
                <c:pt idx="37">
                  <c:v>29.744560933333318</c:v>
                </c:pt>
                <c:pt idx="38">
                  <c:v>29.744560933333318</c:v>
                </c:pt>
                <c:pt idx="39">
                  <c:v>29.744560933333318</c:v>
                </c:pt>
                <c:pt idx="40">
                  <c:v>29.744560933333318</c:v>
                </c:pt>
                <c:pt idx="41">
                  <c:v>29.744560933333318</c:v>
                </c:pt>
                <c:pt idx="42">
                  <c:v>29.744560933333318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5-474E-BC0B-E3D0C1C6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868608"/>
        <c:axId val="1313869856"/>
      </c:lineChart>
      <c:lineChart>
        <c:grouping val="standard"/>
        <c:varyColors val="0"/>
        <c:ser>
          <c:idx val="3"/>
          <c:order val="4"/>
          <c:tx>
            <c:strRef>
              <c:f>'Results HIGH'!$AA$1</c:f>
              <c:strCache>
                <c:ptCount val="1"/>
                <c:pt idx="0">
                  <c:v> System cost of marginal biomass (€/MWh) MED 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'Results HIGH'!$B$6:$B$52</c:f>
              <c:numCache>
                <c:formatCode>_-* #\ ##0_-;\-* #\ ##0_-;_-* "-"??_-;_-@_-</c:formatCode>
                <c:ptCount val="47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135000</c:v>
                </c:pt>
                <c:pt idx="4">
                  <c:v>140000</c:v>
                </c:pt>
                <c:pt idx="5">
                  <c:v>145000</c:v>
                </c:pt>
                <c:pt idx="6">
                  <c:v>150000</c:v>
                </c:pt>
                <c:pt idx="7">
                  <c:v>155000</c:v>
                </c:pt>
                <c:pt idx="8">
                  <c:v>160000</c:v>
                </c:pt>
                <c:pt idx="9">
                  <c:v>165000</c:v>
                </c:pt>
                <c:pt idx="10">
                  <c:v>170000</c:v>
                </c:pt>
                <c:pt idx="11">
                  <c:v>175000</c:v>
                </c:pt>
                <c:pt idx="12">
                  <c:v>180000</c:v>
                </c:pt>
                <c:pt idx="13">
                  <c:v>185000</c:v>
                </c:pt>
                <c:pt idx="14">
                  <c:v>190000</c:v>
                </c:pt>
                <c:pt idx="15">
                  <c:v>195000</c:v>
                </c:pt>
                <c:pt idx="16">
                  <c:v>200000</c:v>
                </c:pt>
                <c:pt idx="17">
                  <c:v>205000</c:v>
                </c:pt>
                <c:pt idx="18">
                  <c:v>210000</c:v>
                </c:pt>
                <c:pt idx="19">
                  <c:v>215000</c:v>
                </c:pt>
                <c:pt idx="20">
                  <c:v>220000</c:v>
                </c:pt>
                <c:pt idx="21">
                  <c:v>225000</c:v>
                </c:pt>
                <c:pt idx="22">
                  <c:v>230000</c:v>
                </c:pt>
                <c:pt idx="23">
                  <c:v>235000</c:v>
                </c:pt>
                <c:pt idx="24">
                  <c:v>240000</c:v>
                </c:pt>
                <c:pt idx="25">
                  <c:v>245000</c:v>
                </c:pt>
                <c:pt idx="26">
                  <c:v>250000</c:v>
                </c:pt>
                <c:pt idx="27">
                  <c:v>255000</c:v>
                </c:pt>
                <c:pt idx="28">
                  <c:v>260000</c:v>
                </c:pt>
                <c:pt idx="29">
                  <c:v>265000</c:v>
                </c:pt>
                <c:pt idx="30">
                  <c:v>270000</c:v>
                </c:pt>
                <c:pt idx="31">
                  <c:v>275000</c:v>
                </c:pt>
                <c:pt idx="32">
                  <c:v>280000</c:v>
                </c:pt>
                <c:pt idx="33">
                  <c:v>285000</c:v>
                </c:pt>
                <c:pt idx="34">
                  <c:v>290000</c:v>
                </c:pt>
                <c:pt idx="35">
                  <c:v>295000</c:v>
                </c:pt>
                <c:pt idx="36">
                  <c:v>300000</c:v>
                </c:pt>
                <c:pt idx="37">
                  <c:v>305000</c:v>
                </c:pt>
                <c:pt idx="38">
                  <c:v>310000</c:v>
                </c:pt>
                <c:pt idx="39">
                  <c:v>315000</c:v>
                </c:pt>
                <c:pt idx="40">
                  <c:v>320000</c:v>
                </c:pt>
                <c:pt idx="41">
                  <c:v>325000</c:v>
                </c:pt>
                <c:pt idx="42">
                  <c:v>330000</c:v>
                </c:pt>
                <c:pt idx="43">
                  <c:v>335000</c:v>
                </c:pt>
                <c:pt idx="44">
                  <c:v>340000</c:v>
                </c:pt>
                <c:pt idx="45">
                  <c:v>345000</c:v>
                </c:pt>
                <c:pt idx="46">
                  <c:v>350000</c:v>
                </c:pt>
              </c:numCache>
            </c:numRef>
          </c:cat>
          <c:val>
            <c:numRef>
              <c:f>'Results HIGH'!$AA$6:$AA$52</c:f>
              <c:numCache>
                <c:formatCode>_-* #.##0\.0_-;\-* #.##0\.0_-;_-* "-"??_-;_-@_-</c:formatCode>
                <c:ptCount val="47"/>
                <c:pt idx="1">
                  <c:v>37.581496542575636</c:v>
                </c:pt>
                <c:pt idx="2">
                  <c:v>34.734219307894492</c:v>
                </c:pt>
                <c:pt idx="3">
                  <c:v>33.93037339486807</c:v>
                </c:pt>
                <c:pt idx="4">
                  <c:v>27.659570722756385</c:v>
                </c:pt>
                <c:pt idx="5">
                  <c:v>25.166223593183723</c:v>
                </c:pt>
                <c:pt idx="6">
                  <c:v>29.783433168891072</c:v>
                </c:pt>
                <c:pt idx="7">
                  <c:v>24.207125108498207</c:v>
                </c:pt>
                <c:pt idx="8">
                  <c:v>23.39624690563377</c:v>
                </c:pt>
                <c:pt idx="9">
                  <c:v>21.749311721907034</c:v>
                </c:pt>
                <c:pt idx="10">
                  <c:v>21.623585885113354</c:v>
                </c:pt>
                <c:pt idx="11">
                  <c:v>21.853004332698024</c:v>
                </c:pt>
                <c:pt idx="12">
                  <c:v>30.890316267284547</c:v>
                </c:pt>
                <c:pt idx="13">
                  <c:v>30.8653110810199</c:v>
                </c:pt>
                <c:pt idx="14">
                  <c:v>30.267486483661148</c:v>
                </c:pt>
                <c:pt idx="15">
                  <c:v>29.190023434237659</c:v>
                </c:pt>
                <c:pt idx="16">
                  <c:v>29.888287022683066</c:v>
                </c:pt>
                <c:pt idx="17">
                  <c:v>29.41620656069281</c:v>
                </c:pt>
                <c:pt idx="18">
                  <c:v>29.018609090052259</c:v>
                </c:pt>
                <c:pt idx="19">
                  <c:v>29.781561105273379</c:v>
                </c:pt>
                <c:pt idx="20">
                  <c:v>29.197157611134251</c:v>
                </c:pt>
                <c:pt idx="21">
                  <c:v>29.297562698279563</c:v>
                </c:pt>
                <c:pt idx="22">
                  <c:v>29.316721625945494</c:v>
                </c:pt>
                <c:pt idx="23">
                  <c:v>29.394038519103479</c:v>
                </c:pt>
                <c:pt idx="24">
                  <c:v>28.797925110421708</c:v>
                </c:pt>
                <c:pt idx="25">
                  <c:v>29.063841623487832</c:v>
                </c:pt>
                <c:pt idx="26">
                  <c:v>29.770965901086392</c:v>
                </c:pt>
                <c:pt idx="27">
                  <c:v>29.153556071585676</c:v>
                </c:pt>
                <c:pt idx="28">
                  <c:v>40.611843256837034</c:v>
                </c:pt>
                <c:pt idx="29">
                  <c:v>35.582698089158541</c:v>
                </c:pt>
                <c:pt idx="30">
                  <c:v>34.284677685637647</c:v>
                </c:pt>
                <c:pt idx="31">
                  <c:v>32.403377560837107</c:v>
                </c:pt>
                <c:pt idx="32">
                  <c:v>34.484555562286246</c:v>
                </c:pt>
                <c:pt idx="33">
                  <c:v>35.247353972198496</c:v>
                </c:pt>
                <c:pt idx="34">
                  <c:v>33.409309230733584</c:v>
                </c:pt>
                <c:pt idx="35">
                  <c:v>33.420434232974728</c:v>
                </c:pt>
                <c:pt idx="36">
                  <c:v>30.905327442253924</c:v>
                </c:pt>
                <c:pt idx="37">
                  <c:v>27.874652422334051</c:v>
                </c:pt>
                <c:pt idx="38">
                  <c:v>28.301522221454469</c:v>
                </c:pt>
                <c:pt idx="39">
                  <c:v>28.657410336013179</c:v>
                </c:pt>
                <c:pt idx="40">
                  <c:v>28.561710367454477</c:v>
                </c:pt>
                <c:pt idx="41">
                  <c:v>#N/A</c:v>
                </c:pt>
                <c:pt idx="42">
                  <c:v>48.867881906879333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63-4B82-8E4E-2ADC82CD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584208"/>
        <c:axId val="966600016"/>
      </c:lineChart>
      <c:catAx>
        <c:axId val="131386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baseline="0">
                    <a:effectLst/>
                  </a:rPr>
                  <a:t>Biomass availability (GWh)</a:t>
                </a:r>
                <a:endParaRPr lang="fr-FR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9856"/>
        <c:crosses val="autoZero"/>
        <c:auto val="1"/>
        <c:lblAlgn val="ctr"/>
        <c:lblOffset val="100"/>
        <c:noMultiLvlLbl val="0"/>
      </c:catAx>
      <c:valAx>
        <c:axId val="131386985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baseline="0">
                    <a:effectLst/>
                  </a:rPr>
                  <a:t>Marginal supply cost/willingness-to-pay (€/MWh)</a:t>
                </a:r>
                <a:endParaRPr lang="fr-FR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8608"/>
        <c:crosses val="autoZero"/>
        <c:crossBetween val="between"/>
      </c:valAx>
      <c:valAx>
        <c:axId val="966600016"/>
        <c:scaling>
          <c:orientation val="minMax"/>
          <c:max val="200"/>
        </c:scaling>
        <c:delete val="1"/>
        <c:axPos val="r"/>
        <c:numFmt formatCode="_-* #\ ##0.0_-;\-* #\ ##0.0_-;_-* &quot;-&quot;??_-;_-@_-" sourceLinked="1"/>
        <c:majorTickMark val="out"/>
        <c:minorTickMark val="none"/>
        <c:tickLblPos val="nextTo"/>
        <c:crossAx val="966584208"/>
        <c:crosses val="max"/>
        <c:crossBetween val="between"/>
      </c:valAx>
      <c:catAx>
        <c:axId val="966584208"/>
        <c:scaling>
          <c:orientation val="minMax"/>
        </c:scaling>
        <c:delete val="1"/>
        <c:axPos val="b"/>
        <c:numFmt formatCode="_-* #\ ##0_-;\-* #\ ##0_-;_-* &quot;-&quot;??_-;_-@_-" sourceLinked="1"/>
        <c:majorTickMark val="out"/>
        <c:minorTickMark val="none"/>
        <c:tickLblPos val="nextTo"/>
        <c:crossAx val="966600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12475879539447"/>
          <c:y val="0.2579144486340616"/>
          <c:w val="0.18193795897464035"/>
          <c:h val="0.38842602861262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of marginal use and supply regarding biomass availability (GWh/y) FRANCE_MED_ 2050  </a:t>
            </a:r>
            <a:endParaRPr lang="fr-F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899222848189997E-2"/>
          <c:y val="0.10941002949852507"/>
          <c:w val="0.7087350875073668"/>
          <c:h val="0.70529997909553344"/>
        </c:manualLayout>
      </c:layout>
      <c:lineChart>
        <c:grouping val="standard"/>
        <c:varyColors val="0"/>
        <c:ser>
          <c:idx val="0"/>
          <c:order val="0"/>
          <c:tx>
            <c:strRef>
              <c:f>'Results HIGH'!$AC$1</c:f>
              <c:strCache>
                <c:ptCount val="1"/>
                <c:pt idx="0">
                  <c:v> Marginal value of solid biomass (€/MWh)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'Results HIGH'!$B$8:$B$30</c:f>
              <c:numCache>
                <c:formatCode>_-* #\ ##0_-;\-* #\ ##0_-;_-* "-"??_-;_-@_-</c:formatCode>
                <c:ptCount val="23"/>
                <c:pt idx="0">
                  <c:v>130000</c:v>
                </c:pt>
                <c:pt idx="1">
                  <c:v>135000</c:v>
                </c:pt>
                <c:pt idx="2">
                  <c:v>140000</c:v>
                </c:pt>
                <c:pt idx="3">
                  <c:v>145000</c:v>
                </c:pt>
                <c:pt idx="4">
                  <c:v>150000</c:v>
                </c:pt>
                <c:pt idx="5">
                  <c:v>155000</c:v>
                </c:pt>
                <c:pt idx="6">
                  <c:v>160000</c:v>
                </c:pt>
                <c:pt idx="7">
                  <c:v>165000</c:v>
                </c:pt>
                <c:pt idx="8">
                  <c:v>170000</c:v>
                </c:pt>
                <c:pt idx="9">
                  <c:v>175000</c:v>
                </c:pt>
                <c:pt idx="10">
                  <c:v>180000</c:v>
                </c:pt>
                <c:pt idx="11">
                  <c:v>185000</c:v>
                </c:pt>
                <c:pt idx="12">
                  <c:v>190000</c:v>
                </c:pt>
                <c:pt idx="13">
                  <c:v>195000</c:v>
                </c:pt>
                <c:pt idx="14">
                  <c:v>200000</c:v>
                </c:pt>
                <c:pt idx="15">
                  <c:v>205000</c:v>
                </c:pt>
                <c:pt idx="16">
                  <c:v>210000</c:v>
                </c:pt>
                <c:pt idx="17">
                  <c:v>215000</c:v>
                </c:pt>
                <c:pt idx="18">
                  <c:v>220000</c:v>
                </c:pt>
                <c:pt idx="19">
                  <c:v>225000</c:v>
                </c:pt>
                <c:pt idx="20">
                  <c:v>230000</c:v>
                </c:pt>
                <c:pt idx="21">
                  <c:v>235000</c:v>
                </c:pt>
                <c:pt idx="22">
                  <c:v>240000</c:v>
                </c:pt>
              </c:numCache>
            </c:numRef>
          </c:cat>
          <c:val>
            <c:numRef>
              <c:f>'Results HIGH'!$AC$8:$AC$30</c:f>
              <c:numCache>
                <c:formatCode>_-* #\ ##0_-;\-* #\ ##0_-;_-* "-"??_-;_-@_-</c:formatCode>
                <c:ptCount val="23"/>
                <c:pt idx="2">
                  <c:v>562.0947606000002</c:v>
                </c:pt>
                <c:pt idx="3">
                  <c:v>317.99366740000551</c:v>
                </c:pt>
                <c:pt idx="4">
                  <c:v>265.24336759999863</c:v>
                </c:pt>
                <c:pt idx="5">
                  <c:v>253.99651220000231</c:v>
                </c:pt>
                <c:pt idx="6">
                  <c:v>259.84246960000019</c:v>
                </c:pt>
                <c:pt idx="7">
                  <c:v>249.29843579999869</c:v>
                </c:pt>
                <c:pt idx="8">
                  <c:v>243.93081360000068</c:v>
                </c:pt>
                <c:pt idx="9">
                  <c:v>248.46255680000175</c:v>
                </c:pt>
                <c:pt idx="10">
                  <c:v>234.01147899999634</c:v>
                </c:pt>
                <c:pt idx="11">
                  <c:v>193.90449939999962</c:v>
                </c:pt>
                <c:pt idx="12">
                  <c:v>152.92442900000026</c:v>
                </c:pt>
                <c:pt idx="13">
                  <c:v>93.317235800001072</c:v>
                </c:pt>
                <c:pt idx="14">
                  <c:v>92.040648399997735</c:v>
                </c:pt>
                <c:pt idx="15">
                  <c:v>89.773738200002114</c:v>
                </c:pt>
                <c:pt idx="16">
                  <c:v>84.993063600000454</c:v>
                </c:pt>
                <c:pt idx="17">
                  <c:v>84.267978800000847</c:v>
                </c:pt>
                <c:pt idx="18">
                  <c:v>99.157758599997038</c:v>
                </c:pt>
                <c:pt idx="19">
                  <c:v>83.995220600004544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C-43E3-9535-63895F1F49D2}"/>
            </c:ext>
          </c:extLst>
        </c:ser>
        <c:ser>
          <c:idx val="2"/>
          <c:order val="1"/>
          <c:tx>
            <c:strRef>
              <c:f>'Results HIGH'!$AE$1</c:f>
              <c:strCache>
                <c:ptCount val="1"/>
                <c:pt idx="0">
                  <c:v> Average willingness-to-pay (€/MWh)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'Results HIGH'!$B$8:$B$30</c:f>
              <c:numCache>
                <c:formatCode>_-* #\ ##0_-;\-* #\ ##0_-;_-* "-"??_-;_-@_-</c:formatCode>
                <c:ptCount val="23"/>
                <c:pt idx="0">
                  <c:v>130000</c:v>
                </c:pt>
                <c:pt idx="1">
                  <c:v>135000</c:v>
                </c:pt>
                <c:pt idx="2">
                  <c:v>140000</c:v>
                </c:pt>
                <c:pt idx="3">
                  <c:v>145000</c:v>
                </c:pt>
                <c:pt idx="4">
                  <c:v>150000</c:v>
                </c:pt>
                <c:pt idx="5">
                  <c:v>155000</c:v>
                </c:pt>
                <c:pt idx="6">
                  <c:v>160000</c:v>
                </c:pt>
                <c:pt idx="7">
                  <c:v>165000</c:v>
                </c:pt>
                <c:pt idx="8">
                  <c:v>170000</c:v>
                </c:pt>
                <c:pt idx="9">
                  <c:v>175000</c:v>
                </c:pt>
                <c:pt idx="10">
                  <c:v>180000</c:v>
                </c:pt>
                <c:pt idx="11">
                  <c:v>185000</c:v>
                </c:pt>
                <c:pt idx="12">
                  <c:v>190000</c:v>
                </c:pt>
                <c:pt idx="13">
                  <c:v>195000</c:v>
                </c:pt>
                <c:pt idx="14">
                  <c:v>200000</c:v>
                </c:pt>
                <c:pt idx="15">
                  <c:v>205000</c:v>
                </c:pt>
                <c:pt idx="16">
                  <c:v>210000</c:v>
                </c:pt>
                <c:pt idx="17">
                  <c:v>215000</c:v>
                </c:pt>
                <c:pt idx="18">
                  <c:v>220000</c:v>
                </c:pt>
                <c:pt idx="19">
                  <c:v>225000</c:v>
                </c:pt>
                <c:pt idx="20">
                  <c:v>230000</c:v>
                </c:pt>
                <c:pt idx="21">
                  <c:v>235000</c:v>
                </c:pt>
                <c:pt idx="22">
                  <c:v>240000</c:v>
                </c:pt>
              </c:numCache>
            </c:numRef>
          </c:cat>
          <c:val>
            <c:numRef>
              <c:f>'Results HIGH'!$AE$8:$AE$30</c:f>
              <c:numCache>
                <c:formatCode>_-* #\ ##0_-;\-* #\ ##0_-;_-* "-"??_-;_-@_-</c:formatCode>
                <c:ptCount val="23"/>
                <c:pt idx="2">
                  <c:v>562.0947606000002</c:v>
                </c:pt>
                <c:pt idx="3">
                  <c:v>241.96082304000038</c:v>
                </c:pt>
                <c:pt idx="4">
                  <c:v>241.96082304000038</c:v>
                </c:pt>
                <c:pt idx="5">
                  <c:v>241.96082304000038</c:v>
                </c:pt>
                <c:pt idx="6">
                  <c:v>241.96082304000038</c:v>
                </c:pt>
                <c:pt idx="7">
                  <c:v>241.96082304000038</c:v>
                </c:pt>
                <c:pt idx="8">
                  <c:v>241.96082304000038</c:v>
                </c:pt>
                <c:pt idx="9">
                  <c:v>241.96082304000038</c:v>
                </c:pt>
                <c:pt idx="10">
                  <c:v>241.96082304000038</c:v>
                </c:pt>
                <c:pt idx="11">
                  <c:v>241.96082304000038</c:v>
                </c:pt>
                <c:pt idx="12">
                  <c:v>241.96082304000038</c:v>
                </c:pt>
                <c:pt idx="13">
                  <c:v>89.64937771428626</c:v>
                </c:pt>
                <c:pt idx="14">
                  <c:v>89.64937771428626</c:v>
                </c:pt>
                <c:pt idx="15">
                  <c:v>89.64937771428626</c:v>
                </c:pt>
                <c:pt idx="16">
                  <c:v>89.64937771428626</c:v>
                </c:pt>
                <c:pt idx="17">
                  <c:v>89.64937771428626</c:v>
                </c:pt>
                <c:pt idx="18">
                  <c:v>89.64937771428626</c:v>
                </c:pt>
                <c:pt idx="19">
                  <c:v>89.64937771428626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C-43E3-9535-63895F1F49D2}"/>
            </c:ext>
          </c:extLst>
        </c:ser>
        <c:ser>
          <c:idx val="4"/>
          <c:order val="2"/>
          <c:tx>
            <c:strRef>
              <c:f>'Results HIGH'!$AG$1</c:f>
              <c:strCache>
                <c:ptCount val="1"/>
                <c:pt idx="0">
                  <c:v> Marginal supply cost (€/MWh)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'Results HIGH'!$B$8:$B$30</c:f>
              <c:numCache>
                <c:formatCode>_-* #\ ##0_-;\-* #\ ##0_-;_-* "-"??_-;_-@_-</c:formatCode>
                <c:ptCount val="23"/>
                <c:pt idx="0">
                  <c:v>130000</c:v>
                </c:pt>
                <c:pt idx="1">
                  <c:v>135000</c:v>
                </c:pt>
                <c:pt idx="2">
                  <c:v>140000</c:v>
                </c:pt>
                <c:pt idx="3">
                  <c:v>145000</c:v>
                </c:pt>
                <c:pt idx="4">
                  <c:v>150000</c:v>
                </c:pt>
                <c:pt idx="5">
                  <c:v>155000</c:v>
                </c:pt>
                <c:pt idx="6">
                  <c:v>160000</c:v>
                </c:pt>
                <c:pt idx="7">
                  <c:v>165000</c:v>
                </c:pt>
                <c:pt idx="8">
                  <c:v>170000</c:v>
                </c:pt>
                <c:pt idx="9">
                  <c:v>175000</c:v>
                </c:pt>
                <c:pt idx="10">
                  <c:v>180000</c:v>
                </c:pt>
                <c:pt idx="11">
                  <c:v>185000</c:v>
                </c:pt>
                <c:pt idx="12">
                  <c:v>190000</c:v>
                </c:pt>
                <c:pt idx="13">
                  <c:v>195000</c:v>
                </c:pt>
                <c:pt idx="14">
                  <c:v>200000</c:v>
                </c:pt>
                <c:pt idx="15">
                  <c:v>205000</c:v>
                </c:pt>
                <c:pt idx="16">
                  <c:v>210000</c:v>
                </c:pt>
                <c:pt idx="17">
                  <c:v>215000</c:v>
                </c:pt>
                <c:pt idx="18">
                  <c:v>220000</c:v>
                </c:pt>
                <c:pt idx="19">
                  <c:v>225000</c:v>
                </c:pt>
                <c:pt idx="20">
                  <c:v>230000</c:v>
                </c:pt>
                <c:pt idx="21">
                  <c:v>235000</c:v>
                </c:pt>
                <c:pt idx="22">
                  <c:v>240000</c:v>
                </c:pt>
              </c:numCache>
            </c:numRef>
          </c:cat>
          <c:val>
            <c:numRef>
              <c:f>'Results HIGH'!$AG$8:$AG$30</c:f>
              <c:numCache>
                <c:formatCode>_-* #\ ##0_-;\-* #\ ##0_-;_-* "-"??_-;_-@_-</c:formatCode>
                <c:ptCount val="23"/>
                <c:pt idx="2">
                  <c:v>8.9389576971213991</c:v>
                </c:pt>
                <c:pt idx="3">
                  <c:v>0.2270113782485994</c:v>
                </c:pt>
                <c:pt idx="4">
                  <c:v>26.783644315832991</c:v>
                </c:pt>
                <c:pt idx="5">
                  <c:v>26.783644315832991</c:v>
                </c:pt>
                <c:pt idx="6">
                  <c:v>26.783644315832991</c:v>
                </c:pt>
                <c:pt idx="7">
                  <c:v>26.783644315832991</c:v>
                </c:pt>
                <c:pt idx="8">
                  <c:v>26.783644315832991</c:v>
                </c:pt>
                <c:pt idx="9">
                  <c:v>26.783644315832991</c:v>
                </c:pt>
                <c:pt idx="10">
                  <c:v>26.783644315832991</c:v>
                </c:pt>
                <c:pt idx="11">
                  <c:v>26.783644315832991</c:v>
                </c:pt>
                <c:pt idx="12">
                  <c:v>26.783644315832991</c:v>
                </c:pt>
                <c:pt idx="13">
                  <c:v>17.196145161290325</c:v>
                </c:pt>
                <c:pt idx="14">
                  <c:v>17.196145161290325</c:v>
                </c:pt>
                <c:pt idx="15">
                  <c:v>17.196145161290325</c:v>
                </c:pt>
                <c:pt idx="16">
                  <c:v>17.196145161290325</c:v>
                </c:pt>
                <c:pt idx="17">
                  <c:v>18.402520930232555</c:v>
                </c:pt>
                <c:pt idx="18">
                  <c:v>18.402520930232555</c:v>
                </c:pt>
                <c:pt idx="19">
                  <c:v>18.402520930232555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C-43E3-9535-63895F1F4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868608"/>
        <c:axId val="1313869856"/>
      </c:lineChart>
      <c:catAx>
        <c:axId val="131386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baseline="0">
                    <a:effectLst/>
                  </a:rPr>
                  <a:t>Biomass availability (GWh)</a:t>
                </a:r>
                <a:endParaRPr lang="fr-FR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9856"/>
        <c:crosses val="autoZero"/>
        <c:auto val="1"/>
        <c:lblAlgn val="ctr"/>
        <c:lblOffset val="100"/>
        <c:noMultiLvlLbl val="0"/>
      </c:catAx>
      <c:valAx>
        <c:axId val="1313869856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baseline="0">
                    <a:effectLst/>
                  </a:rPr>
                  <a:t>Marginal supply cost/willingness-to-pay (€/MWh)</a:t>
                </a:r>
                <a:endParaRPr lang="fr-FR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21884712109735"/>
          <c:y val="0.3694167653822033"/>
          <c:w val="0.20876830772722443"/>
          <c:h val="0.42662346410238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Marginal supply cost of biomass (€/MWh) for different ENSPRESO scenarios (HIGH, MED, LOW)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899222848189997E-2"/>
          <c:y val="0.13412181590974934"/>
          <c:w val="0.7087350875073668"/>
          <c:h val="0.68058823783765088"/>
        </c:manualLayout>
      </c:layout>
      <c:lineChart>
        <c:grouping val="standard"/>
        <c:varyColors val="0"/>
        <c:ser>
          <c:idx val="0"/>
          <c:order val="0"/>
          <c:tx>
            <c:strRef>
              <c:f>'Results HIGH'!$I$1</c:f>
              <c:strCache>
                <c:ptCount val="1"/>
                <c:pt idx="0">
                  <c:v> Marginal supply cost (€/MWh) HIGH </c:v>
                </c:pt>
              </c:strCache>
            </c:strRef>
          </c:tx>
          <c:spPr>
            <a:ln w="28575" cap="rnd">
              <a:solidFill>
                <a:srgbClr val="C0504D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HIGH'!$I$2:$I$102</c:f>
              <c:numCache>
                <c:formatCode>_(* #,##0.00_);_(* \(#,##0.00\);_(* "-"??_);_(@_)</c:formatCode>
                <c:ptCount val="101"/>
                <c:pt idx="0">
                  <c:v>11.9127345132743</c:v>
                </c:pt>
                <c:pt idx="1">
                  <c:v>11.912012144955899</c:v>
                </c:pt>
                <c:pt idx="2">
                  <c:v>11.912012144955899</c:v>
                </c:pt>
                <c:pt idx="3">
                  <c:v>11.912012144955899</c:v>
                </c:pt>
                <c:pt idx="4">
                  <c:v>11.912012144955899</c:v>
                </c:pt>
                <c:pt idx="5">
                  <c:v>11.912012144955899</c:v>
                </c:pt>
                <c:pt idx="6">
                  <c:v>11.912012144955899</c:v>
                </c:pt>
                <c:pt idx="7">
                  <c:v>11.912012144955899</c:v>
                </c:pt>
                <c:pt idx="8">
                  <c:v>5.4618157894736798</c:v>
                </c:pt>
                <c:pt idx="9">
                  <c:v>5.4618157894736798</c:v>
                </c:pt>
                <c:pt idx="10">
                  <c:v>8.0893504559270504</c:v>
                </c:pt>
                <c:pt idx="11">
                  <c:v>8.0893504559270504</c:v>
                </c:pt>
                <c:pt idx="12">
                  <c:v>8.0893504559270504</c:v>
                </c:pt>
                <c:pt idx="13">
                  <c:v>8.0893504559270504</c:v>
                </c:pt>
                <c:pt idx="14">
                  <c:v>8.0893504559270504</c:v>
                </c:pt>
                <c:pt idx="15">
                  <c:v>8.0893504559270504</c:v>
                </c:pt>
                <c:pt idx="16">
                  <c:v>8.0893504559270504</c:v>
                </c:pt>
                <c:pt idx="17">
                  <c:v>8.0893504559270504</c:v>
                </c:pt>
                <c:pt idx="18">
                  <c:v>0.19956115953864198</c:v>
                </c:pt>
                <c:pt idx="19">
                  <c:v>8.0893504559270504</c:v>
                </c:pt>
                <c:pt idx="20">
                  <c:v>8.0893504559270504</c:v>
                </c:pt>
                <c:pt idx="21">
                  <c:v>8.0893504559270504</c:v>
                </c:pt>
                <c:pt idx="22">
                  <c:v>8.0893504559270504</c:v>
                </c:pt>
                <c:pt idx="23">
                  <c:v>8.0893504559270504</c:v>
                </c:pt>
                <c:pt idx="24">
                  <c:v>8.0893504559270504</c:v>
                </c:pt>
                <c:pt idx="25">
                  <c:v>8.0893504559270504</c:v>
                </c:pt>
                <c:pt idx="26">
                  <c:v>8.0893504559270504</c:v>
                </c:pt>
                <c:pt idx="27">
                  <c:v>8.0893504559270504</c:v>
                </c:pt>
                <c:pt idx="28">
                  <c:v>8.1622330434782597</c:v>
                </c:pt>
                <c:pt idx="29">
                  <c:v>8.1622330434782597</c:v>
                </c:pt>
                <c:pt idx="30">
                  <c:v>8.1622330434782597</c:v>
                </c:pt>
                <c:pt idx="31">
                  <c:v>14.876070726438199</c:v>
                </c:pt>
                <c:pt idx="32">
                  <c:v>14.876070726438199</c:v>
                </c:pt>
                <c:pt idx="33">
                  <c:v>14.876070726438199</c:v>
                </c:pt>
                <c:pt idx="34">
                  <c:v>14.876070726438199</c:v>
                </c:pt>
                <c:pt idx="35">
                  <c:v>14.876070726438199</c:v>
                </c:pt>
                <c:pt idx="36">
                  <c:v>14.876070726438199</c:v>
                </c:pt>
                <c:pt idx="37">
                  <c:v>14.876070726438199</c:v>
                </c:pt>
                <c:pt idx="38">
                  <c:v>14.876070726438199</c:v>
                </c:pt>
                <c:pt idx="39">
                  <c:v>14.876070726438199</c:v>
                </c:pt>
                <c:pt idx="40">
                  <c:v>14.876070726438199</c:v>
                </c:pt>
                <c:pt idx="41">
                  <c:v>14.876070726438199</c:v>
                </c:pt>
                <c:pt idx="42">
                  <c:v>14.876070726438199</c:v>
                </c:pt>
                <c:pt idx="43">
                  <c:v>14.876070726438199</c:v>
                </c:pt>
                <c:pt idx="44">
                  <c:v>14.876070726438199</c:v>
                </c:pt>
                <c:pt idx="45">
                  <c:v>14.876070726438199</c:v>
                </c:pt>
                <c:pt idx="46">
                  <c:v>14.876070726438199</c:v>
                </c:pt>
                <c:pt idx="47">
                  <c:v>14.876070726438199</c:v>
                </c:pt>
                <c:pt idx="48">
                  <c:v>14.876070726438199</c:v>
                </c:pt>
                <c:pt idx="49">
                  <c:v>14.876070726438199</c:v>
                </c:pt>
                <c:pt idx="50">
                  <c:v>14.876070726438199</c:v>
                </c:pt>
                <c:pt idx="51">
                  <c:v>14.876070726438199</c:v>
                </c:pt>
                <c:pt idx="52">
                  <c:v>14.876070726438199</c:v>
                </c:pt>
                <c:pt idx="53">
                  <c:v>14.876070726438199</c:v>
                </c:pt>
                <c:pt idx="54">
                  <c:v>14.876070726438199</c:v>
                </c:pt>
                <c:pt idx="55">
                  <c:v>14.731599999999998</c:v>
                </c:pt>
                <c:pt idx="56">
                  <c:v>24.512988996763799</c:v>
                </c:pt>
                <c:pt idx="57">
                  <c:v>24.512988996763799</c:v>
                </c:pt>
                <c:pt idx="58">
                  <c:v>24.512988996763799</c:v>
                </c:pt>
                <c:pt idx="59">
                  <c:v>24.512988996763799</c:v>
                </c:pt>
                <c:pt idx="60">
                  <c:v>24.512988996763799</c:v>
                </c:pt>
                <c:pt idx="61">
                  <c:v>24.512988996763799</c:v>
                </c:pt>
                <c:pt idx="62">
                  <c:v>24.512988996763799</c:v>
                </c:pt>
                <c:pt idx="63">
                  <c:v>24.512988996763799</c:v>
                </c:pt>
                <c:pt idx="64">
                  <c:v>24.512988996763799</c:v>
                </c:pt>
                <c:pt idx="65">
                  <c:v>24.512988996763799</c:v>
                </c:pt>
                <c:pt idx="66">
                  <c:v>24.512988996763799</c:v>
                </c:pt>
                <c:pt idx="67">
                  <c:v>24.512988996763799</c:v>
                </c:pt>
                <c:pt idx="68">
                  <c:v>24.512988996763799</c:v>
                </c:pt>
                <c:pt idx="69">
                  <c:v>24.512988996763799</c:v>
                </c:pt>
                <c:pt idx="70">
                  <c:v>24.512988996763799</c:v>
                </c:pt>
                <c:pt idx="71">
                  <c:v>24.512988996763799</c:v>
                </c:pt>
                <c:pt idx="72">
                  <c:v>24.512988996763799</c:v>
                </c:pt>
                <c:pt idx="73">
                  <c:v>24.512988996763799</c:v>
                </c:pt>
                <c:pt idx="74">
                  <c:v>16.663244636678201</c:v>
                </c:pt>
                <c:pt idx="75">
                  <c:v>16.663244636678201</c:v>
                </c:pt>
                <c:pt idx="76">
                  <c:v>16.663244636678201</c:v>
                </c:pt>
                <c:pt idx="77">
                  <c:v>16.663244636678201</c:v>
                </c:pt>
                <c:pt idx="78">
                  <c:v>16.663244636678201</c:v>
                </c:pt>
                <c:pt idx="79">
                  <c:v>16.663244636678201</c:v>
                </c:pt>
                <c:pt idx="80">
                  <c:v>16.663244636678201</c:v>
                </c:pt>
                <c:pt idx="81">
                  <c:v>16.663244636678201</c:v>
                </c:pt>
                <c:pt idx="82">
                  <c:v>16.663244636678201</c:v>
                </c:pt>
                <c:pt idx="83">
                  <c:v>17.576198730734401</c:v>
                </c:pt>
                <c:pt idx="84">
                  <c:v>17.576198730734401</c:v>
                </c:pt>
                <c:pt idx="85">
                  <c:v>17.576198730734401</c:v>
                </c:pt>
                <c:pt idx="86">
                  <c:v>17.576198730734401</c:v>
                </c:pt>
                <c:pt idx="87">
                  <c:v>17.576198730734401</c:v>
                </c:pt>
                <c:pt idx="88">
                  <c:v>17.576198730734401</c:v>
                </c:pt>
                <c:pt idx="89">
                  <c:v>17.576198730734401</c:v>
                </c:pt>
                <c:pt idx="90">
                  <c:v>17.576198730734401</c:v>
                </c:pt>
                <c:pt idx="91">
                  <c:v>17.576198730734401</c:v>
                </c:pt>
                <c:pt idx="92">
                  <c:v>31.796335570469797</c:v>
                </c:pt>
                <c:pt idx="93">
                  <c:v>31.796335570469797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0B4-A659-3E2CFDC97C7A}"/>
            </c:ext>
          </c:extLst>
        </c:ser>
        <c:ser>
          <c:idx val="2"/>
          <c:order val="1"/>
          <c:tx>
            <c:strRef>
              <c:f>'Results HIGH'!$W$1</c:f>
              <c:strCache>
                <c:ptCount val="1"/>
                <c:pt idx="0">
                  <c:v> Marginal supply cost (€/MWh) MED </c:v>
                </c:pt>
              </c:strCache>
            </c:strRef>
          </c:tx>
          <c:spPr>
            <a:ln w="28575" cap="rnd">
              <a:solidFill>
                <a:srgbClr val="F79646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HIGH'!$W$2:$W$102</c:f>
              <c:numCache>
                <c:formatCode>_-* #\ ##0.0_-;\-* #\ ##0.0_-;_-* "-"??_-;_-@_-</c:formatCode>
                <c:ptCount val="101"/>
                <c:pt idx="5">
                  <c:v>8.0893504559270539</c:v>
                </c:pt>
                <c:pt idx="6">
                  <c:v>8.0893504559270539</c:v>
                </c:pt>
                <c:pt idx="7">
                  <c:v>8.0893504559270539</c:v>
                </c:pt>
                <c:pt idx="8">
                  <c:v>8.0893504559270539</c:v>
                </c:pt>
                <c:pt idx="9">
                  <c:v>8.1622330434782633</c:v>
                </c:pt>
                <c:pt idx="10">
                  <c:v>0.19956115953864181</c:v>
                </c:pt>
                <c:pt idx="11">
                  <c:v>0.19956115953864181</c:v>
                </c:pt>
                <c:pt idx="12">
                  <c:v>0.19956115953864181</c:v>
                </c:pt>
                <c:pt idx="13">
                  <c:v>0.19956115953864181</c:v>
                </c:pt>
                <c:pt idx="14">
                  <c:v>14.87607072643825</c:v>
                </c:pt>
                <c:pt idx="15">
                  <c:v>14.87607072643825</c:v>
                </c:pt>
                <c:pt idx="16">
                  <c:v>24.51298899676376</c:v>
                </c:pt>
                <c:pt idx="17">
                  <c:v>24.51298899676376</c:v>
                </c:pt>
                <c:pt idx="18">
                  <c:v>24.51298899676376</c:v>
                </c:pt>
                <c:pt idx="19">
                  <c:v>24.51298899676376</c:v>
                </c:pt>
                <c:pt idx="20">
                  <c:v>24.51298899676376</c:v>
                </c:pt>
                <c:pt idx="21">
                  <c:v>24.51298899676376</c:v>
                </c:pt>
                <c:pt idx="22">
                  <c:v>24.51298899676376</c:v>
                </c:pt>
                <c:pt idx="23">
                  <c:v>24.51298899676376</c:v>
                </c:pt>
                <c:pt idx="24">
                  <c:v>24.51298899676376</c:v>
                </c:pt>
                <c:pt idx="25">
                  <c:v>24.51298899676376</c:v>
                </c:pt>
                <c:pt idx="26">
                  <c:v>24.51298899676376</c:v>
                </c:pt>
                <c:pt idx="27">
                  <c:v>24.51298899676376</c:v>
                </c:pt>
                <c:pt idx="28">
                  <c:v>24.51298899676376</c:v>
                </c:pt>
                <c:pt idx="29">
                  <c:v>24.51298899676376</c:v>
                </c:pt>
                <c:pt idx="30">
                  <c:v>24.51298899676376</c:v>
                </c:pt>
                <c:pt idx="31">
                  <c:v>24.51298899676376</c:v>
                </c:pt>
                <c:pt idx="32">
                  <c:v>16.663244636678197</c:v>
                </c:pt>
                <c:pt idx="33">
                  <c:v>16.663244636678197</c:v>
                </c:pt>
                <c:pt idx="34">
                  <c:v>16.663244636678197</c:v>
                </c:pt>
                <c:pt idx="35">
                  <c:v>16.663244636678197</c:v>
                </c:pt>
                <c:pt idx="36">
                  <c:v>16.663244636678197</c:v>
                </c:pt>
                <c:pt idx="37">
                  <c:v>16.663244636678197</c:v>
                </c:pt>
                <c:pt idx="38">
                  <c:v>17.576198730734365</c:v>
                </c:pt>
                <c:pt idx="39">
                  <c:v>17.576198730734365</c:v>
                </c:pt>
                <c:pt idx="40">
                  <c:v>17.576198730734365</c:v>
                </c:pt>
                <c:pt idx="41">
                  <c:v>17.576198730734365</c:v>
                </c:pt>
                <c:pt idx="42">
                  <c:v>17.576198730734365</c:v>
                </c:pt>
                <c:pt idx="43">
                  <c:v>17.576198730734365</c:v>
                </c:pt>
                <c:pt idx="44">
                  <c:v>17.576198730734365</c:v>
                </c:pt>
                <c:pt idx="45">
                  <c:v>#N/A</c:v>
                </c:pt>
                <c:pt idx="46">
                  <c:v>39.798225000000002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A-40B4-A659-3E2CFDC97C7A}"/>
            </c:ext>
          </c:extLst>
        </c:ser>
        <c:ser>
          <c:idx val="4"/>
          <c:order val="2"/>
          <c:tx>
            <c:strRef>
              <c:f>'Results HIGH'!$AG$1</c:f>
              <c:strCache>
                <c:ptCount val="1"/>
                <c:pt idx="0">
                  <c:v> Marginal supply cost (€/MWh) LOW 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'Results HIGH'!$B$2:$B$102</c:f>
              <c:numCache>
                <c:formatCode>_-* #\ ##0_-;\-* #\ ##0_-;_-* "-"??_-;_-@_-</c:formatCode>
                <c:ptCount val="10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  <c:pt idx="81">
                  <c:v>505000</c:v>
                </c:pt>
                <c:pt idx="82">
                  <c:v>510000</c:v>
                </c:pt>
                <c:pt idx="83">
                  <c:v>515000</c:v>
                </c:pt>
                <c:pt idx="84">
                  <c:v>520000</c:v>
                </c:pt>
                <c:pt idx="85">
                  <c:v>525000</c:v>
                </c:pt>
                <c:pt idx="86">
                  <c:v>530000</c:v>
                </c:pt>
                <c:pt idx="87">
                  <c:v>535000</c:v>
                </c:pt>
                <c:pt idx="88">
                  <c:v>540000</c:v>
                </c:pt>
                <c:pt idx="89">
                  <c:v>545000</c:v>
                </c:pt>
                <c:pt idx="90">
                  <c:v>550000</c:v>
                </c:pt>
                <c:pt idx="91">
                  <c:v>555000</c:v>
                </c:pt>
                <c:pt idx="92">
                  <c:v>560000</c:v>
                </c:pt>
                <c:pt idx="93">
                  <c:v>565000</c:v>
                </c:pt>
                <c:pt idx="94">
                  <c:v>570000</c:v>
                </c:pt>
                <c:pt idx="95">
                  <c:v>575000</c:v>
                </c:pt>
                <c:pt idx="96">
                  <c:v>580000</c:v>
                </c:pt>
                <c:pt idx="97">
                  <c:v>585000</c:v>
                </c:pt>
                <c:pt idx="98">
                  <c:v>590000</c:v>
                </c:pt>
                <c:pt idx="99">
                  <c:v>595000</c:v>
                </c:pt>
                <c:pt idx="100">
                  <c:v>600000</c:v>
                </c:pt>
              </c:numCache>
            </c:numRef>
          </c:cat>
          <c:val>
            <c:numRef>
              <c:f>'Results HIGH'!$AG$2:$AG$102</c:f>
              <c:numCache>
                <c:formatCode>_-* #\ ##0_-;\-* #\ ##0_-;_-* "-"??_-;_-@_-</c:formatCode>
                <c:ptCount val="101"/>
                <c:pt idx="8">
                  <c:v>8.9389576971213991</c:v>
                </c:pt>
                <c:pt idx="9">
                  <c:v>0.2270113782485994</c:v>
                </c:pt>
                <c:pt idx="10">
                  <c:v>26.783644315832991</c:v>
                </c:pt>
                <c:pt idx="11">
                  <c:v>26.783644315832991</c:v>
                </c:pt>
                <c:pt idx="12">
                  <c:v>26.783644315832991</c:v>
                </c:pt>
                <c:pt idx="13">
                  <c:v>26.783644315832991</c:v>
                </c:pt>
                <c:pt idx="14">
                  <c:v>26.783644315832991</c:v>
                </c:pt>
                <c:pt idx="15">
                  <c:v>26.783644315832991</c:v>
                </c:pt>
                <c:pt idx="16">
                  <c:v>26.783644315832991</c:v>
                </c:pt>
                <c:pt idx="17">
                  <c:v>26.783644315832991</c:v>
                </c:pt>
                <c:pt idx="18">
                  <c:v>26.783644315832991</c:v>
                </c:pt>
                <c:pt idx="19">
                  <c:v>17.196145161290325</c:v>
                </c:pt>
                <c:pt idx="20">
                  <c:v>17.196145161290325</c:v>
                </c:pt>
                <c:pt idx="21">
                  <c:v>17.196145161290325</c:v>
                </c:pt>
                <c:pt idx="22">
                  <c:v>17.196145161290325</c:v>
                </c:pt>
                <c:pt idx="23">
                  <c:v>18.402520930232555</c:v>
                </c:pt>
                <c:pt idx="24">
                  <c:v>18.402520930232555</c:v>
                </c:pt>
                <c:pt idx="25">
                  <c:v>18.402520930232555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A-40B4-A659-3E2CFDC97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868608"/>
        <c:axId val="1313869856"/>
      </c:lineChart>
      <c:catAx>
        <c:axId val="131386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Biomass</a:t>
                </a:r>
                <a:r>
                  <a:rPr lang="fr-FR" baseline="0"/>
                  <a:t> availability (GWh)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9856"/>
        <c:crosses val="autoZero"/>
        <c:auto val="1"/>
        <c:lblAlgn val="ctr"/>
        <c:lblOffset val="100"/>
        <c:noMultiLvlLbl val="0"/>
      </c:catAx>
      <c:valAx>
        <c:axId val="13138698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Supply</a:t>
                </a:r>
                <a:r>
                  <a:rPr lang="fr-FR" baseline="0"/>
                  <a:t> cost (€/MWh)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86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21884712109735"/>
          <c:y val="0.3694167653822033"/>
          <c:w val="0.20876830772722443"/>
          <c:h val="0.42662346410238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13</xdr:col>
      <xdr:colOff>655320</xdr:colOff>
      <xdr:row>26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F8C85BF-A6BC-4842-97E9-F9456D86C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45720</xdr:rowOff>
    </xdr:from>
    <xdr:to>
      <xdr:col>13</xdr:col>
      <xdr:colOff>662940</xdr:colOff>
      <xdr:row>49</xdr:row>
      <xdr:rowOff>144780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04EB72D-015B-4847-A540-3A025DF7F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670560</xdr:colOff>
      <xdr:row>26</xdr:row>
      <xdr:rowOff>38100</xdr:rowOff>
    </xdr:from>
    <xdr:to>
      <xdr:col>27</xdr:col>
      <xdr:colOff>510540</xdr:colOff>
      <xdr:row>49</xdr:row>
      <xdr:rowOff>160020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5AE69F8-CE1D-4FFD-9837-D53EEC3C2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49</xdr:row>
      <xdr:rowOff>160020</xdr:rowOff>
    </xdr:from>
    <xdr:to>
      <xdr:col>13</xdr:col>
      <xdr:colOff>640080</xdr:colOff>
      <xdr:row>74</xdr:row>
      <xdr:rowOff>68580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67C352-ADB1-4786-9109-0BBA47042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655320</xdr:colOff>
      <xdr:row>0</xdr:row>
      <xdr:rowOff>0</xdr:rowOff>
    </xdr:from>
    <xdr:to>
      <xdr:col>27</xdr:col>
      <xdr:colOff>502920</xdr:colOff>
      <xdr:row>26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E42DF36-23FD-4ED0-9B57-67C1C8A99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18E48-70EA-4CBD-AB2D-D75734007429}" name="Tableau3" displayName="Tableau3" ref="A1:E62" totalsRowShown="0">
  <autoFilter ref="A1:E62" xr:uid="{B6BD271C-3EFD-442F-ABB3-9B725882AF04}">
    <filterColumn colId="0">
      <filters>
        <filter val="CP_RW"/>
        <filter val="SWITCHGRASS"/>
      </filters>
    </filterColumn>
    <filterColumn colId="1">
      <filters>
        <filter val="HIGH_2050"/>
      </filters>
    </filterColumn>
  </autoFilter>
  <sortState xmlns:xlrd2="http://schemas.microsoft.com/office/spreadsheetml/2017/richdata2" ref="A21:E62">
    <sortCondition ref="A1:A62"/>
  </sortState>
  <tableColumns count="5">
    <tableColumn id="1" xr3:uid="{72D442C3-6198-416E-9548-C0E8A8B0E3A5}" name="Resource"/>
    <tableColumn id="5" xr3:uid="{5B90B40C-F64D-4742-B50E-ABC01096FD59}" name="Scenario"/>
    <tableColumn id="4" xr3:uid="{20586917-DF7E-4699-B5CC-A164940829F4}" name="Potential (GWh)"/>
    <tableColumn id="2" xr3:uid="{4FCDCF14-16EE-4748-9EF4-BFB0DB5749ED}" name="Production cost (M€/GWh)"/>
    <tableColumn id="3" xr3:uid="{BB2A165D-1156-40E4-B8DA-8410DD1F23FB}" name="GHG impact (tCO2eq/MWh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4497CD-9C8E-4A01-9AE2-24501BD0B62B}" name="Tableau6" displayName="Tableau6" ref="A1:EN102" totalsRowShown="0">
  <autoFilter ref="A1:EN102" xr:uid="{8E4497CD-9C8E-4A01-9AE2-24501BD0B62B}"/>
  <tableColumns count="144">
    <tableColumn id="1" xr3:uid="{739CA740-4582-47A1-AA51-6C40A5D57BAD}" name="run"/>
    <tableColumn id="2" xr3:uid="{F83A5865-445C-4AED-A344-476FABEA1360}" name="Solid biomass availability (GWh/y)" dataDxfId="151" dataCellStyle="Milliers">
      <calculatedColumnFormula array="1">INDEX(runs!B:B, _xludf.MATCH(1, (runs!A:A=Tableau6[[#This Row],[run]])*(runs!D:D=$AB$2), 0))</calculatedColumnFormula>
    </tableColumn>
    <tableColumn id="3" xr3:uid="{8D2B3387-43CF-495F-BC89-D02DE62B8C75}" name="Total cost (M€/y) HIGH" dataDxfId="150" dataCellStyle="Milliers"/>
    <tableColumn id="133" xr3:uid="{3C5BA4CE-C3B9-44D2-B830-80A442E9A641}" name="Total Cost (M€) HIGH +1Mt CO2" dataDxfId="12" dataCellStyle="Milliers"/>
    <tableColumn id="6" xr3:uid="{28ECC527-EF69-4756-ACBA-89E873F3A34C}" name="Marginal value of solid biomass (€/MWh) HIGH" dataDxfId="149" dataCellStyle="Milliers">
      <calculatedColumnFormula>(C1-Tableau6[[#This Row],[Total cost (M€/y) HIGH]])/(Tableau6[[#This Row],[Solid biomass availability (GWh/y)]]-B1)*1000</calculatedColumnFormula>
    </tableColumn>
    <tableColumn id="126" xr3:uid="{2D500923-1ED1-4202-9267-3E09968B8627}" name="Marginal use HIGH" dataDxfId="148" dataCellStyle="Milliers"/>
    <tableColumn id="127" xr3:uid="{4E6BF092-61ED-4D0D-B8FA-267581A7A5C7}" name="Average willingness-to-pay (€/MWh) HIGH" dataDxfId="147" dataCellStyle="Milliers"/>
    <tableColumn id="76" xr3:uid="{14EBD5C1-C675-4786-BB30-DE756E6EF0E1}" name="Marginal supply commodity HIGH" dataDxfId="146" dataCellStyle="Milliers"/>
    <tableColumn id="77" xr3:uid="{C3B895B1-9156-4F0F-A5DA-4111DCEB2383}" name="Marginal supply cost (€/MWh) HIGH" dataDxfId="145" dataCellStyle="Milliers">
      <calculatedColumnFormula array="1">INDEX(Tableau3[Production cost (M€/GWh)],
       MATCH(1,
             (Tableau3[Resource]=Tableau6[[#This Row],[Marginal supply commodity HIGH]])*(Tableau3[Scenario]="HIGH_2050"),
             0))*1000</calculatedColumnFormula>
    </tableColumn>
    <tableColumn id="137" xr3:uid="{A1D4ECB5-4416-4C2A-8EE5-6B0039E74214}" name="Marginal emission factor (kgCO2/MWh) HIGH" dataDxfId="144" dataCellStyle="Milliers">
      <calculatedColumnFormula array="1">INDEX(Tableau3[GHG impact (tCO2eq/MWh)],
       MATCH(1,
             (Tableau3[Resource]=Tableau6[[#This Row],[Marginal supply commodity HIGH]])*(Tableau3[Scenario]="HIGH_2050"),
             0))*1000</calculatedColumnFormula>
    </tableColumn>
    <tableColumn id="135" xr3:uid="{95BDE53F-239D-4015-BE6E-9032C9C01B38}" name="Marginal Carbon cost (€/tCO2) HIGH" dataDxfId="10" dataCellStyle="Milliers">
      <calculatedColumnFormula>(Tableau6[[#This Row],[Total cost (M€/y) HIGH]]-Tableau6[[#This Row],[Total Cost (M€) HIGH +1Mt CO2]])</calculatedColumnFormula>
    </tableColumn>
    <tableColumn id="139" xr3:uid="{4BF6E197-2E18-443D-84CF-3C010AB488DA}" name="Carbon cost of marginal biomass (€/MWh) HIGH" dataDxfId="5" dataCellStyle="Milliers">
      <calculatedColumnFormula>Tableau6[[#This Row],[Marginal Carbon cost (€/tCO2) HIGH]]*Tableau6[[#This Row],[Marginal emission factor (kgCO2/MWh) HIGH]]/1000</calculatedColumnFormula>
    </tableColumn>
    <tableColumn id="136" xr3:uid="{CE31BF41-F233-4D1D-A7DC-62EC79A2FCD6}" name="Carbon cost of marginal biomass (€/MWh) 2" dataDxfId="9" dataCellStyle="Milliers">
      <calculatedColumnFormula>(CS2-$CS$2)*AVERAGE($E$3,E2)/(B2-$B$2)</calculatedColumnFormula>
    </tableColumn>
    <tableColumn id="134" xr3:uid="{99683BD5-8542-4CDA-9417-E3CDA1BDE90C}" name="Carbon cost of marginal biomass (€/MWh) 3" dataDxfId="8" dataCellStyle="Milliers">
      <calculatedColumnFormula>(CS2-CS1)*Tableau6[[#This Row],[Marginal value of solid biomass (€/MWh) HIGH]]/(B2-B1)</calculatedColumnFormula>
    </tableColumn>
    <tableColumn id="132" xr3:uid="{338BC279-6F2F-48E4-8197-4C591AFA5195}" name="Carbon cost of marginal biomass (€/MWh) 4" dataDxfId="6" dataCellStyle="Milliers"/>
    <tableColumn id="140" xr3:uid="{7F091280-274C-4722-A09D-FC9EFA646CF2}" name="System cost of marginal biomass (€/MWh) HIGH" dataDxfId="4" dataCellStyle="Milliers">
      <calculatedColumnFormula>Tableau6[[#This Row],[Marginal supply cost (€/MWh) HIGH]]+Tableau6[[#This Row],[Carbon cost of marginal biomass (€/MWh) HIGH]]</calculatedColumnFormula>
    </tableColumn>
    <tableColumn id="4" xr3:uid="{44A94F0D-0389-4998-B093-EEEA868A6CE9}" name="Total cost (M€/y) MED" dataDxfId="7" dataCellStyle="Milliers"/>
    <tableColumn id="138" xr3:uid="{6E329326-0C23-4E90-8901-02AF1D0F73FC}" name="Total cost (M€/y) MED +1Mt CO2" dataDxfId="11" dataCellStyle="Milliers"/>
    <tableColumn id="7" xr3:uid="{A9944BCD-A2C6-431D-A34B-703C7A7BBD64}" name="Marginal value of solid biomass (€/MWh) MED" dataDxfId="143" dataCellStyle="Milliers">
      <calculatedColumnFormula>(Q1-Tableau6[[#This Row],[Total cost (M€/y) MED]])/(Tableau6[[#This Row],[Solid biomass availability (GWh/y)]]-B1)*1000</calculatedColumnFormula>
    </tableColumn>
    <tableColumn id="129" xr3:uid="{0BC21725-A806-4C39-8585-F9B253EC10DC}" name="Marginal use MED" dataDxfId="142" dataCellStyle="Milliers"/>
    <tableColumn id="128" xr3:uid="{59467763-86A7-4EEC-AB90-542FB8C7355D}" name="Average willingness-to-pay (€/MWh) MED" dataDxfId="141" dataCellStyle="Milliers"/>
    <tableColumn id="79" xr3:uid="{47DFC6A7-D1BB-458D-946D-69492691C2AD}" name="Marginal supply commodity MED" dataDxfId="140" dataCellStyle="Milliers"/>
    <tableColumn id="78" xr3:uid="{4C52DDA8-067C-41EB-83B8-6B1DE2C6B6B9}" name="Marginal supply cost (€/MWh) MED" dataDxfId="139" dataCellStyle="Milliers">
      <calculatedColumnFormula array="1">INDEX(Tableau3[Production cost (M€/GWh)],
       MATCH(1,
             (Tableau3[Resource]=Tableau6[[#This Row],[Marginal supply commodity MED]])*(Tableau3[Scenario]="MED_2050"),
             0))*1000</calculatedColumnFormula>
    </tableColumn>
    <tableColumn id="142" xr3:uid="{F10E7162-0CAD-4693-8BBE-AABF37AE4AB8}" name="Marginal emission factor (kgCO2/MWh)" dataDxfId="3" dataCellStyle="Milliers">
      <calculatedColumnFormula array="1">INDEX(Tableau3[GHG impact (tCO2eq/MWh)],
       MATCH(1,
             (Tableau3[Resource]=Tableau6[[#This Row],[Marginal supply commodity MED]])*(Tableau3[Scenario]="MED_2050"),
             0))*1000</calculatedColumnFormula>
    </tableColumn>
    <tableColumn id="143" xr3:uid="{1F92A5A1-C4C0-48D0-9CC0-C19DD297EA7B}" name="Marginal Carbon cost (€/tCO2) MED" dataDxfId="2" dataCellStyle="Milliers">
      <calculatedColumnFormula>Tableau6[[#This Row],[Total cost (M€/y) MED]]-Tableau6[[#This Row],[Total cost (M€/y) MED +1Mt CO2]]</calculatedColumnFormula>
    </tableColumn>
    <tableColumn id="144" xr3:uid="{C6F4B8E2-482F-41EE-A842-34FB1AF434FC}" name="Carbon cost of marginal biomass (€/MWh) MED" dataDxfId="1" dataCellStyle="Milliers">
      <calculatedColumnFormula>Tableau6[[#This Row],[Marginal Carbon cost (€/tCO2) MED]]*Tableau6[[#This Row],[Marginal emission factor (kgCO2/MWh)]]/1000</calculatedColumnFormula>
    </tableColumn>
    <tableColumn id="145" xr3:uid="{F191CB5F-DC2D-4F4A-B7F9-1ED21E80866C}" name="System cost of marginal biomass (€/MWh) MED" dataDxfId="0" dataCellStyle="Milliers">
      <calculatedColumnFormula>Tableau6[[#This Row],[Carbon cost of marginal biomass (€/MWh) MED]]+Tableau6[[#This Row],[Marginal supply cost (€/MWh) MED]]</calculatedColumnFormula>
    </tableColumn>
    <tableColumn id="5" xr3:uid="{A1BBB3CD-1106-4320-9258-5722B22FBD3F}" name="Total cost (M€/y) LOW" dataDxfId="138" dataCellStyle="Milliers"/>
    <tableColumn id="8" xr3:uid="{C31062E0-BCB6-42C2-BF93-B00E6168283C}" name="Marginal value of solid biomass (€/MWh) LOW" dataDxfId="137" dataCellStyle="Milliers">
      <calculatedColumnFormula>(AB1-Tableau6[[#This Row],[Total cost (M€/y) LOW]])/(Tableau6[[#This Row],[Solid biomass availability (GWh/y)]]-B1)*1000</calculatedColumnFormula>
    </tableColumn>
    <tableColumn id="131" xr3:uid="{77A125E2-1552-4907-A96C-8311C2E4FE51}" name="Marginal use LOW" dataDxfId="136" dataCellStyle="Milliers"/>
    <tableColumn id="130" xr3:uid="{5F1F501B-6A25-4A95-BB13-4DEC0C9651BC}" name="Average willingness-to-pay (€/MWh) LOW" dataDxfId="135" dataCellStyle="Milliers"/>
    <tableColumn id="81" xr3:uid="{D3186BD3-41F5-4A46-8B28-6A744F8D82D6}" name="Marginal supply commodity LOW2" dataDxfId="134" dataCellStyle="Milliers"/>
    <tableColumn id="80" xr3:uid="{B7DD122A-9493-417F-8A8C-69325CDBAFE2}" name="Marginal supply cost (€/MWh) LOW" dataDxfId="133" dataCellStyle="Milliers">
      <calculatedColumnFormula array="1">INDEX(Tableau3[Production cost (M€/GWh)],
       MATCH(1,
             (Tableau3[Resource]=Tableau6[[#This Row],[Marginal supply commodity LOW2]])*(Tableau3[Scenario]="LOW_2050"),
             0))*1000</calculatedColumnFormula>
    </tableColumn>
    <tableColumn id="9" xr3:uid="{A85B8EAD-2A15-4500-91DF-FA37C9FD3150}" name="APPLES" dataDxfId="132" dataCellStyle="Milliers"/>
    <tableColumn id="10" xr3:uid="{302212E7-E8A2-4899-8FCB-822D3F361AB3}" name="CEREALSTRAW" dataDxfId="131" dataCellStyle="Milliers"/>
    <tableColumn id="11" xr3:uid="{D2685349-5F3E-4A26-9A43-FCBE615F275F}" name="CHERRIES" dataDxfId="130" dataCellStyle="Milliers"/>
    <tableColumn id="12" xr3:uid="{D3A68264-133A-44B7-93CD-6A225BA85AE4}" name="CP_RES" dataDxfId="129" dataCellStyle="Milliers"/>
    <tableColumn id="13" xr3:uid="{83B8A69C-586D-4C98-AB1A-6CE1CAD1C4A4}" name="CP_RW" dataDxfId="128" dataCellStyle="Milliers"/>
    <tableColumn id="14" xr3:uid="{9E52DF7D-9465-492F-B3FD-545B6DFA01B8}" name="FUELWOODRW" dataDxfId="127" dataCellStyle="Milliers"/>
    <tableColumn id="15" xr3:uid="{4C54D8E9-D20D-4FFD-93A4-99D8A14DC19E}" name="FUELWOOD_RES" dataDxfId="126" dataCellStyle="Milliers"/>
    <tableColumn id="16" xr3:uid="{45F87724-9D3B-4EE4-9B7C-76C125450A1B}" name="LANDSCAPECARE" dataDxfId="125" dataCellStyle="Milliers"/>
    <tableColumn id="17" xr3:uid="{5135C56B-B18B-419B-87B3-0B7D0303330C}" name="MAIZESTRAW" dataDxfId="124" dataCellStyle="Milliers"/>
    <tableColumn id="18" xr3:uid="{EFBC09AB-C2B3-46C9-8689-BE72E43F6DA6}" name="MISCANTHUS" dataDxfId="123" dataCellStyle="Milliers"/>
    <tableColumn id="19" xr3:uid="{899FC0DE-B0FF-40F9-A23E-86BBF8E500F0}" name="MSW" dataDxfId="122" dataCellStyle="Milliers"/>
    <tableColumn id="20" xr3:uid="{AC59CE7A-FF32-43AC-B4EB-101C94733F00}" name="OLIVES" dataDxfId="121" dataCellStyle="Milliers"/>
    <tableColumn id="21" xr3:uid="{7A902D5C-9A47-433A-B513-72749035823D}" name="OLIVE_PITS" dataDxfId="120" dataCellStyle="Milliers"/>
    <tableColumn id="22" xr3:uid="{1AD9A11F-FA42-4D0F-833F-257493C78877}" name="OSR" dataDxfId="119" dataCellStyle="Milliers"/>
    <tableColumn id="23" xr3:uid="{E6B631E5-7E75-4DDA-A47F-85B77FC3CA6F}" name="OTHERSECRESID" dataDxfId="118" dataCellStyle="Milliers"/>
    <tableColumn id="24" xr3:uid="{C6B82532-959B-44C3-9C2B-1E01362BA390}" name="POPLAR" dataDxfId="117" dataCellStyle="Milliers"/>
    <tableColumn id="25" xr3:uid="{32A81E73-7FE2-4738-B9E1-4A1194C7E0BB}" name="RICESTRAW" dataDxfId="116" dataCellStyle="Milliers"/>
    <tableColumn id="26" xr3:uid="{EA53FB40-8ECD-4E82-B4D4-F45539E9453E}" name="SAWDUST" dataDxfId="115" dataCellStyle="Milliers"/>
    <tableColumn id="27" xr3:uid="{1870C2EE-F2B4-4327-9A97-101E24A60A9B}" name="SWITCHGRASS" dataDxfId="114" dataCellStyle="Milliers"/>
    <tableColumn id="28" xr3:uid="{97CE3259-3B87-45A1-828D-8DDF3223D6FE}" name="VINEYARDS" dataDxfId="113" dataCellStyle="Milliers"/>
    <tableColumn id="29" xr3:uid="{8230A58D-67A0-45EA-93B7-2D88F1735159}" name="WILLOW" dataDxfId="112" dataCellStyle="Milliers"/>
    <tableColumn id="32" xr3:uid="{1DBA3460-180E-4B77-87E6-94A18A4EC22A}" name="APPLES2" dataDxfId="111" dataCellStyle="Milliers"/>
    <tableColumn id="33" xr3:uid="{848AAF98-5860-4C7B-B972-867A25C56983}" name="CEREALSTRAW3" dataDxfId="110" dataCellStyle="Milliers"/>
    <tableColumn id="34" xr3:uid="{E7498F31-4D8B-4442-8C1F-A1CB4C9BD1F4}" name="CHERRIES4" dataDxfId="109" dataCellStyle="Milliers"/>
    <tableColumn id="35" xr3:uid="{6B1A39B1-C90C-4AC3-948A-70FF93382C41}" name="CP_RES5" dataDxfId="108" dataCellStyle="Milliers"/>
    <tableColumn id="36" xr3:uid="{722DE261-746E-457C-9723-E234F30329A0}" name="CP_RW6" dataDxfId="107" dataCellStyle="Milliers"/>
    <tableColumn id="37" xr3:uid="{BA297C1E-929E-4784-B7ED-9F2F9F2A5951}" name="FUELWOODRW7" dataDxfId="106" dataCellStyle="Milliers"/>
    <tableColumn id="38" xr3:uid="{CED4E955-597D-4333-B7DE-62833F9B154D}" name="FUELWOOD_RES8" dataDxfId="105" dataCellStyle="Milliers"/>
    <tableColumn id="39" xr3:uid="{5B710B17-7069-45CE-B9F9-037CCB4A9A2F}" name="LANDSCAPECARE9" dataDxfId="104" dataCellStyle="Milliers"/>
    <tableColumn id="40" xr3:uid="{12BEA067-4DF8-4698-91E5-A890C2F12D27}" name="MAIZESTRAW10" dataDxfId="103" dataCellStyle="Milliers"/>
    <tableColumn id="41" xr3:uid="{9DA0B3EE-A25A-4F0B-B7B7-6B0EA99E117A}" name="MISCANTHUS11" dataDxfId="102" dataCellStyle="Milliers"/>
    <tableColumn id="42" xr3:uid="{3994D982-88EB-48C9-A50A-41F0E9F0D6C2}" name="MSW12" dataDxfId="101" dataCellStyle="Milliers"/>
    <tableColumn id="43" xr3:uid="{32133D43-E0D7-4A7B-8044-B30757F07F86}" name="OLIVES13" dataDxfId="100" dataCellStyle="Milliers"/>
    <tableColumn id="44" xr3:uid="{3843CF4E-1716-45DE-9174-A41607D12A8B}" name="OLIVE_PITS14" dataDxfId="99" dataCellStyle="Milliers"/>
    <tableColumn id="45" xr3:uid="{9713C7A2-6380-4B0A-94CF-16F04A9941A7}" name="OSR15" dataDxfId="98" dataCellStyle="Milliers"/>
    <tableColumn id="46" xr3:uid="{B968A9E2-F288-4EFA-B4A5-643F60F81B20}" name="OTHERSECRESID16" dataDxfId="97" dataCellStyle="Milliers"/>
    <tableColumn id="47" xr3:uid="{AA7107CE-E4E6-460B-902C-3284128B208C}" name="POPLAR17" dataDxfId="96" dataCellStyle="Milliers"/>
    <tableColumn id="48" xr3:uid="{DE90A9A5-6B0E-4AFF-AA36-EB31A59B8464}" name="RICESTRAW18" dataDxfId="95" dataCellStyle="Milliers"/>
    <tableColumn id="49" xr3:uid="{A7ADE053-18CE-4032-8422-C004B7FF0C42}" name="SAWDUST19" dataDxfId="94" dataCellStyle="Milliers"/>
    <tableColumn id="50" xr3:uid="{0E092986-69AE-40D7-B8B1-C346CF233350}" name="SWITCHGRASS20" dataDxfId="93" dataCellStyle="Milliers"/>
    <tableColumn id="51" xr3:uid="{C69CDC60-A0BF-4E5C-8DF2-28382843E55B}" name="VINEYARDS21" dataDxfId="92" dataCellStyle="Milliers"/>
    <tableColumn id="52" xr3:uid="{0E01BA7E-A5B0-42D0-8C73-E095A3988A1A}" name="WILLOW22" dataDxfId="91" dataCellStyle="Milliers"/>
    <tableColumn id="55" xr3:uid="{4C7B6CB1-857A-4354-B7A0-985A2EB06B4A}" name="APPLES3" dataDxfId="90" dataCellStyle="Milliers">
      <calculatedColumnFormula array="1">INDEX(segments!$E:$E,
       MATCH(1,
             (segments!$A:$A=$A2)*(segments!$D:$D=AH$1)*(segments!$C:$C="LOW"),
             0))</calculatedColumnFormula>
    </tableColumn>
    <tableColumn id="56" xr3:uid="{B069EF7A-8A91-4615-9F9D-3EBFBEC6C05C}" name="CEREALSTRAW4" dataDxfId="89" dataCellStyle="Milliers"/>
    <tableColumn id="57" xr3:uid="{FFA1B393-BB1D-4481-B29B-8D8F0C1FDEAC}" name="CHERRIES5" dataDxfId="88" dataCellStyle="Milliers"/>
    <tableColumn id="58" xr3:uid="{182C86B3-9D96-4CAB-BD2B-46A47F6AD16B}" name="CP_RES6" dataDxfId="87" dataCellStyle="Milliers"/>
    <tableColumn id="59" xr3:uid="{D3AFC5BB-9773-4BD2-9170-A326C0A3C533}" name="CP_RW7" dataDxfId="86" dataCellStyle="Milliers"/>
    <tableColumn id="60" xr3:uid="{73782962-1ECA-4388-A5CF-7212FCFAF5DB}" name="FUELWOODRW8" dataDxfId="85" dataCellStyle="Milliers"/>
    <tableColumn id="61" xr3:uid="{AC1B8E5D-D6F2-4E5E-873E-AB816903ED97}" name="FUELWOOD_RES9" dataDxfId="84" dataCellStyle="Milliers"/>
    <tableColumn id="62" xr3:uid="{B417EE81-49EF-4C61-AFDD-CB8AB4216581}" name="LANDSCAPECARE10" dataDxfId="83" dataCellStyle="Milliers"/>
    <tableColumn id="63" xr3:uid="{1CAF605E-7C55-4B0F-A0F2-822303330C1C}" name="MAIZESTRAW11" dataDxfId="82" dataCellStyle="Milliers"/>
    <tableColumn id="64" xr3:uid="{8556EFE6-0198-4033-B23C-F76CE60C8DEA}" name="MISCANTHUS12" dataDxfId="81" dataCellStyle="Milliers"/>
    <tableColumn id="65" xr3:uid="{4B9B61AE-DFCE-4AFE-8E1A-72B2B9C76FA4}" name="MSW13" dataDxfId="80" dataCellStyle="Milliers"/>
    <tableColumn id="66" xr3:uid="{50447C6A-1AD6-482B-9891-9C845F8CD7E4}" name="OLIVES14" dataDxfId="79" dataCellStyle="Milliers"/>
    <tableColumn id="67" xr3:uid="{41A71A8E-D682-4D74-9F7E-4F3137E56719}" name="OLIVE_PITS15" dataDxfId="78" dataCellStyle="Milliers"/>
    <tableColumn id="68" xr3:uid="{5A43BB79-6A3D-4058-8ED6-FEA5B3FC79E3}" name="OSR16" dataDxfId="77" dataCellStyle="Milliers"/>
    <tableColumn id="69" xr3:uid="{E0CC582C-0FA4-4AB3-9240-6C30321CA1D9}" name="OTHERSECRESID17" dataDxfId="76" dataCellStyle="Milliers"/>
    <tableColumn id="70" xr3:uid="{DE21CA65-80AC-4427-8C4D-BFA31087AD6B}" name="POPLAR18" dataDxfId="75" dataCellStyle="Milliers"/>
    <tableColumn id="71" xr3:uid="{98CD75CA-3CA8-484D-A582-88B730F4C8F5}" name="RICESTRAW19" dataDxfId="74" dataCellStyle="Milliers"/>
    <tableColumn id="72" xr3:uid="{197028DC-6678-475F-A66E-CAF3B6A7CB41}" name="SAWDUST20" dataDxfId="73" dataCellStyle="Milliers"/>
    <tableColumn id="73" xr3:uid="{D2842ACE-8369-4E6B-8B84-38A053BC7B0E}" name="SWITCHGRASS21" dataDxfId="72" dataCellStyle="Milliers"/>
    <tableColumn id="74" xr3:uid="{560481DE-4BC5-4F7F-8A68-BCFFECD5F270}" name="VINEYARDS22" dataDxfId="71" dataCellStyle="Milliers"/>
    <tableColumn id="75" xr3:uid="{2E63140C-5E00-4D9F-A672-C8659AFEE311}" name="WILLOW23" dataDxfId="70" dataCellStyle="Milliers"/>
    <tableColumn id="30" xr3:uid="{39EECEAA-5DCD-4CDA-976B-6510071A404B}" name="BIOMASS_SEQUESTRATION" dataDxfId="69" dataCellStyle="Milliers"/>
    <tableColumn id="31" xr3:uid="{8117DC1E-A669-420C-AEEF-274F603E4181}" name="BIOMASS_TO_HVC" dataDxfId="68" dataCellStyle="Milliers"/>
    <tableColumn id="53" xr3:uid="{4826CCB2-A78E-49F2-9487-138256540744}" name="DEC_BOILER_WOOD" dataDxfId="67" dataCellStyle="Milliers"/>
    <tableColumn id="54" xr3:uid="{21AD87A8-D42F-4957-B10B-E378A803405D}" name="DHN_BOILER_WOOD" dataDxfId="66" dataCellStyle="Milliers"/>
    <tableColumn id="82" xr3:uid="{D2E9CE58-4CEC-42A1-BD30-83C87709EEAD}" name="DHN_COGEN_WOOD" dataDxfId="65" dataCellStyle="Milliers"/>
    <tableColumn id="83" xr3:uid="{CFC0CCFD-4F0E-4866-975C-55A30EEE8002}" name="E_WOOD_TO_FT" dataDxfId="64" dataCellStyle="Milliers"/>
    <tableColumn id="84" xr3:uid="{FE969F6F-5258-445A-8879-AFD5EB341A5B}" name="E_WOOD_TO_METHANE" dataDxfId="63" dataCellStyle="Milliers"/>
    <tableColumn id="85" xr3:uid="{8AEC9ADE-5FA2-403E-95DB-1834E4C2EA69}" name="E_WOOD_TO_METHANOL" dataDxfId="62" dataCellStyle="Milliers"/>
    <tableColumn id="86" xr3:uid="{7EA38F9D-BC45-47ED-9ADE-86401184E670}" name="H2_BIOMASS" dataDxfId="61" dataCellStyle="Milliers"/>
    <tableColumn id="87" xr3:uid="{0764D09B-F82A-44BC-80B2-8396F9B4C340}" name="IND_BOILER_WOOD" dataDxfId="60" dataCellStyle="Milliers"/>
    <tableColumn id="88" xr3:uid="{5EE392D4-A772-4B2C-9D1D-28E2482F37D6}" name="IND_COGEN_WOOD" dataDxfId="59" dataCellStyle="Milliers"/>
    <tableColumn id="89" xr3:uid="{BD60DDC2-73D0-4405-BDA0-8850E402983D}" name="PYROLYSIS_TO_FUELS" dataDxfId="58" dataCellStyle="Milliers"/>
    <tableColumn id="90" xr3:uid="{E9D9B1CE-B03A-4A58-AB4A-64EC3E735587}" name="PYROLYSIS_TO_LFO" dataDxfId="57" dataCellStyle="Milliers"/>
    <tableColumn id="91" xr3:uid="{B00AB6C4-E541-43B1-B785-84842043CE24}" name="WOOD_TO_FT" dataDxfId="56" dataCellStyle="Milliers"/>
    <tableColumn id="92" xr3:uid="{80D9B9FE-202F-43D4-A9E0-24937F48EC3A}" name="WOOD_TO_METHANE" dataDxfId="55" dataCellStyle="Milliers"/>
    <tableColumn id="93" xr3:uid="{AFDC2DB1-DD5C-4EB8-9B39-21E458627A80}" name="WOOD_TO_METHANOL" dataDxfId="54" dataCellStyle="Milliers"/>
    <tableColumn id="94" xr3:uid="{922E9700-3E7D-437D-82BE-F8225D35A77E}" name="BIOMASS_SEQUESTRATION2" dataDxfId="53" dataCellStyle="Milliers"/>
    <tableColumn id="95" xr3:uid="{51528AF7-2761-4A46-95B9-A56955555D33}" name="BIOMASS_TO_HVC2" dataDxfId="52" dataCellStyle="Milliers"/>
    <tableColumn id="96" xr3:uid="{4B0EED8D-0274-4357-9BE5-A7DFC6AEE96A}" name="DEC_BOILER_WOOD3" dataDxfId="51" dataCellStyle="Milliers"/>
    <tableColumn id="97" xr3:uid="{A85C4807-2014-458C-9EAB-DE2CAF57CEF3}" name="DHN_BOILER_WOOD4" dataDxfId="50" dataCellStyle="Milliers"/>
    <tableColumn id="98" xr3:uid="{46BA1E80-5B87-437C-8E66-1774DF8E373A}" name="DHN_COGEN_WOOD5" dataDxfId="49" dataCellStyle="Milliers"/>
    <tableColumn id="99" xr3:uid="{CA318866-22C7-480B-A8FC-4BAF7082EC95}" name="E_WOOD_TO_FT6" dataDxfId="48" dataCellStyle="Milliers"/>
    <tableColumn id="100" xr3:uid="{52BE01C3-5EDC-4760-9874-31FA1D70E723}" name="E_WOOD_TO_METHANE7" dataDxfId="47" dataCellStyle="Milliers"/>
    <tableColumn id="101" xr3:uid="{6D82BF5B-E118-43FB-8C07-DC2CBD5B72CB}" name="E_WOOD_TO_METHANOL8" dataDxfId="46" dataCellStyle="Milliers"/>
    <tableColumn id="102" xr3:uid="{3C7735BD-C8A9-434E-8111-17AEE95E227A}" name="H2_BIOMASS9" dataDxfId="45" dataCellStyle="Milliers"/>
    <tableColumn id="103" xr3:uid="{8A1DAA4A-5423-46A1-B958-0DC88F4F2F2D}" name="IND_BOILER_WOOD10" dataDxfId="44" dataCellStyle="Milliers"/>
    <tableColumn id="104" xr3:uid="{A03DB24C-6427-4F49-B053-E43213F19709}" name="IND_COGEN_WOOD11" dataDxfId="43" dataCellStyle="Milliers"/>
    <tableColumn id="105" xr3:uid="{F2E37607-8B7B-42E5-AECD-419FAC5B36D0}" name="PYROLYSIS_TO_FUELS12" dataDxfId="42" dataCellStyle="Milliers"/>
    <tableColumn id="106" xr3:uid="{E0FFA5F2-2D74-49FF-B55F-AA071A187C9D}" name="PYROLYSIS_TO_LFO13" dataDxfId="41" dataCellStyle="Milliers"/>
    <tableColumn id="107" xr3:uid="{363E0524-6D3D-443A-82D7-8260596C06EC}" name="WOOD_TO_FT14" dataDxfId="40" dataCellStyle="Milliers"/>
    <tableColumn id="108" xr3:uid="{CE859292-5D77-4F31-8F90-65B9879D14A7}" name="WOOD_TO_METHANE15" dataDxfId="39" dataCellStyle="Milliers"/>
    <tableColumn id="109" xr3:uid="{E1F3FECE-69FF-47A6-9D73-E24A3198014B}" name="WOOD_TO_METHANOL16" dataDxfId="38" dataCellStyle="Milliers"/>
    <tableColumn id="110" xr3:uid="{D6DFBFB0-D788-4BB5-9693-D5DCE681FF87}" name="BIOMASS_SEQUESTRATION22" dataDxfId="37" dataCellStyle="Milliers">
      <calculatedColumnFormula array="1">INDEX(uses!$E:$E,
       MATCH(1,
             (uses!$A:$A=$A2)*(uses!$D:$D=CS$1)*(uses!$C:$C="LOW"),
             0))</calculatedColumnFormula>
    </tableColumn>
    <tableColumn id="111" xr3:uid="{DF9F4E61-99DE-4F36-8BB0-C7524C2DB1F7}" name="BIOMASS_TO_HVC23" dataDxfId="36" dataCellStyle="Milliers"/>
    <tableColumn id="112" xr3:uid="{1652AAEC-597E-49A3-8F4A-E4146DBD5A3C}" name="DEC_BOILER_WOOD34" dataDxfId="35" dataCellStyle="Milliers"/>
    <tableColumn id="113" xr3:uid="{4044E48D-F7D9-4823-BFF7-6601F3FD765B}" name="DHN_BOILER_WOOD45" dataDxfId="34" dataCellStyle="Milliers"/>
    <tableColumn id="114" xr3:uid="{E78EDE0C-4C9F-4E7E-8DDB-4B2F306E0CA3}" name="DHN_COGEN_WOOD56" dataDxfId="33" dataCellStyle="Milliers"/>
    <tableColumn id="115" xr3:uid="{4C53CF96-8132-431C-80B4-30F0A800AC0E}" name="E_WOOD_TO_FT67" dataDxfId="32" dataCellStyle="Milliers"/>
    <tableColumn id="116" xr3:uid="{D9C93873-BB30-4111-82D6-7435A32DD28A}" name="E_WOOD_TO_METHANE78" dataDxfId="31" dataCellStyle="Milliers"/>
    <tableColumn id="117" xr3:uid="{3A94F541-5E02-4CEE-8E7C-65B482F1BC27}" name="E_WOOD_TO_METHANOL89" dataDxfId="30" dataCellStyle="Milliers"/>
    <tableColumn id="118" xr3:uid="{0C811303-B621-46D4-9E06-B864EA0B2F06}" name="H2_BIOMASS910" dataDxfId="29" dataCellStyle="Milliers"/>
    <tableColumn id="119" xr3:uid="{B90AB1FA-E7D6-4E0F-A4DE-C605957F3B6D}" name="IND_BOILER_WOOD1011" dataDxfId="28" dataCellStyle="Milliers"/>
    <tableColumn id="120" xr3:uid="{0B035C66-C9C6-4F73-A646-32330C8D107A}" name="IND_COGEN_WOOD1112" dataDxfId="27" dataCellStyle="Milliers"/>
    <tableColumn id="121" xr3:uid="{F9B8EF9D-D219-4B37-94E3-78E30D7059A1}" name="PYROLYSIS_TO_FUELS1213" dataDxfId="26" dataCellStyle="Milliers"/>
    <tableColumn id="122" xr3:uid="{ADF7A7AF-30FD-47AE-A693-C28474284803}" name="PYROLYSIS_TO_LFO1314" dataDxfId="25" dataCellStyle="Milliers"/>
    <tableColumn id="123" xr3:uid="{E2639AA3-84AE-4AE5-B0A4-E58FF32D3F1F}" name="WOOD_TO_FT1415" dataDxfId="24" dataCellStyle="Milliers"/>
    <tableColumn id="124" xr3:uid="{54EAE621-9C32-4F8F-9852-85454976E7A4}" name="WOOD_TO_METHANE1516" dataDxfId="23" dataCellStyle="Milliers"/>
    <tableColumn id="125" xr3:uid="{226F7BE5-4912-4840-86CA-D0331896D8F9}" name="WOOD_TO_METHANOL1617" dataDxfId="22" dataCellStyle="Millie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B5426-40A1-4A8F-A311-F91F508FD78B}" name="Tableau1" displayName="Tableau1" ref="A1:D168" totalsRowShown="0" headerRowDxfId="21" headerRowBorderDxfId="20" tableBorderDxfId="19">
  <autoFilter ref="A1:D168" xr:uid="{3C8B5426-40A1-4A8F-A311-F91F508FD78B}">
    <filterColumn colId="3">
      <filters>
        <filter val="LOW"/>
      </filters>
    </filterColumn>
  </autoFilter>
  <tableColumns count="4">
    <tableColumn id="1" xr3:uid="{672F8400-1FCB-427B-852A-E23F0F7DBF8C}" name="run_id"/>
    <tableColumn id="2" xr3:uid="{F5C03FCA-8659-4F24-A01B-AFF277D491FD}" name="wood_cap"/>
    <tableColumn id="3" xr3:uid="{8BBD1C89-C7EE-4B2B-A9BB-B71FF64B1EA1}" name="total_cost"/>
    <tableColumn id="9" xr3:uid="{CEB5E02E-BEF0-4BB1-BE00-BD8E8C98B625}" name="2050 ENSPRESO scenari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F517E0-1312-46F7-B7D6-98AF9FC1E71E}" name="Tableau4" displayName="Tableau4" ref="A1:E3508" totalsRowShown="0" headerRowDxfId="18" headerRowBorderDxfId="17" tableBorderDxfId="16">
  <autoFilter ref="A1:E3508" xr:uid="{2EF517E0-1312-46F7-B7D6-98AF9FC1E71E}">
    <filterColumn colId="2">
      <filters>
        <filter val="MED"/>
      </filters>
    </filterColumn>
    <filterColumn colId="3">
      <filters>
        <filter val="APPLES"/>
      </filters>
    </filterColumn>
  </autoFilter>
  <tableColumns count="5">
    <tableColumn id="1" xr3:uid="{7C397363-7C0B-4630-A2C9-78D9F50000F4}" name="run_id"/>
    <tableColumn id="2" xr3:uid="{23ACE715-8C45-4F86-9DFB-6A0D0A6EABE3}" name="wood_cap"/>
    <tableColumn id="3" xr3:uid="{A52937DF-4A16-4F40-BE12-498343B0C8E0}" name="2050 ENSPRESO scenario"/>
    <tableColumn id="4" xr3:uid="{AED1AC4F-A185-47B9-9E70-F21E2DF06175}" name="segment"/>
    <tableColumn id="5" xr3:uid="{62411245-DC2C-434F-B458-F3DC80A94BF0}" name="wood_injected_GWh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8C630A-FC70-409C-BB6F-0B007C7B6892}" name="Tableau5" displayName="Tableau5" ref="A1:E2673" totalsRowShown="0" headerRowDxfId="15" headerRowBorderDxfId="14" tableBorderDxfId="13">
  <autoFilter ref="A1:E2673" xr:uid="{2E8C630A-FC70-409C-BB6F-0B007C7B6892}"/>
  <tableColumns count="5">
    <tableColumn id="1" xr3:uid="{88049D3F-34C3-4E35-84E9-CB363AAAA73B}" name="run_id"/>
    <tableColumn id="2" xr3:uid="{7D829CDF-2949-415E-9F9F-7B495533183F}" name="wood_cap"/>
    <tableColumn id="3" xr3:uid="{C947280A-9AD4-4752-91CC-A359EA622668}" name="2050 ENSPRESO scenario"/>
    <tableColumn id="4" xr3:uid="{BEF2B65F-BA98-4479-9602-070AE740E2AF}" name="technology"/>
    <tableColumn id="5" xr3:uid="{11C36DF1-8AA6-437C-92BE-A0929608E233}" name="wood_consumed_GW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605D-1ECC-49CA-8913-212D7DFA6985}">
  <sheetPr>
    <tabColor rgb="FF92D050"/>
  </sheetPr>
  <dimension ref="A1:E62"/>
  <sheetViews>
    <sheetView workbookViewId="0">
      <selection activeCell="H18" sqref="H18"/>
    </sheetView>
  </sheetViews>
  <sheetFormatPr baseColWidth="10" defaultRowHeight="14.4" x14ac:dyDescent="0.3"/>
  <cols>
    <col min="1" max="2" width="15" customWidth="1"/>
    <col min="3" max="3" width="18.6640625" customWidth="1"/>
    <col min="4" max="4" width="25.6640625" customWidth="1"/>
    <col min="5" max="5" width="27.6640625" customWidth="1"/>
  </cols>
  <sheetData>
    <row r="1" spans="1:5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hidden="1" x14ac:dyDescent="0.3">
      <c r="A2" t="s">
        <v>16</v>
      </c>
      <c r="B2" t="s">
        <v>53</v>
      </c>
      <c r="C2">
        <v>40333.000000000007</v>
      </c>
      <c r="D2">
        <v>1.9956115953864199E-4</v>
      </c>
      <c r="E2">
        <v>4.2264000000000003E-2</v>
      </c>
    </row>
    <row r="3" spans="1:5" hidden="1" x14ac:dyDescent="0.3">
      <c r="A3" t="s">
        <v>23</v>
      </c>
      <c r="B3" t="s">
        <v>53</v>
      </c>
      <c r="C3">
        <v>4444.4444444444443</v>
      </c>
      <c r="D3">
        <v>3.8322580645161301E-4</v>
      </c>
      <c r="E3">
        <v>9.6350781781101309E-3</v>
      </c>
    </row>
    <row r="4" spans="1:5" hidden="1" x14ac:dyDescent="0.3">
      <c r="A4" t="s">
        <v>19</v>
      </c>
      <c r="B4" t="s">
        <v>53</v>
      </c>
      <c r="C4">
        <v>8833.3333333333339</v>
      </c>
      <c r="D4">
        <v>5.4618157894736801E-3</v>
      </c>
      <c r="E4">
        <v>2.4634426229508202E-2</v>
      </c>
    </row>
    <row r="5" spans="1:5" hidden="1" x14ac:dyDescent="0.3">
      <c r="A5" t="s">
        <v>20</v>
      </c>
      <c r="B5" t="s">
        <v>53</v>
      </c>
      <c r="C5">
        <v>15166.666666666666</v>
      </c>
      <c r="D5">
        <v>6.2654036697247697E-3</v>
      </c>
      <c r="E5">
        <v>1.05284289276808E-2</v>
      </c>
    </row>
    <row r="6" spans="1:5" hidden="1" x14ac:dyDescent="0.3">
      <c r="A6" t="s">
        <v>22</v>
      </c>
      <c r="B6" t="s">
        <v>53</v>
      </c>
      <c r="C6">
        <v>504.14722222222218</v>
      </c>
      <c r="D6">
        <v>7.5505846439935598E-3</v>
      </c>
      <c r="E6">
        <v>2.4634426229508202E-2</v>
      </c>
    </row>
    <row r="7" spans="1:5" hidden="1" x14ac:dyDescent="0.3">
      <c r="A7" t="s">
        <v>7</v>
      </c>
      <c r="B7" t="s">
        <v>53</v>
      </c>
      <c r="C7">
        <v>53000</v>
      </c>
      <c r="D7">
        <v>8.0893504559270499E-3</v>
      </c>
      <c r="E7">
        <v>2.4634426229508202E-2</v>
      </c>
    </row>
    <row r="8" spans="1:5" hidden="1" x14ac:dyDescent="0.3">
      <c r="A8" t="s">
        <v>14</v>
      </c>
      <c r="B8" t="s">
        <v>53</v>
      </c>
      <c r="C8">
        <v>12472.222222222223</v>
      </c>
      <c r="D8">
        <v>8.1622330434782606E-3</v>
      </c>
      <c r="E8">
        <v>2.4634426229508202E-2</v>
      </c>
    </row>
    <row r="9" spans="1:5" hidden="1" x14ac:dyDescent="0.3">
      <c r="A9" t="s">
        <v>13</v>
      </c>
      <c r="B9" t="s">
        <v>53</v>
      </c>
      <c r="C9">
        <v>35431.344444444439</v>
      </c>
      <c r="D9">
        <v>9.0965923483511592E-3</v>
      </c>
      <c r="E9">
        <v>1.06278162366268E-2</v>
      </c>
    </row>
    <row r="10" spans="1:5" hidden="1" x14ac:dyDescent="0.3">
      <c r="A10" t="s">
        <v>18</v>
      </c>
      <c r="B10" t="s">
        <v>53</v>
      </c>
      <c r="C10">
        <v>88.833333333333314</v>
      </c>
      <c r="D10">
        <v>1.05431309904153E-2</v>
      </c>
      <c r="E10">
        <v>1.42217252396166E-2</v>
      </c>
    </row>
    <row r="11" spans="1:5" hidden="1" x14ac:dyDescent="0.3">
      <c r="A11" t="s">
        <v>11</v>
      </c>
      <c r="B11" t="s">
        <v>53</v>
      </c>
      <c r="C11">
        <v>34138.888888888891</v>
      </c>
      <c r="D11">
        <v>1.1912012144955899E-2</v>
      </c>
      <c r="E11">
        <v>1.3917873892652401E-2</v>
      </c>
    </row>
    <row r="12" spans="1:5" hidden="1" x14ac:dyDescent="0.3">
      <c r="A12" t="s">
        <v>12</v>
      </c>
      <c r="B12" t="s">
        <v>53</v>
      </c>
      <c r="C12">
        <v>44388.888888888891</v>
      </c>
      <c r="D12">
        <v>1.1912734513274299E-2</v>
      </c>
      <c r="E12">
        <v>1.3917873892652401E-2</v>
      </c>
    </row>
    <row r="13" spans="1:5" hidden="1" x14ac:dyDescent="0.3">
      <c r="A13" t="s">
        <v>25</v>
      </c>
      <c r="B13" t="s">
        <v>53</v>
      </c>
      <c r="C13">
        <v>2944.4444444444443</v>
      </c>
      <c r="D13">
        <v>1.4731599999999999E-2</v>
      </c>
      <c r="E13">
        <v>1.06278162366268E-2</v>
      </c>
    </row>
    <row r="14" spans="1:5" hidden="1" x14ac:dyDescent="0.3">
      <c r="A14" t="s">
        <v>9</v>
      </c>
      <c r="B14" t="s">
        <v>53</v>
      </c>
      <c r="C14">
        <v>120840.16666666667</v>
      </c>
      <c r="D14">
        <v>1.4876070726438199E-2</v>
      </c>
      <c r="E14">
        <v>1.3917873892652401E-2</v>
      </c>
    </row>
    <row r="15" spans="1:5" hidden="1" x14ac:dyDescent="0.3">
      <c r="A15" t="s">
        <v>6</v>
      </c>
      <c r="B15" t="s">
        <v>53</v>
      </c>
      <c r="C15">
        <v>109.96666666666667</v>
      </c>
      <c r="D15">
        <v>1.5522644405152801E-2</v>
      </c>
      <c r="E15">
        <v>1.06278162366268E-2</v>
      </c>
    </row>
    <row r="16" spans="1:5" x14ac:dyDescent="0.3">
      <c r="A16" t="s">
        <v>24</v>
      </c>
      <c r="B16" t="s">
        <v>53</v>
      </c>
      <c r="C16">
        <v>44055.555555555555</v>
      </c>
      <c r="D16">
        <v>1.66632446366782E-2</v>
      </c>
      <c r="E16">
        <v>6.6960000000000006E-2</v>
      </c>
    </row>
    <row r="17" spans="1:5" hidden="1" x14ac:dyDescent="0.3">
      <c r="A17" t="s">
        <v>15</v>
      </c>
      <c r="B17" t="s">
        <v>53</v>
      </c>
      <c r="C17">
        <v>43694.444444444445</v>
      </c>
      <c r="D17">
        <v>1.7576198730734401E-2</v>
      </c>
      <c r="E17">
        <v>6.6960000000000006E-2</v>
      </c>
    </row>
    <row r="18" spans="1:5" hidden="1" x14ac:dyDescent="0.3">
      <c r="A18" t="s">
        <v>8</v>
      </c>
      <c r="B18" t="s">
        <v>53</v>
      </c>
      <c r="C18">
        <v>388.88888888888886</v>
      </c>
      <c r="D18">
        <v>2.06686285714286E-2</v>
      </c>
      <c r="E18">
        <v>1.06278162366268E-2</v>
      </c>
    </row>
    <row r="19" spans="1:5" x14ac:dyDescent="0.3">
      <c r="A19" t="s">
        <v>10</v>
      </c>
      <c r="B19" t="s">
        <v>53</v>
      </c>
      <c r="C19">
        <v>93000</v>
      </c>
      <c r="D19">
        <v>2.4512988996763799E-2</v>
      </c>
      <c r="E19">
        <v>1.3917873892652401E-2</v>
      </c>
    </row>
    <row r="20" spans="1:5" hidden="1" x14ac:dyDescent="0.3">
      <c r="A20" t="s">
        <v>17</v>
      </c>
      <c r="B20" t="s">
        <v>53</v>
      </c>
      <c r="C20">
        <v>166.66666666666669</v>
      </c>
      <c r="D20">
        <v>2.9498400000000001E-2</v>
      </c>
      <c r="E20">
        <v>1.06278162366268E-2</v>
      </c>
    </row>
    <row r="21" spans="1:5" hidden="1" x14ac:dyDescent="0.3">
      <c r="A21" t="s">
        <v>21</v>
      </c>
      <c r="B21" t="s">
        <v>53</v>
      </c>
      <c r="C21">
        <v>1750</v>
      </c>
      <c r="D21">
        <v>3.9798225E-2</v>
      </c>
      <c r="E21">
        <v>5.4719999999999998E-2</v>
      </c>
    </row>
    <row r="22" spans="1:5" hidden="1" x14ac:dyDescent="0.3">
      <c r="A22" t="s">
        <v>21</v>
      </c>
      <c r="B22" t="s">
        <v>54</v>
      </c>
      <c r="C22" s="3">
        <v>888.88888888888891</v>
      </c>
      <c r="D22" s="4">
        <v>3.9798225E-2</v>
      </c>
      <c r="E22">
        <v>5.4719999999999998E-2</v>
      </c>
    </row>
    <row r="23" spans="1:5" hidden="1" x14ac:dyDescent="0.3">
      <c r="A23" t="s">
        <v>6</v>
      </c>
      <c r="B23" t="s">
        <v>54</v>
      </c>
      <c r="C23" s="3">
        <v>54.986111111111107</v>
      </c>
      <c r="D23" s="4">
        <v>1.5522644405152818E-2</v>
      </c>
      <c r="E23">
        <v>1.0627816236626808E-2</v>
      </c>
    </row>
    <row r="24" spans="1:5" hidden="1" x14ac:dyDescent="0.3">
      <c r="A24" t="s">
        <v>7</v>
      </c>
      <c r="B24" t="s">
        <v>54</v>
      </c>
      <c r="C24" s="3">
        <v>36555.555555555547</v>
      </c>
      <c r="D24" s="4">
        <v>8.0893504559270534E-3</v>
      </c>
      <c r="E24">
        <v>2.4634426229508198E-2</v>
      </c>
    </row>
    <row r="25" spans="1:5" hidden="1" x14ac:dyDescent="0.3">
      <c r="A25" t="s">
        <v>8</v>
      </c>
      <c r="B25" t="s">
        <v>54</v>
      </c>
      <c r="C25" s="3">
        <v>194.44444444444446</v>
      </c>
      <c r="D25" s="4">
        <v>2.0668628571428576E-2</v>
      </c>
      <c r="E25">
        <v>1.0627816236626808E-2</v>
      </c>
    </row>
    <row r="26" spans="1:5" hidden="1" x14ac:dyDescent="0.3">
      <c r="A26" t="s">
        <v>9</v>
      </c>
      <c r="B26" t="s">
        <v>54</v>
      </c>
      <c r="C26" s="3">
        <v>34138.48333333333</v>
      </c>
      <c r="D26" s="4">
        <v>1.487607072643825E-2</v>
      </c>
      <c r="E26">
        <v>1.3917873892652425E-2</v>
      </c>
    </row>
    <row r="27" spans="1:5" hidden="1" x14ac:dyDescent="0.3">
      <c r="A27" t="s">
        <v>10</v>
      </c>
      <c r="B27" t="s">
        <v>54</v>
      </c>
      <c r="C27" s="3">
        <v>77250</v>
      </c>
      <c r="D27" s="4">
        <v>2.4512988996763758E-2</v>
      </c>
      <c r="E27">
        <v>1.3917873892652425E-2</v>
      </c>
    </row>
    <row r="28" spans="1:5" hidden="1" x14ac:dyDescent="0.3">
      <c r="A28" t="s">
        <v>12</v>
      </c>
      <c r="B28" t="s">
        <v>54</v>
      </c>
      <c r="C28" s="3">
        <v>12555.555555555555</v>
      </c>
      <c r="D28" s="4">
        <v>1.1912734513274336E-2</v>
      </c>
      <c r="E28">
        <v>1.3917873892652425E-2</v>
      </c>
    </row>
    <row r="29" spans="1:5" hidden="1" x14ac:dyDescent="0.3">
      <c r="A29" t="s">
        <v>11</v>
      </c>
      <c r="B29" t="s">
        <v>54</v>
      </c>
      <c r="C29" s="3">
        <v>28361.111111111106</v>
      </c>
      <c r="D29" s="4">
        <v>1.1912012144955925E-2</v>
      </c>
      <c r="E29">
        <v>1.3917873892652425E-2</v>
      </c>
    </row>
    <row r="30" spans="1:5" hidden="1" x14ac:dyDescent="0.3">
      <c r="A30" t="s">
        <v>13</v>
      </c>
      <c r="B30" t="s">
        <v>54</v>
      </c>
      <c r="C30" s="3">
        <v>14172.544444444444</v>
      </c>
      <c r="D30" s="4">
        <v>9.0965923483511558E-3</v>
      </c>
      <c r="E30">
        <v>1.0627816236626808E-2</v>
      </c>
    </row>
    <row r="31" spans="1:5" hidden="1" x14ac:dyDescent="0.3">
      <c r="A31" t="s">
        <v>14</v>
      </c>
      <c r="B31" t="s">
        <v>54</v>
      </c>
      <c r="C31" s="3">
        <v>6388.8888888888887</v>
      </c>
      <c r="D31" s="4">
        <v>8.162233043478264E-3</v>
      </c>
      <c r="E31">
        <v>2.4634426229508198E-2</v>
      </c>
    </row>
    <row r="32" spans="1:5" hidden="1" x14ac:dyDescent="0.3">
      <c r="A32" t="s">
        <v>15</v>
      </c>
      <c r="B32" t="s">
        <v>54</v>
      </c>
      <c r="C32" s="3">
        <v>30638.888888888887</v>
      </c>
      <c r="D32" s="4">
        <v>1.7576198730734367E-2</v>
      </c>
      <c r="E32">
        <v>6.6960000000000006E-2</v>
      </c>
    </row>
    <row r="33" spans="1:5" hidden="1" x14ac:dyDescent="0.3">
      <c r="A33" t="s">
        <v>16</v>
      </c>
      <c r="B33" t="s">
        <v>54</v>
      </c>
      <c r="C33" s="3">
        <v>31515.361111111109</v>
      </c>
      <c r="D33" s="4">
        <v>1.995611595386418E-4</v>
      </c>
      <c r="E33">
        <v>4.2264000000000003E-2</v>
      </c>
    </row>
    <row r="34" spans="1:5" hidden="1" x14ac:dyDescent="0.3">
      <c r="A34" t="s">
        <v>18</v>
      </c>
      <c r="B34" t="s">
        <v>54</v>
      </c>
      <c r="C34" s="3">
        <v>44.416666666666657</v>
      </c>
      <c r="D34" s="4">
        <v>1.0543130990415334E-2</v>
      </c>
      <c r="E34">
        <v>1.4221725239616614E-2</v>
      </c>
    </row>
    <row r="35" spans="1:5" hidden="1" x14ac:dyDescent="0.3">
      <c r="A35" t="s">
        <v>17</v>
      </c>
      <c r="B35" t="s">
        <v>54</v>
      </c>
      <c r="C35" s="3">
        <v>55.555555555555557</v>
      </c>
      <c r="D35" s="4">
        <v>2.9498400000000004E-2</v>
      </c>
      <c r="E35">
        <v>1.0627816236626808E-2</v>
      </c>
    </row>
    <row r="36" spans="1:5" hidden="1" x14ac:dyDescent="0.3">
      <c r="A36" t="s">
        <v>19</v>
      </c>
      <c r="B36" t="s">
        <v>54</v>
      </c>
      <c r="C36" s="3">
        <v>4222.2222222222226</v>
      </c>
      <c r="D36" s="4">
        <v>5.4618157894736844E-3</v>
      </c>
      <c r="E36">
        <v>2.4634426229508198E-2</v>
      </c>
    </row>
    <row r="37" spans="1:5" hidden="1" x14ac:dyDescent="0.3">
      <c r="A37" t="s">
        <v>20</v>
      </c>
      <c r="B37" t="s">
        <v>54</v>
      </c>
      <c r="C37" s="3">
        <v>6055.5555555555557</v>
      </c>
      <c r="D37" s="4">
        <v>6.2654036697247723E-3</v>
      </c>
      <c r="E37">
        <v>1.0528428927680798E-2</v>
      </c>
    </row>
    <row r="38" spans="1:5" hidden="1" x14ac:dyDescent="0.3">
      <c r="A38" t="s">
        <v>21</v>
      </c>
      <c r="B38" t="s">
        <v>55</v>
      </c>
      <c r="C38">
        <v>1638.8888888888885</v>
      </c>
      <c r="D38">
        <v>3.6180671186440694E-2</v>
      </c>
      <c r="E38">
        <v>5.4719999999999998E-2</v>
      </c>
    </row>
    <row r="39" spans="1:5" hidden="1" x14ac:dyDescent="0.3">
      <c r="A39" t="s">
        <v>22</v>
      </c>
      <c r="B39" t="s">
        <v>54</v>
      </c>
      <c r="C39" s="3">
        <v>268.87777777777779</v>
      </c>
      <c r="D39" s="4">
        <v>7.5505846439935563E-3</v>
      </c>
      <c r="E39">
        <v>2.4634426229508198E-2</v>
      </c>
    </row>
    <row r="40" spans="1:5" hidden="1" x14ac:dyDescent="0.3">
      <c r="A40" t="s">
        <v>23</v>
      </c>
      <c r="B40" t="s">
        <v>54</v>
      </c>
      <c r="C40" s="3">
        <v>1722.2222222222224</v>
      </c>
      <c r="D40" s="4">
        <v>3.832258064516129E-4</v>
      </c>
      <c r="E40">
        <v>9.6350781781101291E-3</v>
      </c>
    </row>
    <row r="41" spans="1:5" hidden="1" x14ac:dyDescent="0.3">
      <c r="A41" t="s">
        <v>24</v>
      </c>
      <c r="B41" t="s">
        <v>54</v>
      </c>
      <c r="C41" s="3">
        <v>32111.111111111106</v>
      </c>
      <c r="D41" s="4">
        <v>1.6663244636678197E-2</v>
      </c>
      <c r="E41">
        <v>6.6960000000000006E-2</v>
      </c>
    </row>
    <row r="42" spans="1:5" hidden="1" x14ac:dyDescent="0.3">
      <c r="A42" t="s">
        <v>25</v>
      </c>
      <c r="B42" t="s">
        <v>54</v>
      </c>
      <c r="C42" s="3">
        <v>1500</v>
      </c>
      <c r="D42" s="4">
        <v>1.4731599999999999E-2</v>
      </c>
      <c r="E42">
        <v>1.0627816236626808E-2</v>
      </c>
    </row>
    <row r="43" spans="1:5" hidden="1" x14ac:dyDescent="0.3">
      <c r="A43" t="s">
        <v>26</v>
      </c>
      <c r="B43" t="s">
        <v>53</v>
      </c>
      <c r="C43">
        <v>10611.111111111111</v>
      </c>
      <c r="D43">
        <v>3.1796335570469798E-2</v>
      </c>
      <c r="E43">
        <v>5.4719999999999998E-2</v>
      </c>
    </row>
    <row r="44" spans="1:5" hidden="1" x14ac:dyDescent="0.3">
      <c r="A44" t="s">
        <v>6</v>
      </c>
      <c r="B44" t="s">
        <v>55</v>
      </c>
      <c r="C44">
        <v>13.741666666666665</v>
      </c>
      <c r="D44">
        <v>1.8317351607034564E-2</v>
      </c>
      <c r="E44">
        <v>1.0627816236626808E-2</v>
      </c>
    </row>
    <row r="45" spans="1:5" hidden="1" x14ac:dyDescent="0.3">
      <c r="A45" t="s">
        <v>7</v>
      </c>
      <c r="B45" t="s">
        <v>55</v>
      </c>
      <c r="C45">
        <v>22194.444444444445</v>
      </c>
      <c r="D45">
        <v>8.9389576971213996E-3</v>
      </c>
      <c r="E45">
        <v>2.4634426229508198E-2</v>
      </c>
    </row>
    <row r="46" spans="1:5" hidden="1" x14ac:dyDescent="0.3">
      <c r="A46" t="s">
        <v>9</v>
      </c>
      <c r="B46" t="s">
        <v>55</v>
      </c>
      <c r="C46">
        <v>8534.6194444444445</v>
      </c>
      <c r="D46">
        <v>1.6182870748842216E-2</v>
      </c>
      <c r="E46">
        <v>1.3917873892652425E-2</v>
      </c>
    </row>
    <row r="47" spans="1:5" hidden="1" x14ac:dyDescent="0.3">
      <c r="A47" t="s">
        <v>10</v>
      </c>
      <c r="B47" t="s">
        <v>55</v>
      </c>
      <c r="C47">
        <v>67194.444444444438</v>
      </c>
      <c r="D47">
        <v>2.6783644315832991E-2</v>
      </c>
      <c r="E47">
        <v>1.3917873892652425E-2</v>
      </c>
    </row>
    <row r="48" spans="1:5" hidden="1" x14ac:dyDescent="0.3">
      <c r="A48" t="s">
        <v>12</v>
      </c>
      <c r="B48" t="s">
        <v>55</v>
      </c>
      <c r="C48">
        <v>3166.6666666666665</v>
      </c>
      <c r="D48">
        <v>1.2958642105263159E-2</v>
      </c>
      <c r="E48">
        <v>1.3917873892652425E-2</v>
      </c>
    </row>
    <row r="49" spans="1:5" hidden="1" x14ac:dyDescent="0.3">
      <c r="A49" t="s">
        <v>11</v>
      </c>
      <c r="B49" t="s">
        <v>55</v>
      </c>
      <c r="C49">
        <v>24709.966666666667</v>
      </c>
      <c r="D49">
        <v>1.2957631834118216E-2</v>
      </c>
      <c r="E49">
        <v>1.3917873892652425E-2</v>
      </c>
    </row>
    <row r="50" spans="1:5" hidden="1" x14ac:dyDescent="0.3">
      <c r="A50" t="s">
        <v>13</v>
      </c>
      <c r="B50" t="s">
        <v>55</v>
      </c>
      <c r="C50">
        <v>3543.1388888888887</v>
      </c>
      <c r="D50">
        <v>9.0829958404741572E-3</v>
      </c>
      <c r="E50">
        <v>1.0627816236626808E-2</v>
      </c>
    </row>
    <row r="51" spans="1:5" hidden="1" x14ac:dyDescent="0.3">
      <c r="A51" t="s">
        <v>14</v>
      </c>
      <c r="B51" t="s">
        <v>55</v>
      </c>
      <c r="C51">
        <v>1916.6666666666663</v>
      </c>
      <c r="D51">
        <v>9.0667826086956501E-3</v>
      </c>
      <c r="E51">
        <v>2.4634426229508198E-2</v>
      </c>
    </row>
    <row r="52" spans="1:5" hidden="1" x14ac:dyDescent="0.3">
      <c r="A52" t="s">
        <v>15</v>
      </c>
      <c r="B52" t="s">
        <v>55</v>
      </c>
      <c r="C52">
        <v>21500</v>
      </c>
      <c r="D52">
        <v>1.8402520930232556E-2</v>
      </c>
      <c r="E52">
        <v>6.6960000000000006E-2</v>
      </c>
    </row>
    <row r="53" spans="1:5" hidden="1" x14ac:dyDescent="0.3">
      <c r="A53" t="s">
        <v>16</v>
      </c>
      <c r="B53" t="s">
        <v>55</v>
      </c>
      <c r="C53">
        <v>18386.155555555557</v>
      </c>
      <c r="D53">
        <v>2.2701137824859941E-4</v>
      </c>
      <c r="E53">
        <v>4.2264000000000003E-2</v>
      </c>
    </row>
    <row r="54" spans="1:5" hidden="1" x14ac:dyDescent="0.3">
      <c r="A54" t="s">
        <v>18</v>
      </c>
      <c r="B54" t="s">
        <v>55</v>
      </c>
      <c r="C54">
        <v>8.8888888888888893</v>
      </c>
      <c r="D54">
        <v>1.0543130990415334E-2</v>
      </c>
      <c r="E54">
        <v>1.4221725239616614E-2</v>
      </c>
    </row>
    <row r="55" spans="1:5" hidden="1" x14ac:dyDescent="0.3">
      <c r="A55" t="s">
        <v>19</v>
      </c>
      <c r="B55" t="s">
        <v>55</v>
      </c>
      <c r="C55">
        <v>1277.7777777777776</v>
      </c>
      <c r="D55">
        <v>5.9778782608695654E-3</v>
      </c>
      <c r="E55">
        <v>2.4634426229508198E-2</v>
      </c>
    </row>
    <row r="56" spans="1:5" hidden="1" x14ac:dyDescent="0.3">
      <c r="A56" t="s">
        <v>20</v>
      </c>
      <c r="B56" t="s">
        <v>55</v>
      </c>
      <c r="C56">
        <v>1472.2222222222222</v>
      </c>
      <c r="D56">
        <v>6.7180075471698119E-3</v>
      </c>
      <c r="E56">
        <v>1.0528428927680798E-2</v>
      </c>
    </row>
    <row r="57" spans="1:5" hidden="1" x14ac:dyDescent="0.3">
      <c r="A57" t="s">
        <v>26</v>
      </c>
      <c r="B57" t="s">
        <v>54</v>
      </c>
      <c r="C57" s="3">
        <v>8277.7777777777792</v>
      </c>
      <c r="D57" s="4">
        <v>3.1796335570469798E-2</v>
      </c>
      <c r="E57">
        <v>5.4719999999999998E-2</v>
      </c>
    </row>
    <row r="58" spans="1:5" hidden="1" x14ac:dyDescent="0.3">
      <c r="A58" t="s">
        <v>22</v>
      </c>
      <c r="B58" t="s">
        <v>55</v>
      </c>
      <c r="C58">
        <v>100.82777777777778</v>
      </c>
      <c r="D58">
        <v>8.3749847374511004E-3</v>
      </c>
      <c r="E58">
        <v>2.4634426229508198E-2</v>
      </c>
    </row>
    <row r="59" spans="1:5" hidden="1" x14ac:dyDescent="0.3">
      <c r="A59" t="s">
        <v>23</v>
      </c>
      <c r="B59" t="s">
        <v>55</v>
      </c>
      <c r="C59">
        <v>388.88888888888886</v>
      </c>
      <c r="D59">
        <v>4.6285714285714289E-4</v>
      </c>
      <c r="E59">
        <v>9.6350781781101291E-3</v>
      </c>
    </row>
    <row r="60" spans="1:5" hidden="1" x14ac:dyDescent="0.3">
      <c r="A60" t="s">
        <v>24</v>
      </c>
      <c r="B60" t="s">
        <v>55</v>
      </c>
      <c r="C60">
        <v>20666.666666666668</v>
      </c>
      <c r="D60">
        <v>1.7196145161290324E-2</v>
      </c>
      <c r="E60">
        <v>6.6960000000000006E-2</v>
      </c>
    </row>
    <row r="61" spans="1:5" hidden="1" x14ac:dyDescent="0.3">
      <c r="A61" t="s">
        <v>25</v>
      </c>
      <c r="B61" t="s">
        <v>55</v>
      </c>
      <c r="C61">
        <v>361.11111111111109</v>
      </c>
      <c r="D61">
        <v>1.494830769230769E-2</v>
      </c>
      <c r="E61">
        <v>1.0627816236626808E-2</v>
      </c>
    </row>
    <row r="62" spans="1:5" hidden="1" x14ac:dyDescent="0.3">
      <c r="A62" t="s">
        <v>26</v>
      </c>
      <c r="B62" t="s">
        <v>55</v>
      </c>
      <c r="C62">
        <v>17083.333333333332</v>
      </c>
      <c r="D62">
        <v>2.9870429268292684E-2</v>
      </c>
      <c r="E62">
        <v>5.4719999999999998E-2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BFD8-9FB1-447E-A193-9F972FEE5DE2}">
  <sheetPr>
    <tabColor theme="5" tint="-0.249977111117893"/>
  </sheetPr>
  <dimension ref="A1:EN102"/>
  <sheetViews>
    <sheetView topLeftCell="A14" zoomScale="85" zoomScaleNormal="85" workbookViewId="0">
      <selection activeCell="A22" sqref="A22:XFD26"/>
    </sheetView>
  </sheetViews>
  <sheetFormatPr baseColWidth="10" defaultRowHeight="14.4" x14ac:dyDescent="0.3"/>
  <cols>
    <col min="2" max="2" width="17.6640625" style="6" customWidth="1"/>
    <col min="3" max="3" width="16.33203125" style="6" customWidth="1"/>
    <col min="4" max="4" width="31.88671875" style="6" customWidth="1"/>
    <col min="5" max="5" width="16.33203125" style="6" customWidth="1"/>
    <col min="6" max="6" width="25.44140625" style="6" customWidth="1"/>
    <col min="7" max="7" width="16.33203125" style="10" customWidth="1"/>
    <col min="8" max="12" width="16.33203125" style="6" customWidth="1"/>
    <col min="13" max="15" width="16.33203125" style="6" hidden="1" customWidth="1"/>
    <col min="16" max="19" width="16.33203125" style="6" customWidth="1"/>
    <col min="20" max="20" width="23.77734375" style="6" customWidth="1"/>
    <col min="21" max="22" width="16.33203125" style="6" customWidth="1"/>
    <col min="23" max="27" width="16.33203125" style="10" customWidth="1"/>
    <col min="28" max="28" width="16.33203125" style="6" customWidth="1"/>
    <col min="29" max="33" width="21" style="6" customWidth="1"/>
    <col min="34" max="96" width="11.5546875" customWidth="1"/>
    <col min="97" max="128" width="11.5546875" hidden="1" customWidth="1"/>
    <col min="129" max="144" width="11.5546875" customWidth="1"/>
  </cols>
  <sheetData>
    <row r="1" spans="1:144" x14ac:dyDescent="0.3">
      <c r="A1" t="s">
        <v>56</v>
      </c>
      <c r="B1" s="6" t="s">
        <v>57</v>
      </c>
      <c r="C1" s="7" t="s">
        <v>58</v>
      </c>
      <c r="D1" s="7" t="s">
        <v>153</v>
      </c>
      <c r="E1" s="7" t="s">
        <v>61</v>
      </c>
      <c r="F1" s="7" t="s">
        <v>143</v>
      </c>
      <c r="G1" s="21" t="s">
        <v>144</v>
      </c>
      <c r="H1" s="7" t="s">
        <v>106</v>
      </c>
      <c r="I1" s="7" t="s">
        <v>108</v>
      </c>
      <c r="J1" s="7" t="s">
        <v>158</v>
      </c>
      <c r="K1" s="7" t="s">
        <v>154</v>
      </c>
      <c r="L1" s="7" t="s">
        <v>160</v>
      </c>
      <c r="M1" s="7" t="s">
        <v>150</v>
      </c>
      <c r="N1" s="7" t="s">
        <v>156</v>
      </c>
      <c r="O1" s="7" t="s">
        <v>157</v>
      </c>
      <c r="P1" s="7" t="s">
        <v>161</v>
      </c>
      <c r="Q1" s="8" t="s">
        <v>59</v>
      </c>
      <c r="R1" s="8" t="s">
        <v>155</v>
      </c>
      <c r="S1" s="8" t="s">
        <v>62</v>
      </c>
      <c r="T1" s="8" t="s">
        <v>145</v>
      </c>
      <c r="U1" s="8" t="s">
        <v>146</v>
      </c>
      <c r="V1" s="8" t="s">
        <v>107</v>
      </c>
      <c r="W1" s="20" t="s">
        <v>109</v>
      </c>
      <c r="X1" s="20" t="s">
        <v>152</v>
      </c>
      <c r="Y1" s="20" t="s">
        <v>159</v>
      </c>
      <c r="Z1" s="20" t="s">
        <v>162</v>
      </c>
      <c r="AA1" s="20" t="s">
        <v>163</v>
      </c>
      <c r="AB1" s="9" t="s">
        <v>60</v>
      </c>
      <c r="AC1" s="9" t="s">
        <v>63</v>
      </c>
      <c r="AD1" s="9" t="s">
        <v>147</v>
      </c>
      <c r="AE1" s="9" t="s">
        <v>149</v>
      </c>
      <c r="AF1" s="9" t="s">
        <v>148</v>
      </c>
      <c r="AG1" s="9" t="s">
        <v>110</v>
      </c>
      <c r="AH1" s="12" t="s">
        <v>6</v>
      </c>
      <c r="AI1" s="12" t="s">
        <v>7</v>
      </c>
      <c r="AJ1" s="12" t="s">
        <v>8</v>
      </c>
      <c r="AK1" s="12" t="s">
        <v>9</v>
      </c>
      <c r="AL1" s="12" t="s">
        <v>10</v>
      </c>
      <c r="AM1" s="12" t="s">
        <v>11</v>
      </c>
      <c r="AN1" s="12" t="s">
        <v>12</v>
      </c>
      <c r="AO1" s="12" t="s">
        <v>13</v>
      </c>
      <c r="AP1" s="12" t="s">
        <v>14</v>
      </c>
      <c r="AQ1" s="12" t="s">
        <v>15</v>
      </c>
      <c r="AR1" s="12" t="s">
        <v>16</v>
      </c>
      <c r="AS1" s="12" t="s">
        <v>17</v>
      </c>
      <c r="AT1" s="12" t="s">
        <v>18</v>
      </c>
      <c r="AU1" s="12" t="s">
        <v>19</v>
      </c>
      <c r="AV1" s="12" t="s">
        <v>20</v>
      </c>
      <c r="AW1" s="12" t="s">
        <v>21</v>
      </c>
      <c r="AX1" s="12" t="s">
        <v>22</v>
      </c>
      <c r="AY1" s="12" t="s">
        <v>23</v>
      </c>
      <c r="AZ1" s="12" t="s">
        <v>24</v>
      </c>
      <c r="BA1" s="12" t="s">
        <v>25</v>
      </c>
      <c r="BB1" s="12" t="s">
        <v>26</v>
      </c>
      <c r="BC1" s="13" t="s">
        <v>64</v>
      </c>
      <c r="BD1" s="13" t="s">
        <v>65</v>
      </c>
      <c r="BE1" s="13" t="s">
        <v>66</v>
      </c>
      <c r="BF1" s="13" t="s">
        <v>67</v>
      </c>
      <c r="BG1" s="13" t="s">
        <v>68</v>
      </c>
      <c r="BH1" s="13" t="s">
        <v>69</v>
      </c>
      <c r="BI1" s="13" t="s">
        <v>70</v>
      </c>
      <c r="BJ1" s="13" t="s">
        <v>71</v>
      </c>
      <c r="BK1" s="13" t="s">
        <v>72</v>
      </c>
      <c r="BL1" s="13" t="s">
        <v>73</v>
      </c>
      <c r="BM1" s="13" t="s">
        <v>74</v>
      </c>
      <c r="BN1" s="13" t="s">
        <v>75</v>
      </c>
      <c r="BO1" s="13" t="s">
        <v>76</v>
      </c>
      <c r="BP1" s="13" t="s">
        <v>77</v>
      </c>
      <c r="BQ1" s="13" t="s">
        <v>78</v>
      </c>
      <c r="BR1" s="13" t="s">
        <v>79</v>
      </c>
      <c r="BS1" s="13" t="s">
        <v>80</v>
      </c>
      <c r="BT1" s="13" t="s">
        <v>81</v>
      </c>
      <c r="BU1" s="13" t="s">
        <v>82</v>
      </c>
      <c r="BV1" s="13" t="s">
        <v>83</v>
      </c>
      <c r="BW1" s="13" t="s">
        <v>84</v>
      </c>
      <c r="BX1" s="14" t="s">
        <v>85</v>
      </c>
      <c r="BY1" s="14" t="s">
        <v>86</v>
      </c>
      <c r="BZ1" s="14" t="s">
        <v>87</v>
      </c>
      <c r="CA1" s="14" t="s">
        <v>88</v>
      </c>
      <c r="CB1" s="14" t="s">
        <v>89</v>
      </c>
      <c r="CC1" s="14" t="s">
        <v>90</v>
      </c>
      <c r="CD1" s="14" t="s">
        <v>91</v>
      </c>
      <c r="CE1" s="14" t="s">
        <v>92</v>
      </c>
      <c r="CF1" s="14" t="s">
        <v>93</v>
      </c>
      <c r="CG1" s="14" t="s">
        <v>94</v>
      </c>
      <c r="CH1" s="14" t="s">
        <v>95</v>
      </c>
      <c r="CI1" s="14" t="s">
        <v>96</v>
      </c>
      <c r="CJ1" s="14" t="s">
        <v>97</v>
      </c>
      <c r="CK1" s="14" t="s">
        <v>98</v>
      </c>
      <c r="CL1" s="14" t="s">
        <v>99</v>
      </c>
      <c r="CM1" s="14" t="s">
        <v>100</v>
      </c>
      <c r="CN1" s="14" t="s">
        <v>101</v>
      </c>
      <c r="CO1" s="14" t="s">
        <v>102</v>
      </c>
      <c r="CP1" s="14" t="s">
        <v>103</v>
      </c>
      <c r="CQ1" s="14" t="s">
        <v>104</v>
      </c>
      <c r="CR1" s="14" t="s">
        <v>105</v>
      </c>
      <c r="CS1" s="12" t="s">
        <v>28</v>
      </c>
      <c r="CT1" s="12" t="s">
        <v>29</v>
      </c>
      <c r="CU1" s="12" t="s">
        <v>30</v>
      </c>
      <c r="CV1" s="12" t="s">
        <v>31</v>
      </c>
      <c r="CW1" s="12" t="s">
        <v>32</v>
      </c>
      <c r="CX1" s="12" t="s">
        <v>33</v>
      </c>
      <c r="CY1" s="12" t="s">
        <v>34</v>
      </c>
      <c r="CZ1" s="12" t="s">
        <v>35</v>
      </c>
      <c r="DA1" s="12" t="s">
        <v>36</v>
      </c>
      <c r="DB1" s="12" t="s">
        <v>37</v>
      </c>
      <c r="DC1" s="12" t="s">
        <v>38</v>
      </c>
      <c r="DD1" s="12" t="s">
        <v>39</v>
      </c>
      <c r="DE1" s="12" t="s">
        <v>40</v>
      </c>
      <c r="DF1" s="12" t="s">
        <v>41</v>
      </c>
      <c r="DG1" s="12" t="s">
        <v>42</v>
      </c>
      <c r="DH1" s="12" t="s">
        <v>43</v>
      </c>
      <c r="DI1" s="13" t="s">
        <v>111</v>
      </c>
      <c r="DJ1" s="13" t="s">
        <v>112</v>
      </c>
      <c r="DK1" s="13" t="s">
        <v>113</v>
      </c>
      <c r="DL1" s="13" t="s">
        <v>114</v>
      </c>
      <c r="DM1" s="13" t="s">
        <v>115</v>
      </c>
      <c r="DN1" s="13" t="s">
        <v>116</v>
      </c>
      <c r="DO1" s="13" t="s">
        <v>117</v>
      </c>
      <c r="DP1" s="13" t="s">
        <v>118</v>
      </c>
      <c r="DQ1" s="13" t="s">
        <v>119</v>
      </c>
      <c r="DR1" s="13" t="s">
        <v>120</v>
      </c>
      <c r="DS1" s="13" t="s">
        <v>121</v>
      </c>
      <c r="DT1" s="13" t="s">
        <v>122</v>
      </c>
      <c r="DU1" s="13" t="s">
        <v>123</v>
      </c>
      <c r="DV1" s="13" t="s">
        <v>124</v>
      </c>
      <c r="DW1" s="13" t="s">
        <v>125</v>
      </c>
      <c r="DX1" s="13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136</v>
      </c>
      <c r="EI1" s="14" t="s">
        <v>137</v>
      </c>
      <c r="EJ1" s="14" t="s">
        <v>138</v>
      </c>
      <c r="EK1" s="14" t="s">
        <v>139</v>
      </c>
      <c r="EL1" s="14" t="s">
        <v>140</v>
      </c>
      <c r="EM1" s="14" t="s">
        <v>141</v>
      </c>
      <c r="EN1" s="14" t="s">
        <v>142</v>
      </c>
    </row>
    <row r="2" spans="1:144" x14ac:dyDescent="0.3">
      <c r="A2">
        <v>0</v>
      </c>
      <c r="B2" s="6">
        <v>100000</v>
      </c>
      <c r="C2" s="6">
        <v>274941.75385600002</v>
      </c>
      <c r="D2" s="6">
        <v>269180.09345400002</v>
      </c>
      <c r="F2" s="6" t="s">
        <v>28</v>
      </c>
      <c r="H2" s="6" t="s">
        <v>12</v>
      </c>
      <c r="I2" s="11" cm="1">
        <f t="array" ref="I2">INDEX(Tableau3[Production cost (M€/GWh)],
       MATCH(1,
             (Tableau3[Resource]=Tableau6[[#This Row],[Marginal supply commodity HIGH]])*(Tableau3[Scenario]="HIGH_2050"),
             0))*1000</f>
        <v>11.9127345132743</v>
      </c>
      <c r="J2" s="11" cm="1">
        <f t="array" ref="J2">INDEX(Tableau3[GHG impact (tCO2eq/MWh)],
       MATCH(1,
             (Tableau3[Resource]=Tableau6[[#This Row],[Marginal supply commodity HIGH]])*(Tableau3[Scenario]="HIGH_2050"),
             0))*1000</f>
        <v>13.9178738926524</v>
      </c>
      <c r="K2" s="11">
        <f>(Tableau6[[#This Row],[Total cost (M€/y) HIGH]]-Tableau6[[#This Row],[Total Cost (M€) HIGH +1Mt CO2]])</f>
        <v>5761.6604020000086</v>
      </c>
      <c r="L2" s="22">
        <f>Tableau6[[#This Row],[Marginal Carbon cost (€/tCO2) HIGH]]*Tableau6[[#This Row],[Marginal emission factor (kgCO2/MWh) HIGH]]/1000</f>
        <v>80.190062887325055</v>
      </c>
      <c r="M2" s="22" t="e">
        <f>(CS2-$CS$2)*AVERAGE($E$3,E2)/(B2-$B$2)</f>
        <v>#DIV/0!</v>
      </c>
      <c r="N2" s="22"/>
      <c r="O2" s="22"/>
      <c r="P2" s="22">
        <f>Tableau6[[#This Row],[Marginal supply cost (€/MWh) HIGH]]+Tableau6[[#This Row],[Carbon cost of marginal biomass (€/MWh) HIGH]]</f>
        <v>92.102797400599357</v>
      </c>
      <c r="AH2" s="15">
        <v>109.975328</v>
      </c>
      <c r="AI2" s="15">
        <v>3.5416999999999997E-2</v>
      </c>
      <c r="AJ2" s="15">
        <v>388.89775900000001</v>
      </c>
      <c r="AK2" s="15">
        <v>2.3022420000000001</v>
      </c>
      <c r="AL2" s="15">
        <v>0.58133000000000001</v>
      </c>
      <c r="AM2" s="17">
        <v>9106.333149</v>
      </c>
      <c r="AN2" s="17">
        <v>32237.420760000001</v>
      </c>
      <c r="AO2" s="16">
        <v>35431.344641000003</v>
      </c>
      <c r="AP2" s="15">
        <v>4.8941999999999999E-2</v>
      </c>
      <c r="AQ2" s="15">
        <v>9.7160000000000007E-3</v>
      </c>
      <c r="AR2" s="15">
        <v>1.8623000000000001E-2</v>
      </c>
      <c r="AS2" s="15">
        <v>166.67525499999999</v>
      </c>
      <c r="AT2" s="15">
        <v>0.84464700000000004</v>
      </c>
      <c r="AU2" s="15">
        <v>4.9872E-2</v>
      </c>
      <c r="AV2" s="16">
        <v>15166.675201</v>
      </c>
      <c r="AW2" s="15">
        <v>1.2241E-2</v>
      </c>
      <c r="AX2" s="15">
        <v>4.7758000000000002E-2</v>
      </c>
      <c r="AY2" s="16">
        <v>4444.4537069999997</v>
      </c>
      <c r="AZ2" s="15">
        <v>9.7249999999999993E-3</v>
      </c>
      <c r="BA2" s="15">
        <v>2944.4534870000002</v>
      </c>
      <c r="BB2" s="15">
        <v>1.2393E-2</v>
      </c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7">
        <v>100000.169972</v>
      </c>
      <c r="CT2" s="11">
        <v>2.287E-3</v>
      </c>
      <c r="CU2" s="11">
        <v>2.6700000000000001E-3</v>
      </c>
      <c r="CV2" s="11">
        <v>1.5319999999999999E-3</v>
      </c>
      <c r="CW2" s="11">
        <v>1.6069999999999999E-3</v>
      </c>
      <c r="CX2" s="11">
        <v>2.5999999999999999E-3</v>
      </c>
      <c r="CY2" s="11">
        <v>2.6329999999999999E-3</v>
      </c>
      <c r="CZ2" s="11">
        <v>2.6819999999999999E-3</v>
      </c>
      <c r="DA2" s="11">
        <v>1.7329999999999999E-3</v>
      </c>
      <c r="DB2" s="11">
        <v>2.0010000000000002E-3</v>
      </c>
      <c r="DC2" s="11">
        <v>1.8810000000000001E-3</v>
      </c>
      <c r="DD2" s="11">
        <v>2.0240000000000002E-3</v>
      </c>
      <c r="DE2" s="11">
        <v>2.6359999999999999E-3</v>
      </c>
      <c r="DF2" s="11">
        <v>2.1150000000000001E-3</v>
      </c>
      <c r="DG2" s="11">
        <v>1.9959999999999999E-3</v>
      </c>
      <c r="DH2" s="11">
        <v>1.8649999999999999E-3</v>
      </c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</row>
    <row r="3" spans="1:144" x14ac:dyDescent="0.3">
      <c r="A3">
        <v>1</v>
      </c>
      <c r="B3" s="6">
        <v>105000</v>
      </c>
      <c r="C3" s="6">
        <v>267601.76101299998</v>
      </c>
      <c r="D3" s="6">
        <v>265965.11891700001</v>
      </c>
      <c r="E3" s="6">
        <f>(C2-Tableau6[[#This Row],[Total cost (M€/y) HIGH]])/(Tableau6[[#This Row],[Solid biomass availability (GWh/y)]]-B2)*1000</f>
        <v>1467.9985686000089</v>
      </c>
      <c r="F3" s="6" t="s">
        <v>28</v>
      </c>
      <c r="G3" s="10">
        <f t="shared" ref="G3:G9" si="0">AVERAGE($E$3:$E$10)</f>
        <v>505.71277717500055</v>
      </c>
      <c r="H3" s="6" t="s">
        <v>11</v>
      </c>
      <c r="I3" s="11" cm="1">
        <f t="array" ref="I3">INDEX(Tableau3[Production cost (M€/GWh)],
       MATCH(1,
             (Tableau3[Resource]=Tableau6[[#This Row],[Marginal supply commodity HIGH]])*(Tableau3[Scenario]="HIGH_2050"),
             0))*1000</f>
        <v>11.912012144955899</v>
      </c>
      <c r="J3" s="11" cm="1">
        <f t="array" ref="J3">INDEX(Tableau3[GHG impact (tCO2eq/MWh)],
       MATCH(1,
             (Tableau3[Resource]=Tableau6[[#This Row],[Marginal supply commodity HIGH]])*(Tableau3[Scenario]="HIGH_2050"),
             0))*1000</f>
        <v>13.9178738926524</v>
      </c>
      <c r="K3" s="11">
        <f>(Tableau6[[#This Row],[Total cost (M€/y) HIGH]]-Tableau6[[#This Row],[Total Cost (M€) HIGH +1Mt CO2]])</f>
        <v>1636.6420959999668</v>
      </c>
      <c r="L3" s="22">
        <f>Tableau6[[#This Row],[Marginal Carbon cost (€/tCO2) HIGH]]*Tableau6[[#This Row],[Marginal emission factor (kgCO2/MWh) HIGH]]/1000</f>
        <v>22.778578299533841</v>
      </c>
      <c r="M3" s="22">
        <f>(CS3-CS2)*AVERAGE($E$3,E3)/(B3-B2)</f>
        <v>1467.9269628594279</v>
      </c>
      <c r="N3" s="22">
        <f>(CS3-CS2)*Tableau6[[#This Row],[Marginal value of solid biomass (€/MWh) HIGH]]/(B3-B2)</f>
        <v>1467.9269628594279</v>
      </c>
      <c r="O3" s="22">
        <f>(CS3-CS2)*Tableau6[[#This Row],[Marginal supply cost (€/MWh) HIGH]]/(B3-B2)</f>
        <v>11.911431103209884</v>
      </c>
      <c r="P3" s="22">
        <f>Tableau6[[#This Row],[Marginal supply cost (€/MWh) HIGH]]+Tableau6[[#This Row],[Carbon cost of marginal biomass (€/MWh) HIGH]]</f>
        <v>34.690590444489743</v>
      </c>
      <c r="AH3" s="15">
        <v>0.30752000000000002</v>
      </c>
      <c r="AI3" s="15">
        <v>0.16922000000000001</v>
      </c>
      <c r="AJ3" s="15">
        <v>0.71184099999999995</v>
      </c>
      <c r="AK3" s="15">
        <v>1.1164320000000001</v>
      </c>
      <c r="AL3" s="15">
        <v>0.25487100000000001</v>
      </c>
      <c r="AM3" s="17">
        <v>9066.2017030000006</v>
      </c>
      <c r="AN3" s="17">
        <v>37940.978604999997</v>
      </c>
      <c r="AO3" s="16">
        <v>35430.362922</v>
      </c>
      <c r="AP3" s="15">
        <v>0.17391499999999999</v>
      </c>
      <c r="AQ3" s="15">
        <v>2.7507E-2</v>
      </c>
      <c r="AR3" s="15">
        <v>6.9022E-2</v>
      </c>
      <c r="AS3" s="15">
        <v>0.22635</v>
      </c>
      <c r="AT3" s="15">
        <v>3.4528759999999998</v>
      </c>
      <c r="AU3" s="15">
        <v>0.204258</v>
      </c>
      <c r="AV3" s="16">
        <v>15166.667416</v>
      </c>
      <c r="AW3" s="15">
        <v>2.7061999999999999E-2</v>
      </c>
      <c r="AX3" s="15">
        <v>0.17219599999999999</v>
      </c>
      <c r="AY3" s="16">
        <v>4444.4456280000004</v>
      </c>
      <c r="AZ3" s="15">
        <v>2.7730000000000001E-2</v>
      </c>
      <c r="BA3" s="15">
        <v>2944.4096129999998</v>
      </c>
      <c r="BB3" s="15">
        <v>2.9315999999999998E-2</v>
      </c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7">
        <v>104999.926083</v>
      </c>
      <c r="CT3" s="11">
        <v>7.1590000000000004E-3</v>
      </c>
      <c r="CU3" s="11">
        <v>5.646E-3</v>
      </c>
      <c r="CV3" s="11">
        <v>4.7569999999999999E-3</v>
      </c>
      <c r="CW3" s="11">
        <v>4.9119999999999997E-3</v>
      </c>
      <c r="CX3" s="11">
        <v>7.8729999999999998E-3</v>
      </c>
      <c r="CY3" s="11">
        <v>7.2370000000000004E-3</v>
      </c>
      <c r="CZ3" s="11">
        <v>9.5600000000000008E-3</v>
      </c>
      <c r="DA3" s="11">
        <v>5.1279999999999997E-3</v>
      </c>
      <c r="DB3" s="11">
        <v>6.2189999999999997E-3</v>
      </c>
      <c r="DC3" s="11">
        <v>5.7679999999999997E-3</v>
      </c>
      <c r="DD3" s="11">
        <v>6.1840000000000003E-3</v>
      </c>
      <c r="DE3" s="11">
        <v>2.2523999999999999E-2</v>
      </c>
      <c r="DF3" s="11">
        <v>6.2269999999999999E-3</v>
      </c>
      <c r="DG3" s="11">
        <v>5.6550000000000003E-3</v>
      </c>
      <c r="DH3" s="11">
        <v>5.0949999999999997E-3</v>
      </c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</row>
    <row r="4" spans="1:144" x14ac:dyDescent="0.3">
      <c r="A4">
        <v>2</v>
      </c>
      <c r="B4" s="6">
        <v>110000</v>
      </c>
      <c r="C4" s="6">
        <v>265008.29394399998</v>
      </c>
      <c r="D4" s="6">
        <v>263944.01874099998</v>
      </c>
      <c r="E4" s="6">
        <f>(C3-Tableau6[[#This Row],[Total cost (M€/y) HIGH]])/(Tableau6[[#This Row],[Solid biomass availability (GWh/y)]]-B3)*1000</f>
        <v>518.69341380000117</v>
      </c>
      <c r="F4" s="6" t="s">
        <v>28</v>
      </c>
      <c r="G4" s="10">
        <f t="shared" si="0"/>
        <v>505.71277717500055</v>
      </c>
      <c r="H4" s="6" t="s">
        <v>11</v>
      </c>
      <c r="I4" s="11" cm="1">
        <f t="array" ref="I4">INDEX(Tableau3[Production cost (M€/GWh)],
       MATCH(1,
             (Tableau3[Resource]=Tableau6[[#This Row],[Marginal supply commodity HIGH]])*(Tableau3[Scenario]="HIGH_2050"),
             0))*1000</f>
        <v>11.912012144955899</v>
      </c>
      <c r="J4" s="11" cm="1">
        <f t="array" ref="J4">INDEX(Tableau3[GHG impact (tCO2eq/MWh)],
       MATCH(1,
             (Tableau3[Resource]=Tableau6[[#This Row],[Marginal supply commodity HIGH]])*(Tableau3[Scenario]="HIGH_2050"),
             0))*1000</f>
        <v>13.9178738926524</v>
      </c>
      <c r="K4" s="11">
        <f>(Tableau6[[#This Row],[Total cost (M€/y) HIGH]]-Tableau6[[#This Row],[Total Cost (M€) HIGH +1Mt CO2]])</f>
        <v>1064.2752029999974</v>
      </c>
      <c r="L4" s="22">
        <f>Tableau6[[#This Row],[Marginal Carbon cost (€/tCO2) HIGH]]*Tableau6[[#This Row],[Marginal emission factor (kgCO2/MWh) HIGH]]/1000</f>
        <v>14.812448062430999</v>
      </c>
      <c r="M4" s="22">
        <f>(CS4-CS3)*AVERAGE($E$3,E4)/(B4-B3)</f>
        <v>993.3456820707321</v>
      </c>
      <c r="N4" s="22">
        <f>(CS4-CS3)*Tableau6[[#This Row],[Marginal value of solid biomass (€/MWh) HIGH]]/(B4-B3)</f>
        <v>518.69325238261047</v>
      </c>
      <c r="O4" s="22">
        <f>(CS4-CS3)*Tableau6[[#This Row],[Marginal supply cost (€/MWh) HIGH]]/(B4-B3)</f>
        <v>11.912008437937711</v>
      </c>
      <c r="P4" s="22">
        <f>Tableau6[[#This Row],[Marginal supply cost (€/MWh) HIGH]]+Tableau6[[#This Row],[Carbon cost of marginal biomass (€/MWh) HIGH]]</f>
        <v>26.724460207386898</v>
      </c>
      <c r="AH4" s="15">
        <v>0.168882</v>
      </c>
      <c r="AI4" s="15">
        <v>0.18878500000000001</v>
      </c>
      <c r="AJ4" s="15">
        <v>0.26363900000000001</v>
      </c>
      <c r="AK4" s="15">
        <v>0.64297599999999999</v>
      </c>
      <c r="AL4" s="15">
        <v>0.15323300000000001</v>
      </c>
      <c r="AM4" s="17">
        <v>17975.742577000001</v>
      </c>
      <c r="AN4" s="17">
        <v>36976.310024999999</v>
      </c>
      <c r="AO4" s="16">
        <v>35431.345133000003</v>
      </c>
      <c r="AP4" s="15">
        <v>0.18439</v>
      </c>
      <c r="AQ4" s="15">
        <v>2.4830999999999999E-2</v>
      </c>
      <c r="AR4" s="15">
        <v>7.4695999999999999E-2</v>
      </c>
      <c r="AS4" s="15">
        <v>0.113889</v>
      </c>
      <c r="AT4" s="15">
        <v>2.4015110000000002</v>
      </c>
      <c r="AU4" s="15">
        <v>0.24914700000000001</v>
      </c>
      <c r="AV4" s="16">
        <v>15166.667665000001</v>
      </c>
      <c r="AW4" s="15">
        <v>2.1423999999999999E-2</v>
      </c>
      <c r="AX4" s="15">
        <v>0.18678500000000001</v>
      </c>
      <c r="AY4" s="16">
        <v>4444.4457309999998</v>
      </c>
      <c r="AZ4" s="15">
        <v>2.5131000000000001E-2</v>
      </c>
      <c r="BA4" s="15">
        <v>0.80130000000000001</v>
      </c>
      <c r="BB4" s="15">
        <v>2.3168000000000001E-2</v>
      </c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7">
        <v>109999.924527</v>
      </c>
      <c r="CT4" s="11">
        <v>7.8519999999999996E-3</v>
      </c>
      <c r="CU4" s="11">
        <v>4.9350000000000002E-3</v>
      </c>
      <c r="CV4" s="11">
        <v>4.6889999999999996E-3</v>
      </c>
      <c r="CW4" s="11">
        <v>4.8329999999999996E-3</v>
      </c>
      <c r="CX4" s="11">
        <v>8.6130000000000009E-3</v>
      </c>
      <c r="CY4" s="11">
        <v>5.9639999999999997E-3</v>
      </c>
      <c r="CZ4" s="11">
        <v>1.2385999999999999E-2</v>
      </c>
      <c r="DA4" s="11">
        <v>5.0010000000000002E-3</v>
      </c>
      <c r="DB4" s="11">
        <v>6.5409999999999999E-3</v>
      </c>
      <c r="DC4" s="11">
        <v>5.8910000000000004E-3</v>
      </c>
      <c r="DD4" s="11">
        <v>6.2420000000000002E-3</v>
      </c>
      <c r="DE4" s="11">
        <v>2.1079000000000001E-2</v>
      </c>
      <c r="DF4" s="11">
        <v>6.3540000000000003E-3</v>
      </c>
      <c r="DG4" s="11">
        <v>5.2290000000000001E-3</v>
      </c>
      <c r="DH4" s="11">
        <v>4.7949999999999998E-3</v>
      </c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</row>
    <row r="5" spans="1:144" x14ac:dyDescent="0.3">
      <c r="A5">
        <v>3</v>
      </c>
      <c r="B5" s="6">
        <v>115000</v>
      </c>
      <c r="C5" s="6">
        <v>263125.29813000013</v>
      </c>
      <c r="D5" s="6">
        <v>262060.33278299999</v>
      </c>
      <c r="E5" s="6">
        <f>(C4-Tableau6[[#This Row],[Total cost (M€/y) HIGH]])/(Tableau6[[#This Row],[Solid biomass availability (GWh/y)]]-B4)*1000</f>
        <v>376.5991627999698</v>
      </c>
      <c r="F5" s="6" t="s">
        <v>28</v>
      </c>
      <c r="G5" s="10">
        <f t="shared" si="0"/>
        <v>505.71277717500055</v>
      </c>
      <c r="H5" s="6" t="s">
        <v>11</v>
      </c>
      <c r="I5" s="11" cm="1">
        <f t="array" ref="I5">INDEX(Tableau3[Production cost (M€/GWh)],
       MATCH(1,
             (Tableau3[Resource]=Tableau6[[#This Row],[Marginal supply commodity HIGH]])*(Tableau3[Scenario]="HIGH_2050"),
             0))*1000</f>
        <v>11.912012144955899</v>
      </c>
      <c r="J5" s="11" cm="1">
        <f t="array" ref="J5">INDEX(Tableau3[GHG impact (tCO2eq/MWh)],
       MATCH(1,
             (Tableau3[Resource]=Tableau6[[#This Row],[Marginal supply commodity HIGH]])*(Tableau3[Scenario]="HIGH_2050"),
             0))*1000</f>
        <v>13.9178738926524</v>
      </c>
      <c r="K5" s="11">
        <f>(Tableau6[[#This Row],[Total cost (M€/y) HIGH]]-Tableau6[[#This Row],[Total Cost (M€) HIGH +1Mt CO2]])</f>
        <v>1064.9653470001358</v>
      </c>
      <c r="L5" s="22">
        <f>Tableau6[[#This Row],[Marginal Carbon cost (€/tCO2) HIGH]]*Tableau6[[#This Row],[Marginal emission factor (kgCO2/MWh) HIGH]]/1000</f>
        <v>14.822053399592694</v>
      </c>
      <c r="M5" s="22">
        <f>(CS5-CS4)*AVERAGE($E$3,E5)/(B5-B4)</f>
        <v>922.25052192926671</v>
      </c>
      <c r="N5" s="22">
        <f>(CS5-CS4)*Tableau6[[#This Row],[Marginal value of solid biomass (€/MWh) HIGH]]/(B5-B4)</f>
        <v>376.57942275229345</v>
      </c>
      <c r="O5" s="22">
        <f>(CS5-CS4)*Tableau6[[#This Row],[Marginal supply cost (€/MWh) HIGH]]/(B5-B4)</f>
        <v>11.911387757780115</v>
      </c>
      <c r="P5" s="22">
        <f>Tableau6[[#This Row],[Marginal supply cost (€/MWh) HIGH]]+Tableau6[[#This Row],[Carbon cost of marginal biomass (€/MWh) HIGH]]</f>
        <v>26.734065544548592</v>
      </c>
      <c r="AH5" s="15">
        <v>0.63800500000000004</v>
      </c>
      <c r="AI5" s="15">
        <v>0.79974999999999996</v>
      </c>
      <c r="AJ5" s="15">
        <v>1.0161279999999999</v>
      </c>
      <c r="AK5" s="15">
        <v>2.3876080000000002</v>
      </c>
      <c r="AL5" s="15">
        <v>0.57175399999999998</v>
      </c>
      <c r="AM5" s="17">
        <v>18531.755155999999</v>
      </c>
      <c r="AN5" s="17">
        <v>41404.683733999998</v>
      </c>
      <c r="AO5" s="16">
        <v>35431.283616000001</v>
      </c>
      <c r="AP5" s="15">
        <v>0.75102000000000002</v>
      </c>
      <c r="AQ5" s="15">
        <v>9.6820000000000003E-2</v>
      </c>
      <c r="AR5" s="15">
        <v>0.30859700000000001</v>
      </c>
      <c r="AS5" s="15">
        <v>0.43912400000000001</v>
      </c>
      <c r="AT5" s="15">
        <v>9.1692809999999998</v>
      </c>
      <c r="AU5" s="15">
        <v>1.044759</v>
      </c>
      <c r="AV5" s="16">
        <v>15166.668406000001</v>
      </c>
      <c r="AW5" s="15">
        <v>8.3228999999999997E-2</v>
      </c>
      <c r="AX5" s="15">
        <v>0.71878699999999995</v>
      </c>
      <c r="AY5" s="16">
        <v>4444.4475220000004</v>
      </c>
      <c r="AZ5" s="15">
        <v>9.8050999999999999E-2</v>
      </c>
      <c r="BA5" s="15">
        <v>3.0413000000000001</v>
      </c>
      <c r="BB5" s="15">
        <v>9.2798000000000005E-2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7">
        <v>114999.662444</v>
      </c>
      <c r="CT5" s="11">
        <v>3.1189000000000001E-2</v>
      </c>
      <c r="CU5" s="11">
        <v>1.9219E-2</v>
      </c>
      <c r="CV5" s="11">
        <v>1.8151E-2</v>
      </c>
      <c r="CW5" s="11">
        <v>1.8762000000000001E-2</v>
      </c>
      <c r="CX5" s="11">
        <v>3.3256000000000001E-2</v>
      </c>
      <c r="CY5" s="11">
        <v>2.2329999999999999E-2</v>
      </c>
      <c r="CZ5" s="11">
        <v>4.9010999999999999E-2</v>
      </c>
      <c r="DA5" s="11">
        <v>1.9186999999999999E-2</v>
      </c>
      <c r="DB5" s="11">
        <v>2.5571E-2</v>
      </c>
      <c r="DC5" s="11">
        <v>2.2934E-2</v>
      </c>
      <c r="DD5" s="11">
        <v>2.4486999999999998E-2</v>
      </c>
      <c r="DE5" s="11">
        <v>8.5897000000000001E-2</v>
      </c>
      <c r="DF5" s="11">
        <v>2.4634E-2</v>
      </c>
      <c r="DG5" s="11">
        <v>2.0112999999999999E-2</v>
      </c>
      <c r="DH5" s="11">
        <v>1.831E-2</v>
      </c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</row>
    <row r="6" spans="1:144" x14ac:dyDescent="0.3">
      <c r="A6">
        <v>4</v>
      </c>
      <c r="B6" s="6">
        <v>120000</v>
      </c>
      <c r="C6" s="6">
        <v>261235.384284</v>
      </c>
      <c r="D6" s="6">
        <v>260179.349376</v>
      </c>
      <c r="E6" s="6">
        <f>(C5-Tableau6[[#This Row],[Total cost (M€/y) HIGH]])/(Tableau6[[#This Row],[Solid biomass availability (GWh/y)]]-B5)*1000</f>
        <v>377.98276920002536</v>
      </c>
      <c r="F6" s="6" t="s">
        <v>28</v>
      </c>
      <c r="G6" s="10">
        <f t="shared" si="0"/>
        <v>505.71277717500055</v>
      </c>
      <c r="H6" s="6" t="s">
        <v>11</v>
      </c>
      <c r="I6" s="11" cm="1">
        <f t="array" ref="I6">INDEX(Tableau3[Production cost (M€/GWh)],
       MATCH(1,
             (Tableau3[Resource]=Tableau6[[#This Row],[Marginal supply commodity HIGH]])*(Tableau3[Scenario]="HIGH_2050"),
             0))*1000</f>
        <v>11.912012144955899</v>
      </c>
      <c r="J6" s="11" cm="1">
        <f t="array" ref="J6">INDEX(Tableau3[GHG impact (tCO2eq/MWh)],
       MATCH(1,
             (Tableau3[Resource]=Tableau6[[#This Row],[Marginal supply commodity HIGH]])*(Tableau3[Scenario]="HIGH_2050"),
             0))*1000</f>
        <v>13.9178738926524</v>
      </c>
      <c r="K6" s="11">
        <f>(Tableau6[[#This Row],[Total cost (M€/y) HIGH]]-Tableau6[[#This Row],[Total Cost (M€) HIGH +1Mt CO2]])</f>
        <v>1056.0349080000015</v>
      </c>
      <c r="L6" s="22">
        <f>Tableau6[[#This Row],[Marginal Carbon cost (€/tCO2) HIGH]]*Tableau6[[#This Row],[Marginal emission factor (kgCO2/MWh) HIGH]]/1000</f>
        <v>14.697760675782799</v>
      </c>
      <c r="M6" s="22">
        <f>(CS6-CS5)*AVERAGE($E$3,E6)/(B6-B5)</f>
        <v>922.99974577485159</v>
      </c>
      <c r="N6" s="22">
        <f>(CS6-CS5)*Tableau6[[#This Row],[Marginal value of solid biomass (€/MWh) HIGH]]/(B6-B5)</f>
        <v>377.98648635817358</v>
      </c>
      <c r="O6" s="22">
        <f>(CS6-CS5)*Tableau6[[#This Row],[Marginal supply cost (€/MWh) HIGH]]/(B6-B5)</f>
        <v>11.912129290065714</v>
      </c>
      <c r="P6" s="22">
        <f>Tableau6[[#This Row],[Marginal supply cost (€/MWh) HIGH]]+Tableau6[[#This Row],[Carbon cost of marginal biomass (€/MWh) HIGH]]</f>
        <v>26.609772820738698</v>
      </c>
      <c r="Q6" s="6">
        <v>266901.02650899999</v>
      </c>
      <c r="R6" s="6">
        <v>265103.81531500001</v>
      </c>
      <c r="T6" s="6" t="s">
        <v>28</v>
      </c>
      <c r="Y6" s="10">
        <f>Tableau6[[#This Row],[Total cost (M€/y) MED]]-Tableau6[[#This Row],[Total cost (M€/y) MED +1Mt CO2]]</f>
        <v>1797.2111939999741</v>
      </c>
      <c r="AH6" s="15">
        <v>0.49724699999999999</v>
      </c>
      <c r="AI6" s="15">
        <v>0.67586500000000005</v>
      </c>
      <c r="AJ6" s="15">
        <v>0.83271899999999999</v>
      </c>
      <c r="AK6" s="15">
        <v>2.0489549999999999</v>
      </c>
      <c r="AL6" s="15">
        <v>0.44363999999999998</v>
      </c>
      <c r="AM6" s="17">
        <v>22758.843862000002</v>
      </c>
      <c r="AN6" s="16">
        <v>42184.367960000003</v>
      </c>
      <c r="AO6" s="16">
        <v>35431.323765000001</v>
      </c>
      <c r="AP6" s="15">
        <v>0.61868299999999998</v>
      </c>
      <c r="AQ6" s="15">
        <v>6.6919999999999993E-2</v>
      </c>
      <c r="AR6" s="15">
        <v>0.22379499999999999</v>
      </c>
      <c r="AS6" s="15">
        <v>0.40182200000000001</v>
      </c>
      <c r="AT6" s="15">
        <v>3.9517410000000002</v>
      </c>
      <c r="AU6" s="15">
        <v>0.87308600000000003</v>
      </c>
      <c r="AV6" s="16">
        <v>15166.666386999999</v>
      </c>
      <c r="AW6" s="15">
        <v>5.1590999999999998E-2</v>
      </c>
      <c r="AX6" s="15">
        <v>0.70787199999999995</v>
      </c>
      <c r="AY6" s="16">
        <v>4444.4451159999999</v>
      </c>
      <c r="AZ6" s="15">
        <v>6.7779000000000006E-2</v>
      </c>
      <c r="BA6" s="15">
        <v>2.8778169999999998</v>
      </c>
      <c r="BB6" s="15">
        <v>5.5196000000000002E-2</v>
      </c>
      <c r="BC6" s="11">
        <v>54.988762000000001</v>
      </c>
      <c r="BD6" s="17">
        <v>0.74812800000000002</v>
      </c>
      <c r="BE6" s="11">
        <v>194.44678099999999</v>
      </c>
      <c r="BF6" s="11">
        <v>34138.402621000001</v>
      </c>
      <c r="BG6" s="11">
        <v>21139.959464</v>
      </c>
      <c r="BH6" s="11">
        <v>28361.113535</v>
      </c>
      <c r="BI6" s="11">
        <v>12555.558010999999</v>
      </c>
      <c r="BJ6" s="11">
        <v>14172.547207</v>
      </c>
      <c r="BK6" s="11">
        <v>0.73627900000000002</v>
      </c>
      <c r="BL6" s="11">
        <v>2.9399999999999999E-2</v>
      </c>
      <c r="BM6" s="11">
        <v>9.5292000000000002E-2</v>
      </c>
      <c r="BN6" s="11">
        <v>55.553032000000002</v>
      </c>
      <c r="BO6" s="11">
        <v>44.419258999999997</v>
      </c>
      <c r="BP6" s="11">
        <v>2.8012389999999998</v>
      </c>
      <c r="BQ6" s="11">
        <v>6055.5583729999998</v>
      </c>
      <c r="BR6" s="11">
        <v>2.9635999999999999E-2</v>
      </c>
      <c r="BS6" s="11">
        <v>0.78983099999999995</v>
      </c>
      <c r="BT6" s="11">
        <v>1722.225132</v>
      </c>
      <c r="BU6" s="11">
        <v>2.9694999999999999E-2</v>
      </c>
      <c r="BV6" s="11">
        <v>1500.0026210000001</v>
      </c>
      <c r="BW6" s="11">
        <v>3.2516999999999997E-2</v>
      </c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7">
        <v>119999.71161499999</v>
      </c>
      <c r="CT6" s="11">
        <v>2.5603999999999998E-2</v>
      </c>
      <c r="CU6" s="11">
        <v>1.4736000000000001E-2</v>
      </c>
      <c r="CV6" s="11">
        <v>1.3212E-2</v>
      </c>
      <c r="CW6" s="11">
        <v>1.3662000000000001E-2</v>
      </c>
      <c r="CX6" s="11">
        <v>2.5746999999999999E-2</v>
      </c>
      <c r="CY6" s="11">
        <v>1.4076999999999999E-2</v>
      </c>
      <c r="CZ6" s="11">
        <v>4.0010999999999998E-2</v>
      </c>
      <c r="DA6" s="11">
        <v>1.2408000000000001E-2</v>
      </c>
      <c r="DB6" s="11">
        <v>1.9463000000000001E-2</v>
      </c>
      <c r="DC6" s="11">
        <v>1.6906000000000001E-2</v>
      </c>
      <c r="DD6" s="11">
        <v>1.8461000000000002E-2</v>
      </c>
      <c r="DE6" s="11">
        <v>7.0074999999999998E-2</v>
      </c>
      <c r="DF6" s="11">
        <v>1.8135999999999999E-2</v>
      </c>
      <c r="DG6" s="11">
        <v>1.4156E-2</v>
      </c>
      <c r="DH6" s="11">
        <v>1.3587999999999999E-2</v>
      </c>
      <c r="DI6" s="17">
        <v>119999.966848</v>
      </c>
      <c r="DJ6" s="11">
        <v>6.6100000000000004E-3</v>
      </c>
      <c r="DK6" s="11">
        <v>4.7580000000000001E-3</v>
      </c>
      <c r="DL6" s="11">
        <v>4.4559999999999999E-3</v>
      </c>
      <c r="DM6" s="11">
        <v>4.5950000000000001E-3</v>
      </c>
      <c r="DN6" s="11">
        <v>7.4079999999999997E-3</v>
      </c>
      <c r="DO6" s="11">
        <v>6.8469999999999998E-3</v>
      </c>
      <c r="DP6" s="11">
        <v>8.8990000000000007E-3</v>
      </c>
      <c r="DQ6" s="11">
        <v>4.8240000000000002E-3</v>
      </c>
      <c r="DR6" s="11">
        <v>5.7819999999999998E-3</v>
      </c>
      <c r="DS6" s="11">
        <v>5.378E-3</v>
      </c>
      <c r="DT6" s="11">
        <v>5.7279999999999996E-3</v>
      </c>
      <c r="DU6" s="11">
        <v>1.8727000000000001E-2</v>
      </c>
      <c r="DV6" s="11">
        <v>5.8300000000000001E-3</v>
      </c>
      <c r="DW6" s="11">
        <v>5.3140000000000001E-3</v>
      </c>
      <c r="DX6" s="11">
        <v>4.8339999999999998E-3</v>
      </c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</row>
    <row r="7" spans="1:144" x14ac:dyDescent="0.3">
      <c r="A7">
        <v>5</v>
      </c>
      <c r="B7" s="6">
        <v>125000</v>
      </c>
      <c r="C7" s="6">
        <v>259360.96998299999</v>
      </c>
      <c r="D7" s="6">
        <v>258327.60512299999</v>
      </c>
      <c r="E7" s="6">
        <f>(C6-Tableau6[[#This Row],[Total cost (M€/y) HIGH]])/(Tableau6[[#This Row],[Solid biomass availability (GWh/y)]]-B6)*1000</f>
        <v>374.88286020000231</v>
      </c>
      <c r="F7" s="6" t="s">
        <v>28</v>
      </c>
      <c r="G7" s="10">
        <f t="shared" si="0"/>
        <v>505.71277717500055</v>
      </c>
      <c r="H7" s="6" t="s">
        <v>11</v>
      </c>
      <c r="I7" s="11" cm="1">
        <f t="array" ref="I7">INDEX(Tableau3[Production cost (M€/GWh)],
       MATCH(1,
             (Tableau3[Resource]=Tableau6[[#This Row],[Marginal supply commodity HIGH]])*(Tableau3[Scenario]="HIGH_2050"),
             0))*1000</f>
        <v>11.912012144955899</v>
      </c>
      <c r="J7" s="11" cm="1">
        <f t="array" ref="J7">INDEX(Tableau3[GHG impact (tCO2eq/MWh)],
       MATCH(1,
             (Tableau3[Resource]=Tableau6[[#This Row],[Marginal supply commodity HIGH]])*(Tableau3[Scenario]="HIGH_2050"),
             0))*1000</f>
        <v>13.9178738926524</v>
      </c>
      <c r="K7" s="11">
        <f>(Tableau6[[#This Row],[Total cost (M€/y) HIGH]]-Tableau6[[#This Row],[Total Cost (M€) HIGH +1Mt CO2]])</f>
        <v>1033.3648600000015</v>
      </c>
      <c r="L7" s="22">
        <f>Tableau6[[#This Row],[Marginal Carbon cost (€/tCO2) HIGH]]*Tableau6[[#This Row],[Marginal emission factor (kgCO2/MWh) HIGH]]/1000</f>
        <v>14.382241806578424</v>
      </c>
      <c r="M7" s="22">
        <f>(CS7-CS6)*AVERAGE($E$3,E7)/(B7-B6)</f>
        <v>921.47530933876374</v>
      </c>
      <c r="N7" s="22">
        <f>(CS7-CS6)*Tableau6[[#This Row],[Marginal value of solid biomass (€/MWh) HIGH]]/(B7-B6)</f>
        <v>374.89693495205898</v>
      </c>
      <c r="O7" s="22">
        <f>(CS7-CS6)*Tableau6[[#This Row],[Marginal supply cost (€/MWh) HIGH]]/(B7-B6)</f>
        <v>11.912459374304678</v>
      </c>
      <c r="P7" s="22">
        <f>Tableau6[[#This Row],[Marginal supply cost (€/MWh) HIGH]]+Tableau6[[#This Row],[Carbon cost of marginal biomass (€/MWh) HIGH]]</f>
        <v>26.294253951534323</v>
      </c>
      <c r="Q7" s="6">
        <v>264012.72067299997</v>
      </c>
      <c r="R7" s="6">
        <v>262815.528345</v>
      </c>
      <c r="S7" s="6">
        <f>(Q6-Tableau6[[#This Row],[Total cost (M€/y) MED]])/(Tableau6[[#This Row],[Solid biomass availability (GWh/y)]]-B6)*1000</f>
        <v>577.66116720000286</v>
      </c>
      <c r="T7" s="6" t="s">
        <v>28</v>
      </c>
      <c r="U7" s="6">
        <f>AVERAGE($S$7:$S$10)</f>
        <v>426.41758269999997</v>
      </c>
      <c r="V7" s="6" t="s">
        <v>7</v>
      </c>
      <c r="W7" s="10" cm="1">
        <f t="array" ref="W7">INDEX(Tableau3[Production cost (M€/GWh)],
       MATCH(1,
             (Tableau3[Resource]=Tableau6[[#This Row],[Marginal supply commodity MED]])*(Tableau3[Scenario]="MED_2050"),
             0))*1000</f>
        <v>8.0893504559270539</v>
      </c>
      <c r="X7" s="10" cm="1">
        <f t="array" ref="X7">INDEX(Tableau3[GHG impact (tCO2eq/MWh)],
       MATCH(1,
             (Tableau3[Resource]=Tableau6[[#This Row],[Marginal supply commodity MED]])*(Tableau3[Scenario]="MED_2050"),
             0))*1000</f>
        <v>24.634426229508197</v>
      </c>
      <c r="Y7" s="10">
        <f>Tableau6[[#This Row],[Total cost (M€/y) MED]]-Tableau6[[#This Row],[Total cost (M€/y) MED +1Mt CO2]]</f>
        <v>1197.1923279999755</v>
      </c>
      <c r="Z7" s="10">
        <f>Tableau6[[#This Row],[Marginal Carbon cost (€/tCO2) MED]]*Tableau6[[#This Row],[Marginal emission factor (kgCO2/MWh)]]/1000</f>
        <v>29.492146086648578</v>
      </c>
      <c r="AA7" s="10">
        <f>Tableau6[[#This Row],[Carbon cost of marginal biomass (€/MWh) MED]]+Tableau6[[#This Row],[Marginal supply cost (€/MWh) MED]]</f>
        <v>37.581496542575636</v>
      </c>
      <c r="AH7" s="15">
        <v>0.19419800000000001</v>
      </c>
      <c r="AI7" s="15">
        <v>0.214749</v>
      </c>
      <c r="AJ7" s="15">
        <v>0.274758</v>
      </c>
      <c r="AK7" s="15">
        <v>0.65008200000000005</v>
      </c>
      <c r="AL7" s="15">
        <v>0.15428700000000001</v>
      </c>
      <c r="AM7" s="17">
        <v>25595.547617</v>
      </c>
      <c r="AN7" s="16">
        <v>44356.431923999997</v>
      </c>
      <c r="AO7" s="16">
        <v>35431.341939999998</v>
      </c>
      <c r="AP7" s="15">
        <v>0.20504</v>
      </c>
      <c r="AQ7" s="15">
        <v>2.6487E-2</v>
      </c>
      <c r="AR7" s="15">
        <v>7.1548E-2</v>
      </c>
      <c r="AS7" s="15">
        <v>0.117563</v>
      </c>
      <c r="AT7" s="15">
        <v>2.4508160000000001</v>
      </c>
      <c r="AU7" s="15">
        <v>0.28712799999999999</v>
      </c>
      <c r="AV7" s="16">
        <v>15166.666993000001</v>
      </c>
      <c r="AW7" s="15">
        <v>2.2696999999999998E-2</v>
      </c>
      <c r="AX7" s="15">
        <v>0.202709</v>
      </c>
      <c r="AY7" s="16">
        <v>4444.4450150000002</v>
      </c>
      <c r="AZ7" s="15">
        <v>2.6835999999999999E-2</v>
      </c>
      <c r="BA7" s="15">
        <v>0.66242500000000004</v>
      </c>
      <c r="BB7" s="15">
        <v>2.5444999999999999E-2</v>
      </c>
      <c r="BC7" s="11">
        <v>54.990473000000001</v>
      </c>
      <c r="BD7" s="17">
        <v>21671.962826999999</v>
      </c>
      <c r="BE7" s="11">
        <v>194.44752299999999</v>
      </c>
      <c r="BF7" s="11">
        <v>34138.470204999998</v>
      </c>
      <c r="BG7" s="11">
        <v>1.5095860000000001</v>
      </c>
      <c r="BH7" s="11">
        <v>28361.110674</v>
      </c>
      <c r="BI7" s="11">
        <v>12555.555204</v>
      </c>
      <c r="BJ7" s="11">
        <v>14172.546919</v>
      </c>
      <c r="BK7" s="11">
        <v>35.033327999999997</v>
      </c>
      <c r="BL7" s="11">
        <v>6.053E-2</v>
      </c>
      <c r="BM7" s="11">
        <v>0.25829400000000002</v>
      </c>
      <c r="BN7" s="11">
        <v>0.76027299999999998</v>
      </c>
      <c r="BO7" s="11">
        <v>44.420974999999999</v>
      </c>
      <c r="BP7" s="17">
        <v>4222.1852040000003</v>
      </c>
      <c r="BQ7" s="11">
        <v>6055.5596619999997</v>
      </c>
      <c r="BR7" s="11">
        <v>5.4920999999999998E-2</v>
      </c>
      <c r="BS7" s="11">
        <v>268.83641899999998</v>
      </c>
      <c r="BT7" s="11">
        <v>1722.2270060000001</v>
      </c>
      <c r="BU7" s="11">
        <v>6.1385000000000002E-2</v>
      </c>
      <c r="BV7" s="11">
        <v>1500.003811</v>
      </c>
      <c r="BW7" s="11">
        <v>6.1797999999999999E-2</v>
      </c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7">
        <v>124999.899337</v>
      </c>
      <c r="CT7" s="11">
        <v>8.6370000000000006E-3</v>
      </c>
      <c r="CU7" s="11">
        <v>5.4169999999999999E-3</v>
      </c>
      <c r="CV7" s="11">
        <v>5.0920000000000002E-3</v>
      </c>
      <c r="CW7" s="11">
        <v>5.2399999999999999E-3</v>
      </c>
      <c r="CX7" s="11">
        <v>9.3170000000000006E-3</v>
      </c>
      <c r="CY7" s="11">
        <v>6.3550000000000004E-3</v>
      </c>
      <c r="CZ7" s="11">
        <v>1.3849999999999999E-2</v>
      </c>
      <c r="DA7" s="11">
        <v>5.3949999999999996E-3</v>
      </c>
      <c r="DB7" s="11">
        <v>7.1450000000000003E-3</v>
      </c>
      <c r="DC7" s="11">
        <v>6.411E-3</v>
      </c>
      <c r="DD7" s="11">
        <v>6.7910000000000002E-3</v>
      </c>
      <c r="DE7" s="11">
        <v>2.3681000000000001E-2</v>
      </c>
      <c r="DF7" s="11">
        <v>6.8780000000000004E-3</v>
      </c>
      <c r="DG7" s="11">
        <v>5.62E-3</v>
      </c>
      <c r="DH7" s="11">
        <v>5.1029999999999999E-3</v>
      </c>
      <c r="DI7" s="17">
        <v>124999.88536099999</v>
      </c>
      <c r="DJ7" s="11">
        <v>1.6799000000000001E-2</v>
      </c>
      <c r="DK7" s="11">
        <v>1.0924E-2</v>
      </c>
      <c r="DL7" s="11">
        <v>9.8180000000000003E-3</v>
      </c>
      <c r="DM7" s="11">
        <v>1.0163999999999999E-2</v>
      </c>
      <c r="DN7" s="11">
        <v>1.8487E-2</v>
      </c>
      <c r="DO7" s="11">
        <v>1.2584E-2</v>
      </c>
      <c r="DP7" s="11">
        <v>2.5932E-2</v>
      </c>
      <c r="DQ7" s="11">
        <v>1.0607999999999999E-2</v>
      </c>
      <c r="DR7" s="11">
        <v>1.3742000000000001E-2</v>
      </c>
      <c r="DS7" s="11">
        <v>1.2393E-2</v>
      </c>
      <c r="DT7" s="11">
        <v>1.3223E-2</v>
      </c>
      <c r="DU7" s="11">
        <v>4.1866E-2</v>
      </c>
      <c r="DV7" s="11">
        <v>1.3573999999999999E-2</v>
      </c>
      <c r="DW7" s="11">
        <v>1.1136999999999999E-2</v>
      </c>
      <c r="DX7" s="11">
        <v>1.044E-2</v>
      </c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</row>
    <row r="8" spans="1:144" x14ac:dyDescent="0.3">
      <c r="A8">
        <v>6</v>
      </c>
      <c r="B8" s="6">
        <v>130000</v>
      </c>
      <c r="C8" s="6">
        <v>257554.20269500001</v>
      </c>
      <c r="D8" s="6">
        <v>256605.14313899999</v>
      </c>
      <c r="E8" s="6">
        <f>(C7-Tableau6[[#This Row],[Total cost (M€/y) HIGH]])/(Tableau6[[#This Row],[Solid biomass availability (GWh/y)]]-B7)*1000</f>
        <v>361.35345759999473</v>
      </c>
      <c r="F8" s="6" t="s">
        <v>28</v>
      </c>
      <c r="G8" s="10">
        <f t="shared" si="0"/>
        <v>505.71277717500055</v>
      </c>
      <c r="H8" s="6" t="s">
        <v>11</v>
      </c>
      <c r="I8" s="11" cm="1">
        <f t="array" ref="I8">INDEX(Tableau3[Production cost (M€/GWh)],
       MATCH(1,
             (Tableau3[Resource]=Tableau6[[#This Row],[Marginal supply commodity HIGH]])*(Tableau3[Scenario]="HIGH_2050"),
             0))*1000</f>
        <v>11.912012144955899</v>
      </c>
      <c r="J8" s="11" cm="1">
        <f t="array" ref="J8">INDEX(Tableau3[GHG impact (tCO2eq/MWh)],
       MATCH(1,
             (Tableau3[Resource]=Tableau6[[#This Row],[Marginal supply commodity HIGH]])*(Tableau3[Scenario]="HIGH_2050"),
             0))*1000</f>
        <v>13.9178738926524</v>
      </c>
      <c r="K8" s="11">
        <f>(Tableau6[[#This Row],[Total cost (M€/y) HIGH]]-Tableau6[[#This Row],[Total Cost (M€) HIGH +1Mt CO2]])</f>
        <v>949.05955600002198</v>
      </c>
      <c r="L8" s="22">
        <f>Tableau6[[#This Row],[Marginal Carbon cost (€/tCO2) HIGH]]*Tableau6[[#This Row],[Marginal emission factor (kgCO2/MWh) HIGH]]/1000</f>
        <v>13.208891217024984</v>
      </c>
      <c r="M8" s="22">
        <f>(CS8-CS7)*AVERAGE($E$3,E8)/(B8-B7)</f>
        <v>914.6914731369119</v>
      </c>
      <c r="N8" s="22">
        <f>(CS8-CS7)*Tableau6[[#This Row],[Marginal value of solid biomass (€/MWh) HIGH]]/(B8-B7)</f>
        <v>361.35956526840636</v>
      </c>
      <c r="O8" s="22">
        <f>(CS8-CS7)*Tableau6[[#This Row],[Marginal supply cost (€/MWh) HIGH]]/(B8-B7)</f>
        <v>11.912213484167594</v>
      </c>
      <c r="P8" s="22">
        <f>Tableau6[[#This Row],[Marginal supply cost (€/MWh) HIGH]]+Tableau6[[#This Row],[Carbon cost of marginal biomass (€/MWh) HIGH]]</f>
        <v>25.120903361980883</v>
      </c>
      <c r="Q8" s="6">
        <v>262049.47800500001</v>
      </c>
      <c r="R8" s="6">
        <v>260967.866905</v>
      </c>
      <c r="S8" s="6">
        <f>(Q7-Tableau6[[#This Row],[Total cost (M€/y) MED]])/(Tableau6[[#This Row],[Solid biomass availability (GWh/y)]]-B7)*1000</f>
        <v>392.6485335999925</v>
      </c>
      <c r="T8" s="6" t="s">
        <v>28</v>
      </c>
      <c r="U8" s="6">
        <f t="shared" ref="U8:U10" si="1">AVERAGE($S$7:$S$10)</f>
        <v>426.41758269999997</v>
      </c>
      <c r="V8" s="6" t="s">
        <v>7</v>
      </c>
      <c r="W8" s="10" cm="1">
        <f t="array" ref="W8">INDEX(Tableau3[Production cost (M€/GWh)],
       MATCH(1,
             (Tableau3[Resource]=Tableau6[[#This Row],[Marginal supply commodity MED]])*(Tableau3[Scenario]="MED_2050"),
             0))*1000</f>
        <v>8.0893504559270539</v>
      </c>
      <c r="X8" s="10" cm="1">
        <f t="array" ref="X8">INDEX(Tableau3[GHG impact (tCO2eq/MWh)],
       MATCH(1,
             (Tableau3[Resource]=Tableau6[[#This Row],[Marginal supply commodity MED]])*(Tableau3[Scenario]="MED_2050"),
             0))*1000</f>
        <v>24.634426229508197</v>
      </c>
      <c r="Y8" s="10">
        <f>Tableau6[[#This Row],[Total cost (M€/y) MED]]-Tableau6[[#This Row],[Total cost (M€/y) MED +1Mt CO2]]</f>
        <v>1081.6111000000092</v>
      </c>
      <c r="Z8" s="10">
        <f>Tableau6[[#This Row],[Marginal Carbon cost (€/tCO2) MED]]*Tableau6[[#This Row],[Marginal emission factor (kgCO2/MWh)]]/1000</f>
        <v>26.644868851967441</v>
      </c>
      <c r="AA8" s="10">
        <f>Tableau6[[#This Row],[Carbon cost of marginal biomass (€/MWh) MED]]+Tableau6[[#This Row],[Marginal supply cost (€/MWh) MED]]</f>
        <v>34.734219307894492</v>
      </c>
      <c r="AH8" s="15">
        <v>2.3876000000000001E-2</v>
      </c>
      <c r="AI8" s="15">
        <v>3.0335000000000001E-2</v>
      </c>
      <c r="AJ8" s="15">
        <v>3.8453000000000001E-2</v>
      </c>
      <c r="AK8" s="15">
        <v>8.6181999999999995E-2</v>
      </c>
      <c r="AL8" s="15">
        <v>2.0178000000000001E-2</v>
      </c>
      <c r="AM8" s="17">
        <v>30571.538025000002</v>
      </c>
      <c r="AN8" s="16">
        <v>44385.022925999998</v>
      </c>
      <c r="AO8" s="16">
        <v>35431.344131999998</v>
      </c>
      <c r="AP8" s="15">
        <v>2.9378999999999999E-2</v>
      </c>
      <c r="AQ8" s="15">
        <v>3.6830000000000001E-3</v>
      </c>
      <c r="AR8" s="15">
        <v>1.077E-2</v>
      </c>
      <c r="AS8" s="15">
        <v>1.7080999999999999E-2</v>
      </c>
      <c r="AT8" s="15">
        <v>0.55168200000000001</v>
      </c>
      <c r="AU8" s="15">
        <v>4.2791999999999997E-2</v>
      </c>
      <c r="AV8" s="16">
        <v>15166.666606000001</v>
      </c>
      <c r="AW8" s="15">
        <v>3.1180000000000001E-3</v>
      </c>
      <c r="AX8" s="15">
        <v>3.092E-2</v>
      </c>
      <c r="AY8" s="16">
        <v>4444.4444229999999</v>
      </c>
      <c r="AZ8" s="15">
        <v>3.7339999999999999E-3</v>
      </c>
      <c r="BA8" s="15">
        <v>8.8888999999999996E-2</v>
      </c>
      <c r="BB8" s="15">
        <v>3.4979999999999998E-3</v>
      </c>
      <c r="BC8" s="11">
        <v>54.987046999999997</v>
      </c>
      <c r="BD8" s="17">
        <v>26663.306859</v>
      </c>
      <c r="BE8" s="11">
        <v>194.44196199999999</v>
      </c>
      <c r="BF8" s="11">
        <v>34138.473297999997</v>
      </c>
      <c r="BG8" s="11">
        <v>0.64549800000000002</v>
      </c>
      <c r="BH8" s="11">
        <v>28361.110834999999</v>
      </c>
      <c r="BI8" s="11">
        <v>12555.55615</v>
      </c>
      <c r="BJ8" s="11">
        <v>14172.545859</v>
      </c>
      <c r="BK8" s="11">
        <v>44.616173000000003</v>
      </c>
      <c r="BL8" s="11">
        <v>6.5587999999999994E-2</v>
      </c>
      <c r="BM8" s="11">
        <v>0.34234100000000001</v>
      </c>
      <c r="BN8" s="11">
        <v>0.48631400000000002</v>
      </c>
      <c r="BO8" s="11">
        <v>44.417811</v>
      </c>
      <c r="BP8" s="11">
        <v>4222.2201949999999</v>
      </c>
      <c r="BQ8" s="11">
        <v>6055.5571929999996</v>
      </c>
      <c r="BR8" s="11">
        <v>5.6454999999999998E-2</v>
      </c>
      <c r="BS8" s="11">
        <v>268.86418500000002</v>
      </c>
      <c r="BT8" s="11">
        <v>1722.2241100000001</v>
      </c>
      <c r="BU8" s="11">
        <v>6.6713999999999996E-2</v>
      </c>
      <c r="BV8" s="11">
        <v>1500.0009869999999</v>
      </c>
      <c r="BW8" s="11">
        <v>6.4266000000000004E-2</v>
      </c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7">
        <v>129999.983848</v>
      </c>
      <c r="CT8" s="11">
        <v>1.2099999999999999E-3</v>
      </c>
      <c r="CU8" s="11">
        <v>7.1299999999999998E-4</v>
      </c>
      <c r="CV8" s="11">
        <v>7.1000000000000002E-4</v>
      </c>
      <c r="CW8" s="11">
        <v>7.2199999999999999E-4</v>
      </c>
      <c r="CX8" s="11">
        <v>1.2769999999999999E-3</v>
      </c>
      <c r="CY8" s="11">
        <v>8.6899999999999998E-4</v>
      </c>
      <c r="CZ8" s="11">
        <v>1.9419999999999999E-3</v>
      </c>
      <c r="DA8" s="11">
        <v>7.45E-4</v>
      </c>
      <c r="DB8" s="11">
        <v>9.9400000000000009E-4</v>
      </c>
      <c r="DC8" s="11">
        <v>8.7900000000000001E-4</v>
      </c>
      <c r="DD8" s="11">
        <v>9.4300000000000004E-4</v>
      </c>
      <c r="DE8" s="11">
        <v>3.4060000000000002E-3</v>
      </c>
      <c r="DF8" s="11">
        <v>9.4899999999999997E-4</v>
      </c>
      <c r="DG8" s="11">
        <v>7.7700000000000002E-4</v>
      </c>
      <c r="DH8" s="11">
        <v>6.9999999999999999E-4</v>
      </c>
      <c r="DI8" s="17">
        <v>129999.793725</v>
      </c>
      <c r="DJ8" s="11">
        <v>1.8450000000000001E-2</v>
      </c>
      <c r="DK8" s="11">
        <v>1.2012999999999999E-2</v>
      </c>
      <c r="DL8" s="11">
        <v>1.077E-2</v>
      </c>
      <c r="DM8" s="11">
        <v>1.1131E-2</v>
      </c>
      <c r="DN8" s="11">
        <v>1.9264E-2</v>
      </c>
      <c r="DO8" s="11">
        <v>1.3540999999999999E-2</v>
      </c>
      <c r="DP8" s="11">
        <v>2.8399000000000001E-2</v>
      </c>
      <c r="DQ8" s="11">
        <v>1.1379E-2</v>
      </c>
      <c r="DR8" s="11">
        <v>1.5103E-2</v>
      </c>
      <c r="DS8" s="11">
        <v>1.3586000000000001E-2</v>
      </c>
      <c r="DT8" s="11">
        <v>1.4574E-2</v>
      </c>
      <c r="DU8" s="11">
        <v>5.0708999999999997E-2</v>
      </c>
      <c r="DV8" s="11">
        <v>1.4487999999999999E-2</v>
      </c>
      <c r="DW8" s="11">
        <v>1.1958E-2</v>
      </c>
      <c r="DX8" s="11">
        <v>1.0784E-2</v>
      </c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</row>
    <row r="9" spans="1:144" x14ac:dyDescent="0.3">
      <c r="A9">
        <v>7</v>
      </c>
      <c r="B9" s="6">
        <v>135000</v>
      </c>
      <c r="C9" s="6">
        <v>255970.967103</v>
      </c>
      <c r="D9" s="6">
        <v>255180.999212</v>
      </c>
      <c r="E9" s="6">
        <f>(C8-Tableau6[[#This Row],[Total cost (M€/y) HIGH]])/(Tableau6[[#This Row],[Solid biomass availability (GWh/y)]]-B8)*1000</f>
        <v>316.64711840000234</v>
      </c>
      <c r="F9" s="6" t="s">
        <v>28</v>
      </c>
      <c r="G9" s="10">
        <f t="shared" si="0"/>
        <v>505.71277717500055</v>
      </c>
      <c r="H9" s="6" t="s">
        <v>11</v>
      </c>
      <c r="I9" s="11" cm="1">
        <f t="array" ref="I9">INDEX(Tableau3[Production cost (M€/GWh)],
       MATCH(1,
             (Tableau3[Resource]=Tableau6[[#This Row],[Marginal supply commodity HIGH]])*(Tableau3[Scenario]="HIGH_2050"),
             0))*1000</f>
        <v>11.912012144955899</v>
      </c>
      <c r="J9" s="11" cm="1">
        <f t="array" ref="J9">INDEX(Tableau3[GHG impact (tCO2eq/MWh)],
       MATCH(1,
             (Tableau3[Resource]=Tableau6[[#This Row],[Marginal supply commodity HIGH]])*(Tableau3[Scenario]="HIGH_2050"),
             0))*1000</f>
        <v>13.9178738926524</v>
      </c>
      <c r="K9" s="11">
        <f>(Tableau6[[#This Row],[Total cost (M€/y) HIGH]]-Tableau6[[#This Row],[Total Cost (M€) HIGH +1Mt CO2]])</f>
        <v>789.96789100000751</v>
      </c>
      <c r="L9" s="22">
        <f>Tableau6[[#This Row],[Marginal Carbon cost (€/tCO2) HIGH]]*Tableau6[[#This Row],[Marginal emission factor (kgCO2/MWh) HIGH]]/1000</f>
        <v>10.99467348618268</v>
      </c>
      <c r="M9" s="22">
        <f>(CS9-CS8)*AVERAGE($E$3,E9)/(B9-B8)</f>
        <v>892.23016328018957</v>
      </c>
      <c r="N9" s="22">
        <f>(CS9-CS8)*Tableau6[[#This Row],[Marginal value of solid biomass (€/MWh) HIGH]]/(B9-B8)</f>
        <v>316.61423016369736</v>
      </c>
      <c r="O9" s="22">
        <f>(CS9-CS8)*Tableau6[[#This Row],[Marginal supply cost (€/MWh) HIGH]]/(B9-B8)</f>
        <v>11.910774915726494</v>
      </c>
      <c r="P9" s="22">
        <f>Tableau6[[#This Row],[Marginal supply cost (€/MWh) HIGH]]+Tableau6[[#This Row],[Carbon cost of marginal biomass (€/MWh) HIGH]]</f>
        <v>22.906685631138579</v>
      </c>
      <c r="Q9" s="6">
        <v>260183.84982199999</v>
      </c>
      <c r="R9" s="6">
        <v>259134.86971999999</v>
      </c>
      <c r="S9" s="6">
        <f>(Q8-Tableau6[[#This Row],[Total cost (M€/y) MED]])/(Tableau6[[#This Row],[Solid biomass availability (GWh/y)]]-B8)*1000</f>
        <v>373.12563660000455</v>
      </c>
      <c r="T9" s="6" t="s">
        <v>28</v>
      </c>
      <c r="U9" s="6">
        <f t="shared" si="1"/>
        <v>426.41758269999997</v>
      </c>
      <c r="V9" s="6" t="s">
        <v>7</v>
      </c>
      <c r="W9" s="10" cm="1">
        <f t="array" ref="W9">INDEX(Tableau3[Production cost (M€/GWh)],
       MATCH(1,
             (Tableau3[Resource]=Tableau6[[#This Row],[Marginal supply commodity MED]])*(Tableau3[Scenario]="MED_2050"),
             0))*1000</f>
        <v>8.0893504559270539</v>
      </c>
      <c r="X9" s="10" cm="1">
        <f t="array" ref="X9">INDEX(Tableau3[GHG impact (tCO2eq/MWh)],
       MATCH(1,
             (Tableau3[Resource]=Tableau6[[#This Row],[Marginal supply commodity MED]])*(Tableau3[Scenario]="MED_2050"),
             0))*1000</f>
        <v>24.634426229508197</v>
      </c>
      <c r="Y9" s="10">
        <f>Tableau6[[#This Row],[Total cost (M€/y) MED]]-Tableau6[[#This Row],[Total cost (M€/y) MED +1Mt CO2]]</f>
        <v>1048.9801020000014</v>
      </c>
      <c r="Z9" s="10">
        <f>Tableau6[[#This Row],[Marginal Carbon cost (€/tCO2) MED]]*Tableau6[[#This Row],[Marginal emission factor (kgCO2/MWh)]]/1000</f>
        <v>25.841022938941016</v>
      </c>
      <c r="AA9" s="10">
        <f>Tableau6[[#This Row],[Carbon cost of marginal biomass (€/MWh) MED]]+Tableau6[[#This Row],[Marginal supply cost (€/MWh) MED]]</f>
        <v>33.93037339486807</v>
      </c>
      <c r="AB9" s="6">
        <v>266369.77708000003</v>
      </c>
      <c r="AD9" s="6" t="s">
        <v>28</v>
      </c>
      <c r="AH9" s="15">
        <v>0.59138199999999996</v>
      </c>
      <c r="AI9" s="15">
        <v>2.2588629999999998</v>
      </c>
      <c r="AJ9" s="15">
        <v>1.534043</v>
      </c>
      <c r="AK9" s="15">
        <v>1303.173119</v>
      </c>
      <c r="AL9" s="15">
        <v>0.78484399999999999</v>
      </c>
      <c r="AM9" s="16">
        <v>34138.122242999998</v>
      </c>
      <c r="AN9" s="16">
        <v>44388.194732999997</v>
      </c>
      <c r="AO9" s="16">
        <v>35431.284495</v>
      </c>
      <c r="AP9" s="15">
        <v>1.941821</v>
      </c>
      <c r="AQ9" s="15">
        <v>0.144537</v>
      </c>
      <c r="AR9" s="15">
        <v>0.69459300000000002</v>
      </c>
      <c r="AS9" s="15">
        <v>0.54531700000000005</v>
      </c>
      <c r="AT9" s="16">
        <v>88.827130999999994</v>
      </c>
      <c r="AU9" s="15">
        <v>10.920450000000001</v>
      </c>
      <c r="AV9" s="16">
        <v>15166.668408</v>
      </c>
      <c r="AW9" s="15">
        <v>0.114758</v>
      </c>
      <c r="AX9" s="15">
        <v>2.6593770000000001</v>
      </c>
      <c r="AY9" s="16">
        <v>4444.4473580000003</v>
      </c>
      <c r="AZ9" s="15">
        <v>0.147059</v>
      </c>
      <c r="BA9" s="15">
        <v>16.904944</v>
      </c>
      <c r="BB9" s="15">
        <v>0.132134</v>
      </c>
      <c r="BC9" s="11">
        <v>54.988802999999997</v>
      </c>
      <c r="BD9" s="17">
        <v>31631.016221000002</v>
      </c>
      <c r="BE9" s="11">
        <v>194.44093799999999</v>
      </c>
      <c r="BF9" s="11">
        <v>34138.484321999997</v>
      </c>
      <c r="BG9" s="11">
        <v>1.1632819999999999</v>
      </c>
      <c r="BH9" s="11">
        <v>28361.113658999999</v>
      </c>
      <c r="BI9" s="11">
        <v>12555.558016999999</v>
      </c>
      <c r="BJ9" s="11">
        <v>14172.548208</v>
      </c>
      <c r="BK9" s="11">
        <v>75.776139000000001</v>
      </c>
      <c r="BL9" s="11">
        <v>0.113688</v>
      </c>
      <c r="BM9" s="11">
        <v>0.59086899999999998</v>
      </c>
      <c r="BN9" s="11">
        <v>0.72275199999999995</v>
      </c>
      <c r="BO9" s="11">
        <v>44.419713000000002</v>
      </c>
      <c r="BP9" s="11">
        <v>4222.2198859999999</v>
      </c>
      <c r="BQ9" s="11">
        <v>6055.5596519999999</v>
      </c>
      <c r="BR9" s="11">
        <v>9.6684000000000006E-2</v>
      </c>
      <c r="BS9" s="11">
        <v>268.84512599999999</v>
      </c>
      <c r="BT9" s="11">
        <v>1722.226694</v>
      </c>
      <c r="BU9" s="11">
        <v>0.11566800000000001</v>
      </c>
      <c r="BV9" s="11">
        <v>1500.0028319999999</v>
      </c>
      <c r="BW9" s="11">
        <v>0.109554</v>
      </c>
      <c r="BX9" s="11">
        <v>13.741933</v>
      </c>
      <c r="BY9" s="11">
        <v>0.22441</v>
      </c>
      <c r="BZ9" s="11">
        <v>194.44436400000001</v>
      </c>
      <c r="CA9" s="11">
        <v>34138.482786</v>
      </c>
      <c r="CB9" s="11">
        <v>66945.800109999996</v>
      </c>
      <c r="CC9" s="11">
        <v>24709.966413999999</v>
      </c>
      <c r="CD9" s="11">
        <v>3166.6664609999998</v>
      </c>
      <c r="CE9" s="11">
        <v>3543.1391610000001</v>
      </c>
      <c r="CF9" s="11">
        <v>0.22137399999999999</v>
      </c>
      <c r="CG9" s="11">
        <v>2.1847999999999999E-2</v>
      </c>
      <c r="CH9" s="11">
        <v>5.8384999999999999E-2</v>
      </c>
      <c r="CI9" s="11">
        <v>55.554395999999997</v>
      </c>
      <c r="CJ9" s="11">
        <v>8.889132</v>
      </c>
      <c r="CK9" s="11">
        <v>0.28390500000000002</v>
      </c>
      <c r="CL9" s="11">
        <v>1472.2225390000001</v>
      </c>
      <c r="CM9" s="11">
        <v>2.4849E-2</v>
      </c>
      <c r="CN9" s="11">
        <v>0.223667</v>
      </c>
      <c r="CO9" s="11">
        <v>388.88929999999999</v>
      </c>
      <c r="CP9" s="11">
        <v>2.2046E-2</v>
      </c>
      <c r="CQ9" s="11">
        <v>361.11125500000003</v>
      </c>
      <c r="CR9" s="11">
        <v>2.6315000000000002E-2</v>
      </c>
      <c r="CS9" s="17">
        <v>134999.46452800001</v>
      </c>
      <c r="CT9" s="11">
        <v>4.6614000000000003E-2</v>
      </c>
      <c r="CU9" s="11">
        <v>2.9257999999999999E-2</v>
      </c>
      <c r="CV9" s="11">
        <v>2.7071000000000001E-2</v>
      </c>
      <c r="CW9" s="11">
        <v>2.7418999999999999E-2</v>
      </c>
      <c r="CX9" s="11">
        <v>4.3921000000000002E-2</v>
      </c>
      <c r="CY9" s="11">
        <v>3.1654000000000002E-2</v>
      </c>
      <c r="CZ9" s="11">
        <v>7.3885000000000006E-2</v>
      </c>
      <c r="DA9" s="11">
        <v>2.6879E-2</v>
      </c>
      <c r="DB9" s="11">
        <v>3.7990999999999997E-2</v>
      </c>
      <c r="DC9" s="11">
        <v>3.3259999999999998E-2</v>
      </c>
      <c r="DD9" s="11">
        <v>3.6025000000000001E-2</v>
      </c>
      <c r="DE9" s="11">
        <v>0.125415</v>
      </c>
      <c r="DF9" s="11">
        <v>3.4391999999999999E-2</v>
      </c>
      <c r="DG9" s="11">
        <v>2.8566999999999999E-2</v>
      </c>
      <c r="DH9" s="11">
        <v>2.4778000000000001E-2</v>
      </c>
      <c r="DI9" s="17">
        <v>134999.66134699999</v>
      </c>
      <c r="DJ9" s="11">
        <v>3.3301999999999998E-2</v>
      </c>
      <c r="DK9" s="11">
        <v>2.2374000000000002E-2</v>
      </c>
      <c r="DL9" s="11">
        <v>1.8973E-2</v>
      </c>
      <c r="DM9" s="11">
        <v>1.9677E-2</v>
      </c>
      <c r="DN9" s="11">
        <v>3.3224999999999998E-2</v>
      </c>
      <c r="DO9" s="11">
        <v>2.3171000000000001E-2</v>
      </c>
      <c r="DP9" s="11">
        <v>5.0902000000000003E-2</v>
      </c>
      <c r="DQ9" s="11">
        <v>1.9906E-2</v>
      </c>
      <c r="DR9" s="11">
        <v>2.6748000000000001E-2</v>
      </c>
      <c r="DS9" s="11">
        <v>2.4058E-2</v>
      </c>
      <c r="DT9" s="11">
        <v>2.5864999999999999E-2</v>
      </c>
      <c r="DU9" s="11">
        <v>8.7891999999999998E-2</v>
      </c>
      <c r="DV9" s="11">
        <v>2.545E-2</v>
      </c>
      <c r="DW9" s="11">
        <v>2.0990999999999999E-2</v>
      </c>
      <c r="DX9" s="11">
        <v>1.8873000000000001E-2</v>
      </c>
      <c r="DY9" s="17">
        <v>134999.942966</v>
      </c>
      <c r="DZ9" s="11">
        <v>4.9379999999999997E-3</v>
      </c>
      <c r="EA9" s="11">
        <v>3.3140000000000001E-3</v>
      </c>
      <c r="EB9" s="11">
        <v>3.0119999999999999E-3</v>
      </c>
      <c r="EC9" s="11">
        <v>3.1549999999999998E-3</v>
      </c>
      <c r="ED9" s="11">
        <v>4.9690000000000003E-3</v>
      </c>
      <c r="EE9" s="11">
        <v>4.2519999999999997E-3</v>
      </c>
      <c r="EF9" s="11">
        <v>6.3340000000000002E-3</v>
      </c>
      <c r="EG9" s="11">
        <v>3.0400000000000002E-3</v>
      </c>
      <c r="EH9" s="11">
        <v>4.2069999999999998E-3</v>
      </c>
      <c r="EI9" s="11">
        <v>3.8570000000000002E-3</v>
      </c>
      <c r="EJ9" s="11">
        <v>4.2630000000000003E-3</v>
      </c>
      <c r="EK9" s="11">
        <v>1.5036000000000001E-2</v>
      </c>
      <c r="EL9" s="11">
        <v>4.1479999999999998E-3</v>
      </c>
      <c r="EM9" s="11">
        <v>3.7650000000000001E-3</v>
      </c>
      <c r="EN9" s="11">
        <v>3.411E-3</v>
      </c>
    </row>
    <row r="10" spans="1:144" x14ac:dyDescent="0.3">
      <c r="A10">
        <v>8</v>
      </c>
      <c r="B10" s="6">
        <v>140000</v>
      </c>
      <c r="C10" s="6">
        <v>254713.242769</v>
      </c>
      <c r="D10" s="6">
        <v>254201.30592200009</v>
      </c>
      <c r="E10" s="6">
        <f>(C9-Tableau6[[#This Row],[Total cost (M€/y) HIGH]])/(Tableau6[[#This Row],[Solid biomass availability (GWh/y)]]-B9)*1000</f>
        <v>251.54486679999971</v>
      </c>
      <c r="F10" s="6" t="s">
        <v>28</v>
      </c>
      <c r="G10" s="10">
        <f>AVERAGE($E$3:$E$10)</f>
        <v>505.71277717500055</v>
      </c>
      <c r="H10" s="6" t="s">
        <v>19</v>
      </c>
      <c r="I10" s="11" cm="1">
        <f t="array" ref="I10">INDEX(Tableau3[Production cost (M€/GWh)],
       MATCH(1,
             (Tableau3[Resource]=Tableau6[[#This Row],[Marginal supply commodity HIGH]])*(Tableau3[Scenario]="HIGH_2050"),
             0))*1000</f>
        <v>5.4618157894736798</v>
      </c>
      <c r="J10" s="11" cm="1">
        <f t="array" ref="J10">INDEX(Tableau3[GHG impact (tCO2eq/MWh)],
       MATCH(1,
             (Tableau3[Resource]=Tableau6[[#This Row],[Marginal supply commodity HIGH]])*(Tableau3[Scenario]="HIGH_2050"),
             0))*1000</f>
        <v>24.6344262295082</v>
      </c>
      <c r="K10" s="11">
        <f>(Tableau6[[#This Row],[Total cost (M€/y) HIGH]]-Tableau6[[#This Row],[Total Cost (M€) HIGH +1Mt CO2]])</f>
        <v>511.93684699991718</v>
      </c>
      <c r="L10" s="22">
        <f>Tableau6[[#This Row],[Marginal Carbon cost (€/tCO2) HIGH]]*Tableau6[[#This Row],[Marginal emission factor (kgCO2/MWh) HIGH]]/1000</f>
        <v>12.611270491586486</v>
      </c>
      <c r="M10" s="22">
        <f>(CS10-CS9)*AVERAGE($E$3,E10)/(B10-B9)</f>
        <v>859.81298657049672</v>
      </c>
      <c r="N10" s="22">
        <f>(CS10-CS9)*Tableau6[[#This Row],[Marginal value of solid biomass (€/MWh) HIGH]]/(B10-B9)</f>
        <v>251.55694090329627</v>
      </c>
      <c r="O10" s="22">
        <f>(CS10-CS9)*Tableau6[[#This Row],[Marginal supply cost (€/MWh) HIGH]]/(B10-B9)</f>
        <v>5.4620779555391925</v>
      </c>
      <c r="P10" s="22">
        <f>Tableau6[[#This Row],[Marginal supply cost (€/MWh) HIGH]]+Tableau6[[#This Row],[Carbon cost of marginal biomass (€/MWh) HIGH]]</f>
        <v>18.073086281060167</v>
      </c>
      <c r="Q10" s="6">
        <v>258372.67485499999</v>
      </c>
      <c r="R10" s="6">
        <v>257578.249197</v>
      </c>
      <c r="S10" s="6">
        <f>(Q9-Tableau6[[#This Row],[Total cost (M€/y) MED]])/(Tableau6[[#This Row],[Solid biomass availability (GWh/y)]]-B9)*1000</f>
        <v>362.23499339999984</v>
      </c>
      <c r="T10" s="6" t="s">
        <v>28</v>
      </c>
      <c r="U10" s="6">
        <f t="shared" si="1"/>
        <v>426.41758269999997</v>
      </c>
      <c r="V10" s="6" t="s">
        <v>7</v>
      </c>
      <c r="W10" s="10" cm="1">
        <f t="array" ref="W10">INDEX(Tableau3[Production cost (M€/GWh)],
       MATCH(1,
             (Tableau3[Resource]=Tableau6[[#This Row],[Marginal supply commodity MED]])*(Tableau3[Scenario]="MED_2050"),
             0))*1000</f>
        <v>8.0893504559270539</v>
      </c>
      <c r="X10" s="10" cm="1">
        <f t="array" ref="X10">INDEX(Tableau3[GHG impact (tCO2eq/MWh)],
       MATCH(1,
             (Tableau3[Resource]=Tableau6[[#This Row],[Marginal supply commodity MED]])*(Tableau3[Scenario]="MED_2050"),
             0))*1000</f>
        <v>24.634426229508197</v>
      </c>
      <c r="Y10" s="10">
        <f>Tableau6[[#This Row],[Total cost (M€/y) MED]]-Tableau6[[#This Row],[Total cost (M€/y) MED +1Mt CO2]]</f>
        <v>794.42565799999284</v>
      </c>
      <c r="Z10" s="10">
        <f>Tableau6[[#This Row],[Marginal Carbon cost (€/tCO2) MED]]*Tableau6[[#This Row],[Marginal emission factor (kgCO2/MWh)]]/1000</f>
        <v>19.570220266829331</v>
      </c>
      <c r="AA10" s="10">
        <f>Tableau6[[#This Row],[Carbon cost of marginal biomass (€/MWh) MED]]+Tableau6[[#This Row],[Marginal supply cost (€/MWh) MED]]</f>
        <v>27.659570722756385</v>
      </c>
      <c r="AB10" s="6">
        <v>263559.30327700003</v>
      </c>
      <c r="AC10" s="6">
        <f>(AB9-Tableau6[[#This Row],[Total cost (M€/y) LOW]])/(Tableau6[[#This Row],[Solid biomass availability (GWh/y)]]-B9)*1000</f>
        <v>562.0947606000002</v>
      </c>
      <c r="AD10" s="6" t="s">
        <v>28</v>
      </c>
      <c r="AE10" s="6">
        <f>Tableau6[[#This Row],[Marginal value of solid biomass (€/MWh) LOW]]</f>
        <v>562.0947606000002</v>
      </c>
      <c r="AF10" s="6" t="s">
        <v>7</v>
      </c>
      <c r="AG10" s="6" cm="1">
        <f t="array" ref="AG10">INDEX(Tableau3[Production cost (M€/GWh)],
       MATCH(1,
             (Tableau3[Resource]=Tableau6[[#This Row],[Marginal supply commodity LOW2]])*(Tableau3[Scenario]="LOW_2050"),
             0))*1000</f>
        <v>8.9389576971213991</v>
      </c>
      <c r="AH10" s="15">
        <v>0.147401</v>
      </c>
      <c r="AI10" s="15">
        <v>0.75337699999999996</v>
      </c>
      <c r="AJ10" s="15">
        <v>0.20925199999999999</v>
      </c>
      <c r="AK10" s="15">
        <v>0.91872200000000004</v>
      </c>
      <c r="AL10" s="15">
        <v>0.16824900000000001</v>
      </c>
      <c r="AM10" s="16">
        <v>34138.635284999997</v>
      </c>
      <c r="AN10" s="16">
        <v>44388.269250999998</v>
      </c>
      <c r="AO10" s="16">
        <v>35431.262170000002</v>
      </c>
      <c r="AP10" s="15">
        <v>0.72536699999999998</v>
      </c>
      <c r="AQ10" s="15">
        <v>4.6732999999999997E-2</v>
      </c>
      <c r="AR10" s="15">
        <v>0.320299</v>
      </c>
      <c r="AS10" s="15">
        <v>0.107822</v>
      </c>
      <c r="AT10" s="16">
        <v>88.817820999999995</v>
      </c>
      <c r="AU10" s="17">
        <v>6337.0618519999998</v>
      </c>
      <c r="AV10" s="16">
        <v>15166.666711</v>
      </c>
      <c r="AW10" s="15">
        <v>3.2419000000000003E-2</v>
      </c>
      <c r="AX10" s="15">
        <v>0.82769599999999999</v>
      </c>
      <c r="AY10" s="16">
        <v>4444.4449759999998</v>
      </c>
      <c r="AZ10" s="15">
        <v>4.7780999999999997E-2</v>
      </c>
      <c r="BA10" s="15">
        <v>0.51862399999999997</v>
      </c>
      <c r="BB10" s="15">
        <v>3.8469000000000003E-2</v>
      </c>
      <c r="BC10" s="11">
        <v>54.987521000000001</v>
      </c>
      <c r="BD10" s="17">
        <v>36509.295514999998</v>
      </c>
      <c r="BE10" s="11">
        <v>194.440293</v>
      </c>
      <c r="BF10" s="11">
        <v>34138.445912000003</v>
      </c>
      <c r="BG10" s="11">
        <v>0.93450200000000005</v>
      </c>
      <c r="BH10" s="11">
        <v>28361.101574</v>
      </c>
      <c r="BI10" s="11">
        <v>12555.552151</v>
      </c>
      <c r="BJ10" s="11">
        <v>14172.544728999999</v>
      </c>
      <c r="BK10" s="11">
        <v>198.36035999999999</v>
      </c>
      <c r="BL10" s="11">
        <v>8.5568000000000005E-2</v>
      </c>
      <c r="BM10" s="11">
        <v>0.44573400000000002</v>
      </c>
      <c r="BN10" s="11">
        <v>0.48348400000000002</v>
      </c>
      <c r="BO10" s="11">
        <v>44.418033999999999</v>
      </c>
      <c r="BP10" s="11">
        <v>4222.1886560000003</v>
      </c>
      <c r="BQ10" s="11">
        <v>6055.5576499999997</v>
      </c>
      <c r="BR10" s="11">
        <v>7.3125999999999997E-2</v>
      </c>
      <c r="BS10" s="11">
        <v>268.76933600000001</v>
      </c>
      <c r="BT10" s="11">
        <v>1722.2252060000001</v>
      </c>
      <c r="BU10" s="11">
        <v>8.7056999999999995E-2</v>
      </c>
      <c r="BV10" s="11">
        <v>1500.001229</v>
      </c>
      <c r="BW10" s="11">
        <v>8.2624000000000003E-2</v>
      </c>
      <c r="BX10" s="11">
        <v>13.742578999999999</v>
      </c>
      <c r="BY10" s="11">
        <v>22194.404494999999</v>
      </c>
      <c r="BZ10" s="11">
        <v>194.445134</v>
      </c>
      <c r="CA10" s="11">
        <v>34138.484462</v>
      </c>
      <c r="CB10" s="11">
        <v>46510.520662000003</v>
      </c>
      <c r="CC10" s="11">
        <v>24709.967893000001</v>
      </c>
      <c r="CD10" s="11">
        <v>3166.6678579999998</v>
      </c>
      <c r="CE10" s="11">
        <v>3543.1402750000002</v>
      </c>
      <c r="CF10" s="11">
        <v>1916.667203</v>
      </c>
      <c r="CG10" s="11">
        <v>4.0001000000000002E-2</v>
      </c>
      <c r="CH10" s="11">
        <v>1.2591019999999999</v>
      </c>
      <c r="CI10" s="11">
        <v>0.85891099999999998</v>
      </c>
      <c r="CJ10" s="11">
        <v>8.8900450000000006</v>
      </c>
      <c r="CK10" s="11">
        <v>1277.778585</v>
      </c>
      <c r="CL10" s="11">
        <v>1472.2236250000001</v>
      </c>
      <c r="CM10" s="11">
        <v>3.3805000000000002E-2</v>
      </c>
      <c r="CN10" s="11">
        <v>100.82791899999999</v>
      </c>
      <c r="CO10" s="11">
        <v>388.89035200000001</v>
      </c>
      <c r="CP10" s="11">
        <v>4.1209000000000003E-2</v>
      </c>
      <c r="CQ10" s="11">
        <v>361.11226900000003</v>
      </c>
      <c r="CR10" s="11">
        <v>3.9267000000000003E-2</v>
      </c>
      <c r="CS10" s="17">
        <v>139999.70452699999</v>
      </c>
      <c r="CT10" s="11">
        <v>2.3200999999999999E-2</v>
      </c>
      <c r="CU10" s="11">
        <v>1.1832000000000001E-2</v>
      </c>
      <c r="CV10" s="11">
        <v>1.0421E-2</v>
      </c>
      <c r="CW10" s="11">
        <v>1.0584E-2</v>
      </c>
      <c r="CX10" s="11">
        <v>2.2457999999999999E-2</v>
      </c>
      <c r="CY10" s="11">
        <v>1.3353E-2</v>
      </c>
      <c r="CZ10" s="11">
        <v>8.5181000000000007E-2</v>
      </c>
      <c r="DA10" s="11">
        <v>1.0423E-2</v>
      </c>
      <c r="DB10" s="11">
        <v>1.6806000000000001E-2</v>
      </c>
      <c r="DC10" s="11">
        <v>1.3889E-2</v>
      </c>
      <c r="DD10" s="11">
        <v>1.5403999999999999E-2</v>
      </c>
      <c r="DE10" s="11">
        <v>4.7688000000000001E-2</v>
      </c>
      <c r="DF10" s="11">
        <v>1.4533000000000001E-2</v>
      </c>
      <c r="DG10" s="11">
        <v>1.1039E-2</v>
      </c>
      <c r="DH10" s="11">
        <v>8.9490000000000004E-3</v>
      </c>
      <c r="DI10" s="17">
        <v>139999.74016099999</v>
      </c>
      <c r="DJ10" s="11">
        <v>2.4580000000000001E-2</v>
      </c>
      <c r="DK10" s="11">
        <v>1.6267E-2</v>
      </c>
      <c r="DL10" s="11">
        <v>1.4341E-2</v>
      </c>
      <c r="DM10" s="11">
        <v>1.4801E-2</v>
      </c>
      <c r="DN10" s="11">
        <v>2.5981000000000001E-2</v>
      </c>
      <c r="DO10" s="11">
        <v>1.7765E-2</v>
      </c>
      <c r="DP10" s="11">
        <v>3.8783999999999999E-2</v>
      </c>
      <c r="DQ10" s="11">
        <v>1.5166000000000001E-2</v>
      </c>
      <c r="DR10" s="11">
        <v>2.0105000000000001E-2</v>
      </c>
      <c r="DS10" s="11">
        <v>1.8069000000000002E-2</v>
      </c>
      <c r="DT10" s="11">
        <v>1.9251999999999998E-2</v>
      </c>
      <c r="DU10" s="11">
        <v>6.5275E-2</v>
      </c>
      <c r="DV10" s="11">
        <v>1.9446999999999999E-2</v>
      </c>
      <c r="DW10" s="11">
        <v>1.5900999999999998E-2</v>
      </c>
      <c r="DX10" s="11">
        <v>1.4402E-2</v>
      </c>
      <c r="DY10" s="17">
        <v>138709.150945</v>
      </c>
      <c r="DZ10" s="11">
        <v>1.8176000000000001E-2</v>
      </c>
      <c r="EA10" s="11">
        <v>1.1390000000000001E-2</v>
      </c>
      <c r="EB10" s="11">
        <v>6.4079999999999996E-3</v>
      </c>
      <c r="EC10" s="11">
        <v>6.8719999999999996E-3</v>
      </c>
      <c r="ED10" s="11">
        <v>2.8695999999999999E-2</v>
      </c>
      <c r="EE10" s="11">
        <v>1.663824</v>
      </c>
      <c r="EF10" s="11">
        <v>1289.0433169999999</v>
      </c>
      <c r="EG10" s="11">
        <v>7.345E-3</v>
      </c>
      <c r="EH10" s="11">
        <v>1.1783999999999999E-2</v>
      </c>
      <c r="EI10" s="11">
        <v>1.009E-2</v>
      </c>
      <c r="EJ10" s="11">
        <v>1.2383E-2</v>
      </c>
      <c r="EK10" s="11">
        <v>3.4851E-2</v>
      </c>
      <c r="EL10" s="11">
        <v>1.1669000000000001E-2</v>
      </c>
      <c r="EM10" s="11">
        <v>1.0807000000000001E-2</v>
      </c>
      <c r="EN10" s="11">
        <v>7.1079999999999997E-3</v>
      </c>
    </row>
    <row r="11" spans="1:144" x14ac:dyDescent="0.3">
      <c r="A11">
        <v>9</v>
      </c>
      <c r="B11" s="6">
        <v>145000</v>
      </c>
      <c r="C11" s="6">
        <v>253847.482353</v>
      </c>
      <c r="D11" s="6">
        <v>253354.14399099999</v>
      </c>
      <c r="E11" s="6">
        <f>(C10-Tableau6[[#This Row],[Total cost (M€/y) HIGH]])/(Tableau6[[#This Row],[Solid biomass availability (GWh/y)]]-B10)*1000</f>
        <v>173.15208320000093</v>
      </c>
      <c r="F11" s="6" t="s">
        <v>35</v>
      </c>
      <c r="G11" s="10">
        <f>AVERAGE($E$11:$E$21)</f>
        <v>151.81926785454533</v>
      </c>
      <c r="H11" s="6" t="s">
        <v>19</v>
      </c>
      <c r="I11" s="11" cm="1">
        <f t="array" ref="I11">INDEX(Tableau3[Production cost (M€/GWh)],
       MATCH(1,
             (Tableau3[Resource]=Tableau6[[#This Row],[Marginal supply commodity HIGH]])*(Tableau3[Scenario]="HIGH_2050"),
             0))*1000</f>
        <v>5.4618157894736798</v>
      </c>
      <c r="J11" s="11" cm="1">
        <f t="array" ref="J11">INDEX(Tableau3[GHG impact (tCO2eq/MWh)],
       MATCH(1,
             (Tableau3[Resource]=Tableau6[[#This Row],[Marginal supply commodity HIGH]])*(Tableau3[Scenario]="HIGH_2050"),
             0))*1000</f>
        <v>24.6344262295082</v>
      </c>
      <c r="K11" s="11">
        <f>(Tableau6[[#This Row],[Total cost (M€/y) HIGH]]-Tableau6[[#This Row],[Total Cost (M€) HIGH +1Mt CO2]])</f>
        <v>493.33836200000951</v>
      </c>
      <c r="L11" s="22">
        <f>Tableau6[[#This Row],[Marginal Carbon cost (€/tCO2) HIGH]]*Tableau6[[#This Row],[Marginal emission factor (kgCO2/MWh) HIGH]]/1000</f>
        <v>12.153107484875646</v>
      </c>
      <c r="M11" s="22">
        <f>(CS11-CS10)*AVERAGE($E$3,E11)/(B11-B10)</f>
        <v>190.27064947882639</v>
      </c>
      <c r="N11" s="22">
        <f>(CS11-CS10)*Tableau6[[#This Row],[Marginal value of solid biomass (€/MWh) HIGH]]/(B11-B10)</f>
        <v>40.149585649484571</v>
      </c>
      <c r="O11" s="22">
        <f>(CS11-CS10)*Tableau6[[#This Row],[Marginal supply cost (€/MWh) HIGH]]/(B11-B10)</f>
        <v>1.2664568441136694</v>
      </c>
      <c r="P11" s="22">
        <f>Tableau6[[#This Row],[Marginal supply cost (€/MWh) HIGH]]+Tableau6[[#This Row],[Carbon cost of marginal biomass (€/MWh) HIGH]]</f>
        <v>17.614923274349326</v>
      </c>
      <c r="Q11" s="6">
        <v>257042.06121000001</v>
      </c>
      <c r="R11" s="6">
        <v>256351.80804999999</v>
      </c>
      <c r="S11" s="6">
        <f>(Q10-Tableau6[[#This Row],[Total cost (M€/y) MED]])/(Tableau6[[#This Row],[Solid biomass availability (GWh/y)]]-B10)*1000</f>
        <v>266.12272899999516</v>
      </c>
      <c r="T11" s="6" t="s">
        <v>35</v>
      </c>
      <c r="U11" s="6">
        <f>AVERAGE($S$11:$S$21)</f>
        <v>182.2126015636361</v>
      </c>
      <c r="V11" s="6" t="s">
        <v>14</v>
      </c>
      <c r="W11" s="10" cm="1">
        <f t="array" ref="W11">INDEX(Tableau3[Production cost (M€/GWh)],
       MATCH(1,
             (Tableau3[Resource]=Tableau6[[#This Row],[Marginal supply commodity MED]])*(Tableau3[Scenario]="MED_2050"),
             0))*1000</f>
        <v>8.1622330434782633</v>
      </c>
      <c r="X11" s="10" cm="1">
        <f t="array" ref="X11">INDEX(Tableau3[GHG impact (tCO2eq/MWh)],
       MATCH(1,
             (Tableau3[Resource]=Tableau6[[#This Row],[Marginal supply commodity MED]])*(Tableau3[Scenario]="MED_2050"),
             0))*1000</f>
        <v>24.634426229508197</v>
      </c>
      <c r="Y11" s="10">
        <f>Tableau6[[#This Row],[Total cost (M€/y) MED]]-Tableau6[[#This Row],[Total cost (M€/y) MED +1Mt CO2]]</f>
        <v>690.25316000002204</v>
      </c>
      <c r="Z11" s="10">
        <f>Tableau6[[#This Row],[Marginal Carbon cost (€/tCO2) MED]]*Tableau6[[#This Row],[Marginal emission factor (kgCO2/MWh)]]/1000</f>
        <v>17.00399054970546</v>
      </c>
      <c r="AA11" s="10">
        <f>Tableau6[[#This Row],[Carbon cost of marginal biomass (€/MWh) MED]]+Tableau6[[#This Row],[Marginal supply cost (€/MWh) MED]]</f>
        <v>25.166223593183723</v>
      </c>
      <c r="AB11" s="6">
        <v>261969.33494</v>
      </c>
      <c r="AC11" s="6">
        <f>(AB10-Tableau6[[#This Row],[Total cost (M€/y) LOW]])/(Tableau6[[#This Row],[Solid biomass availability (GWh/y)]]-B10)*1000</f>
        <v>317.99366740000551</v>
      </c>
      <c r="AD11" s="6" t="s">
        <v>35</v>
      </c>
      <c r="AE11" s="6">
        <f>AVERAGE($AC$11:$AC$20)</f>
        <v>241.96082304000038</v>
      </c>
      <c r="AF11" s="6" t="s">
        <v>16</v>
      </c>
      <c r="AG11" s="6" cm="1">
        <f t="array" ref="AG11">INDEX(Tableau3[Production cost (M€/GWh)],
       MATCH(1,
             (Tableau3[Resource]=Tableau6[[#This Row],[Marginal supply commodity LOW2]])*(Tableau3[Scenario]="LOW_2050"),
             0))*1000</f>
        <v>0.2270113782485994</v>
      </c>
      <c r="AH11" s="15">
        <v>0.42119800000000002</v>
      </c>
      <c r="AI11" s="17">
        <v>1869.1497569999999</v>
      </c>
      <c r="AJ11" s="15">
        <v>0.77691200000000005</v>
      </c>
      <c r="AK11" s="15">
        <v>10.248241999999999</v>
      </c>
      <c r="AL11" s="15">
        <v>0.53994299999999995</v>
      </c>
      <c r="AM11" s="16">
        <v>34138.874713999998</v>
      </c>
      <c r="AN11" s="16">
        <v>44388.806863999998</v>
      </c>
      <c r="AO11" s="16">
        <v>35431.282956000003</v>
      </c>
      <c r="AP11" s="15">
        <v>117.025929</v>
      </c>
      <c r="AQ11" s="15">
        <v>0.159853</v>
      </c>
      <c r="AR11" s="15">
        <v>2.5305019999999998</v>
      </c>
      <c r="AS11" s="15">
        <v>0.30835400000000002</v>
      </c>
      <c r="AT11" s="16">
        <v>88.826397999999998</v>
      </c>
      <c r="AU11" s="16">
        <v>8833.319184</v>
      </c>
      <c r="AV11" s="16">
        <v>15166.66606</v>
      </c>
      <c r="AW11" s="15">
        <v>0.10240200000000001</v>
      </c>
      <c r="AX11" s="16">
        <v>503.93597599999998</v>
      </c>
      <c r="AY11" s="16">
        <v>4444.4448510000002</v>
      </c>
      <c r="AZ11" s="15">
        <v>0.164049</v>
      </c>
      <c r="BA11" s="15">
        <v>2.3283550000000002</v>
      </c>
      <c r="BB11" s="15">
        <v>0.12198199999999999</v>
      </c>
      <c r="BC11" s="11">
        <v>54.985985999999997</v>
      </c>
      <c r="BD11" s="11">
        <v>36553.236080000002</v>
      </c>
      <c r="BE11" s="11">
        <v>0.41025899999999998</v>
      </c>
      <c r="BF11" s="11">
        <v>34138.481387</v>
      </c>
      <c r="BG11" s="11">
        <v>8.4112999999999993E-2</v>
      </c>
      <c r="BH11" s="11">
        <v>28361.111121999998</v>
      </c>
      <c r="BI11" s="11">
        <v>12555.555566000001</v>
      </c>
      <c r="BJ11" s="11">
        <v>14172.544818</v>
      </c>
      <c r="BK11" s="17">
        <v>5349.9585610000004</v>
      </c>
      <c r="BL11" s="11">
        <v>2.1315000000000001E-2</v>
      </c>
      <c r="BM11" s="11">
        <v>0.20094100000000001</v>
      </c>
      <c r="BN11" s="11">
        <v>7.4463000000000001E-2</v>
      </c>
      <c r="BO11" s="11">
        <v>44.416871</v>
      </c>
      <c r="BP11" s="11">
        <v>4222.2220029999999</v>
      </c>
      <c r="BQ11" s="11">
        <v>6055.5559899999998</v>
      </c>
      <c r="BR11" s="11">
        <v>1.6518999999999999E-2</v>
      </c>
      <c r="BS11" s="11">
        <v>268.87485900000001</v>
      </c>
      <c r="BT11" s="11">
        <v>1722.222732</v>
      </c>
      <c r="BU11" s="11">
        <v>2.1828E-2</v>
      </c>
      <c r="BV11" s="11">
        <v>1499.9999310000001</v>
      </c>
      <c r="BW11" s="11">
        <v>1.8461999999999999E-2</v>
      </c>
      <c r="BX11" s="11">
        <v>13.742236999999999</v>
      </c>
      <c r="BY11" s="11">
        <v>22194.444513999999</v>
      </c>
      <c r="BZ11" s="11">
        <v>194.44448499999999</v>
      </c>
      <c r="CA11" s="11">
        <v>34138.483530999998</v>
      </c>
      <c r="CB11" s="11">
        <v>33125.503626999998</v>
      </c>
      <c r="CC11" s="11">
        <v>24709.967186999998</v>
      </c>
      <c r="CD11" s="11">
        <v>3166.6672520000002</v>
      </c>
      <c r="CE11" s="11">
        <v>3543.1398300000001</v>
      </c>
      <c r="CF11" s="11">
        <v>1916.66642</v>
      </c>
      <c r="CG11" s="11">
        <v>8.2221000000000002E-2</v>
      </c>
      <c r="CH11" s="17">
        <v>18385.534319999999</v>
      </c>
      <c r="CI11" s="11">
        <v>1.4011670000000001</v>
      </c>
      <c r="CJ11" s="11">
        <v>8.8897910000000007</v>
      </c>
      <c r="CK11" s="11">
        <v>1277.7781319999999</v>
      </c>
      <c r="CL11" s="11">
        <v>1472.22324</v>
      </c>
      <c r="CM11" s="11">
        <v>6.9099999999999995E-2</v>
      </c>
      <c r="CN11" s="11">
        <v>100.827763</v>
      </c>
      <c r="CO11" s="11">
        <v>388.89005600000002</v>
      </c>
      <c r="CP11" s="11">
        <v>8.4878999999999996E-2</v>
      </c>
      <c r="CQ11" s="11">
        <v>361.11181199999999</v>
      </c>
      <c r="CR11" s="11">
        <v>8.0962999999999993E-2</v>
      </c>
      <c r="CS11" s="11">
        <v>141159.07797799999</v>
      </c>
      <c r="CT11" s="11">
        <v>0.10145</v>
      </c>
      <c r="CU11" s="11">
        <v>4.2258999999999998E-2</v>
      </c>
      <c r="CV11" s="11">
        <v>3.7184000000000002E-2</v>
      </c>
      <c r="CW11" s="11">
        <v>3.8405000000000002E-2</v>
      </c>
      <c r="CX11" s="11">
        <v>9.3418000000000001E-2</v>
      </c>
      <c r="CY11" s="11">
        <v>4.6651999999999999E-2</v>
      </c>
      <c r="CZ11" s="17">
        <v>3840.0879839999998</v>
      </c>
      <c r="DA11" s="11">
        <v>3.6454E-2</v>
      </c>
      <c r="DB11" s="11">
        <v>6.6166000000000003E-2</v>
      </c>
      <c r="DC11" s="11">
        <v>5.4092000000000001E-2</v>
      </c>
      <c r="DD11" s="11">
        <v>5.9061000000000002E-2</v>
      </c>
      <c r="DE11" s="11">
        <v>0.170072</v>
      </c>
      <c r="DF11" s="11">
        <v>5.4335000000000001E-2</v>
      </c>
      <c r="DG11" s="11">
        <v>3.8924E-2</v>
      </c>
      <c r="DH11" s="11">
        <v>3.0086000000000002E-2</v>
      </c>
      <c r="DI11" s="11">
        <v>140708.71737500001</v>
      </c>
      <c r="DJ11" s="11">
        <v>1.1899E-2</v>
      </c>
      <c r="DK11" s="11">
        <v>4.9309999999999996E-3</v>
      </c>
      <c r="DL11" s="11">
        <v>4.1409999999999997E-3</v>
      </c>
      <c r="DM11" s="11">
        <v>4.3449999999999999E-3</v>
      </c>
      <c r="DN11" s="11">
        <v>1.5325999999999999E-2</v>
      </c>
      <c r="DO11" s="11">
        <v>6.1260000000000004E-3</v>
      </c>
      <c r="DP11" s="17">
        <v>4291.1881720000001</v>
      </c>
      <c r="DQ11" s="11">
        <v>4.5500000000000002E-3</v>
      </c>
      <c r="DR11" s="11">
        <v>7.626E-3</v>
      </c>
      <c r="DS11" s="11">
        <v>6.2329999999999998E-3</v>
      </c>
      <c r="DT11" s="11">
        <v>6.9280000000000001E-3</v>
      </c>
      <c r="DU11" s="11">
        <v>2.0011000000000001E-2</v>
      </c>
      <c r="DV11" s="11">
        <v>7.1040000000000001E-3</v>
      </c>
      <c r="DW11" s="11">
        <v>4.8869999999999999E-3</v>
      </c>
      <c r="DX11" s="11">
        <v>4.1570000000000001E-3</v>
      </c>
      <c r="DY11" s="11">
        <v>139885.583828</v>
      </c>
      <c r="DZ11" s="11">
        <v>3.8205999999999997E-2</v>
      </c>
      <c r="EA11" s="11">
        <v>1.6160000000000001E-2</v>
      </c>
      <c r="EB11" s="11">
        <v>1.3180000000000001E-2</v>
      </c>
      <c r="EC11" s="11">
        <v>1.4076999999999999E-2</v>
      </c>
      <c r="ED11" s="11">
        <v>5.7617000000000002E-2</v>
      </c>
      <c r="EE11" s="11">
        <v>2.0813259999999998</v>
      </c>
      <c r="EF11" s="17">
        <v>5112.0139250000002</v>
      </c>
      <c r="EG11" s="11">
        <v>1.4808999999999999E-2</v>
      </c>
      <c r="EH11" s="11">
        <v>2.4497000000000001E-2</v>
      </c>
      <c r="EI11" s="11">
        <v>2.0754000000000002E-2</v>
      </c>
      <c r="EJ11" s="11">
        <v>2.5416999999999999E-2</v>
      </c>
      <c r="EK11" s="11">
        <v>6.8851999999999997E-2</v>
      </c>
      <c r="EL11" s="11">
        <v>2.3796000000000001E-2</v>
      </c>
      <c r="EM11" s="11">
        <v>2.1802999999999999E-2</v>
      </c>
      <c r="EN11" s="11">
        <v>1.4303E-2</v>
      </c>
    </row>
    <row r="12" spans="1:144" x14ac:dyDescent="0.3">
      <c r="A12">
        <v>10</v>
      </c>
      <c r="B12" s="6">
        <v>150000</v>
      </c>
      <c r="C12" s="6">
        <v>253003.05948500001</v>
      </c>
      <c r="D12" s="6">
        <v>252517.94784499999</v>
      </c>
      <c r="E12" s="6">
        <f>(C11-Tableau6[[#This Row],[Total cost (M€/y) HIGH]])/(Tableau6[[#This Row],[Solid biomass availability (GWh/y)]]-B11)*1000</f>
        <v>168.88457359999884</v>
      </c>
      <c r="F12" s="6" t="s">
        <v>35</v>
      </c>
      <c r="G12" s="10">
        <f t="shared" ref="G12:G21" si="2">AVERAGE($E$11:$E$21)</f>
        <v>151.81926785454533</v>
      </c>
      <c r="H12" s="6" t="s">
        <v>7</v>
      </c>
      <c r="I12" s="11" cm="1">
        <f t="array" ref="I12">INDEX(Tableau3[Production cost (M€/GWh)],
       MATCH(1,
             (Tableau3[Resource]=Tableau6[[#This Row],[Marginal supply commodity HIGH]])*(Tableau3[Scenario]="HIGH_2050"),
             0))*1000</f>
        <v>8.0893504559270504</v>
      </c>
      <c r="J12" s="11" cm="1">
        <f t="array" ref="J12">INDEX(Tableau3[GHG impact (tCO2eq/MWh)],
       MATCH(1,
             (Tableau3[Resource]=Tableau6[[#This Row],[Marginal supply commodity HIGH]])*(Tableau3[Scenario]="HIGH_2050"),
             0))*1000</f>
        <v>24.6344262295082</v>
      </c>
      <c r="K12" s="11">
        <f>(Tableau6[[#This Row],[Total cost (M€/y) HIGH]]-Tableau6[[#This Row],[Total Cost (M€) HIGH +1Mt CO2]])</f>
        <v>485.11164000001736</v>
      </c>
      <c r="L12" s="22">
        <f>Tableau6[[#This Row],[Marginal Carbon cost (€/tCO2) HIGH]]*Tableau6[[#This Row],[Marginal emission factor (kgCO2/MWh) HIGH]]/1000</f>
        <v>11.950446908656168</v>
      </c>
      <c r="M12" s="22">
        <f>(CS12-CS11)*AVERAGE($E$3,E12)/(B12-B11)</f>
        <v>38.625656564370068</v>
      </c>
      <c r="N12" s="22" t="s">
        <v>151</v>
      </c>
      <c r="O12" s="22">
        <f>(CS12-CS11)*Tableau6[[#This Row],[Marginal supply cost (€/MWh) HIGH]]/(B12-B11)</f>
        <v>0.38177004146981453</v>
      </c>
      <c r="P12" s="22">
        <f>Tableau6[[#This Row],[Marginal supply cost (€/MWh) HIGH]]+Tableau6[[#This Row],[Carbon cost of marginal biomass (€/MWh) HIGH]]</f>
        <v>20.039797364583219</v>
      </c>
      <c r="Q12" s="6">
        <v>255801.449437</v>
      </c>
      <c r="R12" s="6">
        <v>255101.47139399999</v>
      </c>
      <c r="S12" s="6">
        <f>(Q11-Tableau6[[#This Row],[Total cost (M€/y) MED]])/(Tableau6[[#This Row],[Solid biomass availability (GWh/y)]]-B11)*1000</f>
        <v>248.1223546000023</v>
      </c>
      <c r="T12" s="6" t="s">
        <v>35</v>
      </c>
      <c r="U12" s="6">
        <f t="shared" ref="U12:U21" si="3">AVERAGE($S$11:$S$21)</f>
        <v>182.2126015636361</v>
      </c>
      <c r="V12" s="6" t="s">
        <v>16</v>
      </c>
      <c r="W12" s="10" cm="1">
        <f t="array" ref="W12">INDEX(Tableau3[Production cost (M€/GWh)],
       MATCH(1,
             (Tableau3[Resource]=Tableau6[[#This Row],[Marginal supply commodity MED]])*(Tableau3[Scenario]="MED_2050"),
             0))*1000</f>
        <v>0.19956115953864181</v>
      </c>
      <c r="X12" s="10" cm="1">
        <f t="array" ref="X12">INDEX(Tableau3[GHG impact (tCO2eq/MWh)],
       MATCH(1,
             (Tableau3[Resource]=Tableau6[[#This Row],[Marginal supply commodity MED]])*(Tableau3[Scenario]="MED_2050"),
             0))*1000</f>
        <v>42.264000000000003</v>
      </c>
      <c r="Y12" s="10">
        <f>Tableau6[[#This Row],[Total cost (M€/y) MED]]-Tableau6[[#This Row],[Total cost (M€/y) MED +1Mt CO2]]</f>
        <v>699.97804300001008</v>
      </c>
      <c r="Z12" s="10">
        <f>Tableau6[[#This Row],[Marginal Carbon cost (€/tCO2) MED]]*Tableau6[[#This Row],[Marginal emission factor (kgCO2/MWh)]]/1000</f>
        <v>29.583872009352429</v>
      </c>
      <c r="AA12" s="10">
        <f>Tableau6[[#This Row],[Carbon cost of marginal biomass (€/MWh) MED]]+Tableau6[[#This Row],[Marginal supply cost (€/MWh) MED]]</f>
        <v>29.783433168891072</v>
      </c>
      <c r="AB12" s="6">
        <v>260643.11810200001</v>
      </c>
      <c r="AC12" s="6">
        <f>(AB11-Tableau6[[#This Row],[Total cost (M€/y) LOW]])/(Tableau6[[#This Row],[Solid biomass availability (GWh/y)]]-B11)*1000</f>
        <v>265.24336759999863</v>
      </c>
      <c r="AD12" s="6" t="s">
        <v>35</v>
      </c>
      <c r="AE12" s="6">
        <f t="shared" ref="AE12:AE20" si="4">AVERAGE($AC$11:$AC$20)</f>
        <v>241.96082304000038</v>
      </c>
      <c r="AF12" s="6" t="s">
        <v>10</v>
      </c>
      <c r="AG12" s="6" cm="1">
        <f t="array" ref="AG12">INDEX(Tableau3[Production cost (M€/GWh)],
       MATCH(1,
             (Tableau3[Resource]=Tableau6[[#This Row],[Marginal supply commodity LOW2]])*(Tableau3[Scenario]="LOW_2050"),
             0))*1000</f>
        <v>26.783644315832991</v>
      </c>
      <c r="AH12" s="15">
        <v>0.40298899999999999</v>
      </c>
      <c r="AI12" s="17">
        <v>6870.9334609999996</v>
      </c>
      <c r="AJ12" s="15">
        <v>0.70021199999999995</v>
      </c>
      <c r="AK12" s="15">
        <v>10.657885</v>
      </c>
      <c r="AL12" s="15">
        <v>0.38536399999999998</v>
      </c>
      <c r="AM12" s="16">
        <v>34138.882775999999</v>
      </c>
      <c r="AN12" s="16">
        <v>44388.766803999999</v>
      </c>
      <c r="AO12" s="16">
        <v>35431.211871</v>
      </c>
      <c r="AP12" s="15">
        <v>115.255672</v>
      </c>
      <c r="AQ12" s="15">
        <v>0.104781</v>
      </c>
      <c r="AR12" s="15">
        <v>2.4642559999999998</v>
      </c>
      <c r="AS12" s="15">
        <v>0.29067599999999999</v>
      </c>
      <c r="AT12" s="16">
        <v>88.829177999999999</v>
      </c>
      <c r="AU12" s="16">
        <v>8833.3323779999992</v>
      </c>
      <c r="AV12" s="16">
        <v>15166.666728</v>
      </c>
      <c r="AW12" s="15">
        <v>6.1538000000000002E-2</v>
      </c>
      <c r="AX12" s="16">
        <v>504.12393600000001</v>
      </c>
      <c r="AY12" s="16">
        <v>4444.4451250000002</v>
      </c>
      <c r="AZ12" s="15">
        <v>0.107778</v>
      </c>
      <c r="BA12" s="15">
        <v>2.333609</v>
      </c>
      <c r="BB12" s="15">
        <v>7.3093000000000005E-2</v>
      </c>
      <c r="BC12" s="11">
        <v>54.985297000000003</v>
      </c>
      <c r="BD12" s="11">
        <v>36555.481700999997</v>
      </c>
      <c r="BE12" s="11">
        <v>194.43913800000001</v>
      </c>
      <c r="BF12" s="11">
        <v>34138.475825000001</v>
      </c>
      <c r="BG12" s="11">
        <v>1.313062</v>
      </c>
      <c r="BH12" s="11">
        <v>28361.109232999999</v>
      </c>
      <c r="BI12" s="11">
        <v>12555.553821</v>
      </c>
      <c r="BJ12" s="11">
        <v>14172.544065</v>
      </c>
      <c r="BK12" s="11">
        <v>6388.8838390000001</v>
      </c>
      <c r="BL12" s="11">
        <v>0.1109</v>
      </c>
      <c r="BM12" s="17">
        <v>3763.194692</v>
      </c>
      <c r="BN12" s="11">
        <v>0.358375</v>
      </c>
      <c r="BO12" s="11">
        <v>44.416282000000002</v>
      </c>
      <c r="BP12" s="11">
        <v>4222.2203149999996</v>
      </c>
      <c r="BQ12" s="11">
        <v>6055.5556770000003</v>
      </c>
      <c r="BR12" s="11">
        <v>7.5776999999999997E-2</v>
      </c>
      <c r="BS12" s="11">
        <v>268.87225999999998</v>
      </c>
      <c r="BT12" s="11">
        <v>1722.222745</v>
      </c>
      <c r="BU12" s="11">
        <v>0.114028</v>
      </c>
      <c r="BV12" s="11">
        <v>1499.999376</v>
      </c>
      <c r="BW12" s="11">
        <v>9.919E-2</v>
      </c>
      <c r="BX12" s="11">
        <v>13.746803999999999</v>
      </c>
      <c r="BY12" s="11">
        <v>22194.35713</v>
      </c>
      <c r="BZ12" s="11">
        <v>194.44833</v>
      </c>
      <c r="CA12" s="11">
        <v>34138.487411000002</v>
      </c>
      <c r="CB12" s="17">
        <v>38125.488821999999</v>
      </c>
      <c r="CC12" s="11">
        <v>24709.971380999999</v>
      </c>
      <c r="CD12" s="11">
        <v>3166.6714769999999</v>
      </c>
      <c r="CE12" s="11">
        <v>3543.144382</v>
      </c>
      <c r="CF12" s="11">
        <v>1916.670331</v>
      </c>
      <c r="CG12" s="11">
        <v>0.19550100000000001</v>
      </c>
      <c r="CH12" s="11">
        <v>18385.946231000002</v>
      </c>
      <c r="CI12" s="11">
        <v>0.72662599999999999</v>
      </c>
      <c r="CJ12" s="11">
        <v>8.8945939999999997</v>
      </c>
      <c r="CK12" s="11">
        <v>1277.7822650000001</v>
      </c>
      <c r="CL12" s="11">
        <v>1472.227922</v>
      </c>
      <c r="CM12" s="11">
        <v>0.15409</v>
      </c>
      <c r="CN12" s="11">
        <v>100.832009</v>
      </c>
      <c r="CO12" s="11">
        <v>388.89485999999999</v>
      </c>
      <c r="CP12" s="11">
        <v>0.20267299999999999</v>
      </c>
      <c r="CQ12" s="11">
        <v>361.11613499999999</v>
      </c>
      <c r="CR12" s="11">
        <v>0.18344099999999999</v>
      </c>
      <c r="CS12" s="11">
        <v>141395.04874200001</v>
      </c>
      <c r="CT12" s="11">
        <v>7.2468000000000005E-2</v>
      </c>
      <c r="CU12" s="11">
        <v>3.0251E-2</v>
      </c>
      <c r="CV12" s="11">
        <v>2.4736999999999999E-2</v>
      </c>
      <c r="CW12" s="11">
        <v>2.5586999999999999E-2</v>
      </c>
      <c r="CX12" s="11">
        <v>5.8754000000000001E-2</v>
      </c>
      <c r="CY12" s="11">
        <v>3.1296999999999998E-2</v>
      </c>
      <c r="CZ12" s="17">
        <v>8604.3974699999999</v>
      </c>
      <c r="DA12" s="11">
        <v>2.342E-2</v>
      </c>
      <c r="DB12" s="11">
        <v>4.5256999999999999E-2</v>
      </c>
      <c r="DC12" s="11">
        <v>3.6308E-2</v>
      </c>
      <c r="DD12" s="11">
        <v>4.0548000000000001E-2</v>
      </c>
      <c r="DE12" s="11">
        <v>0.114686</v>
      </c>
      <c r="DF12" s="11">
        <v>3.5570999999999998E-2</v>
      </c>
      <c r="DG12" s="11">
        <v>2.5680000000000001E-2</v>
      </c>
      <c r="DH12" s="11">
        <v>1.9359999999999999E-2</v>
      </c>
      <c r="DI12" s="11">
        <v>141195.28876200001</v>
      </c>
      <c r="DJ12" s="11">
        <v>6.2074999999999998E-2</v>
      </c>
      <c r="DK12" s="11">
        <v>2.2041999999999999E-2</v>
      </c>
      <c r="DL12" s="11">
        <v>1.9824999999999999E-2</v>
      </c>
      <c r="DM12" s="11">
        <v>2.0858000000000002E-2</v>
      </c>
      <c r="DN12" s="11">
        <v>6.8170999999999995E-2</v>
      </c>
      <c r="DO12" s="11">
        <v>2.6710000000000001E-2</v>
      </c>
      <c r="DP12" s="17">
        <v>8804.2192400000004</v>
      </c>
      <c r="DQ12" s="11">
        <v>2.1316000000000002E-2</v>
      </c>
      <c r="DR12" s="11">
        <v>3.7269999999999998E-2</v>
      </c>
      <c r="DS12" s="11">
        <v>2.9801999999999999E-2</v>
      </c>
      <c r="DT12" s="11">
        <v>3.4946999999999999E-2</v>
      </c>
      <c r="DU12" s="11">
        <v>9.7297999999999996E-2</v>
      </c>
      <c r="DV12" s="11">
        <v>3.3896000000000003E-2</v>
      </c>
      <c r="DW12" s="11">
        <v>2.3354E-2</v>
      </c>
      <c r="DX12" s="11">
        <v>2.0056000000000001E-2</v>
      </c>
      <c r="DY12" s="11">
        <v>139947.78299400001</v>
      </c>
      <c r="DZ12" s="11">
        <v>8.8759000000000005E-2</v>
      </c>
      <c r="EA12" s="11">
        <v>4.5171999999999997E-2</v>
      </c>
      <c r="EB12" s="11">
        <v>3.0537000000000002E-2</v>
      </c>
      <c r="EC12" s="11">
        <v>3.3341000000000003E-2</v>
      </c>
      <c r="ED12" s="11">
        <v>0.10698299999999999</v>
      </c>
      <c r="EE12" s="11">
        <v>3.3160750000000001</v>
      </c>
      <c r="EF12" s="17">
        <v>10048.251241</v>
      </c>
      <c r="EG12" s="11">
        <v>3.3563000000000003E-2</v>
      </c>
      <c r="EH12" s="11">
        <v>5.6975999999999999E-2</v>
      </c>
      <c r="EI12" s="11">
        <v>4.8788999999999999E-2</v>
      </c>
      <c r="EJ12" s="11">
        <v>6.0788000000000002E-2</v>
      </c>
      <c r="EK12" s="11">
        <v>0.153137</v>
      </c>
      <c r="EL12" s="11">
        <v>5.3671000000000003E-2</v>
      </c>
      <c r="EM12" s="11">
        <v>4.9865E-2</v>
      </c>
      <c r="EN12" s="11">
        <v>3.0578000000000001E-2</v>
      </c>
    </row>
    <row r="13" spans="1:144" x14ac:dyDescent="0.3">
      <c r="A13">
        <v>11</v>
      </c>
      <c r="B13" s="6">
        <v>155000</v>
      </c>
      <c r="C13" s="6">
        <v>252178.43993200001</v>
      </c>
      <c r="D13" s="6">
        <v>251686.325411</v>
      </c>
      <c r="E13" s="6">
        <f>(C12-Tableau6[[#This Row],[Total cost (M€/y) HIGH]])/(Tableau6[[#This Row],[Solid biomass availability (GWh/y)]]-B12)*1000</f>
        <v>164.92391059999937</v>
      </c>
      <c r="F13" s="6" t="s">
        <v>35</v>
      </c>
      <c r="G13" s="10">
        <f t="shared" si="2"/>
        <v>151.81926785454533</v>
      </c>
      <c r="H13" s="6" t="s">
        <v>7</v>
      </c>
      <c r="I13" s="11" cm="1">
        <f t="array" ref="I13">INDEX(Tableau3[Production cost (M€/GWh)],
       MATCH(1,
             (Tableau3[Resource]=Tableau6[[#This Row],[Marginal supply commodity HIGH]])*(Tableau3[Scenario]="HIGH_2050"),
             0))*1000</f>
        <v>8.0893504559270504</v>
      </c>
      <c r="J13" s="11" cm="1">
        <f t="array" ref="J13">INDEX(Tableau3[GHG impact (tCO2eq/MWh)],
       MATCH(1,
             (Tableau3[Resource]=Tableau6[[#This Row],[Marginal supply commodity HIGH]])*(Tableau3[Scenario]="HIGH_2050"),
             0))*1000</f>
        <v>24.6344262295082</v>
      </c>
      <c r="K13" s="11">
        <f>(Tableau6[[#This Row],[Total cost (M€/y) HIGH]]-Tableau6[[#This Row],[Total Cost (M€) HIGH +1Mt CO2]])</f>
        <v>492.11452100001043</v>
      </c>
      <c r="L13" s="22">
        <f>Tableau6[[#This Row],[Marginal Carbon cost (€/tCO2) HIGH]]*Tableau6[[#This Row],[Marginal emission factor (kgCO2/MWh) HIGH]]/1000</f>
        <v>12.122958864044522</v>
      </c>
      <c r="M13" s="22">
        <f>(CS13-CS12)*AVERAGE($E$3,E13)/(B13-B12)</f>
        <v>38.113778073810877</v>
      </c>
      <c r="N13" s="22">
        <f>(CS13-CS12)*Tableau6[[#This Row],[Marginal value of solid biomass (€/MWh) HIGH]]/(B13-B12)</f>
        <v>7.6989243613731615</v>
      </c>
      <c r="O13" s="22">
        <f>(CS13-CS12)*Tableau6[[#This Row],[Marginal supply cost (€/MWh) HIGH]]/(B13-B12)</f>
        <v>0.37762442732680446</v>
      </c>
      <c r="P13" s="22">
        <f>Tableau6[[#This Row],[Marginal supply cost (€/MWh) HIGH]]+Tableau6[[#This Row],[Carbon cost of marginal biomass (€/MWh) HIGH]]</f>
        <v>20.212309319971574</v>
      </c>
      <c r="Q13" s="6">
        <v>254645.553889</v>
      </c>
      <c r="R13" s="6">
        <v>254077.51574900001</v>
      </c>
      <c r="S13" s="6">
        <f>(Q12-Tableau6[[#This Row],[Total cost (M€/y) MED]])/(Tableau6[[#This Row],[Solid biomass availability (GWh/y)]]-B12)*1000</f>
        <v>231.17910960000006</v>
      </c>
      <c r="T13" s="6" t="s">
        <v>35</v>
      </c>
      <c r="U13" s="6">
        <f t="shared" si="3"/>
        <v>182.2126015636361</v>
      </c>
      <c r="V13" s="6" t="s">
        <v>16</v>
      </c>
      <c r="W13" s="10" cm="1">
        <f t="array" ref="W13">INDEX(Tableau3[Production cost (M€/GWh)],
       MATCH(1,
             (Tableau3[Resource]=Tableau6[[#This Row],[Marginal supply commodity MED]])*(Tableau3[Scenario]="MED_2050"),
             0))*1000</f>
        <v>0.19956115953864181</v>
      </c>
      <c r="X13" s="10" cm="1">
        <f t="array" ref="X13">INDEX(Tableau3[GHG impact (tCO2eq/MWh)],
       MATCH(1,
             (Tableau3[Resource]=Tableau6[[#This Row],[Marginal supply commodity MED]])*(Tableau3[Scenario]="MED_2050"),
             0))*1000</f>
        <v>42.264000000000003</v>
      </c>
      <c r="Y13" s="10">
        <f>Tableau6[[#This Row],[Total cost (M€/y) MED]]-Tableau6[[#This Row],[Total cost (M€/y) MED +1Mt CO2]]</f>
        <v>568.03813999998965</v>
      </c>
      <c r="Z13" s="10">
        <f>Tableau6[[#This Row],[Marginal Carbon cost (€/tCO2) MED]]*Tableau6[[#This Row],[Marginal emission factor (kgCO2/MWh)]]/1000</f>
        <v>24.007563948959564</v>
      </c>
      <c r="AA13" s="10">
        <f>Tableau6[[#This Row],[Carbon cost of marginal biomass (€/MWh) MED]]+Tableau6[[#This Row],[Marginal supply cost (€/MWh) MED]]</f>
        <v>24.207125108498207</v>
      </c>
      <c r="AB13" s="6">
        <v>259373.135541</v>
      </c>
      <c r="AC13" s="6">
        <f>(AB12-Tableau6[[#This Row],[Total cost (M€/y) LOW]])/(Tableau6[[#This Row],[Solid biomass availability (GWh/y)]]-B12)*1000</f>
        <v>253.99651220000231</v>
      </c>
      <c r="AD13" s="6" t="s">
        <v>35</v>
      </c>
      <c r="AE13" s="6">
        <f t="shared" si="4"/>
        <v>241.96082304000038</v>
      </c>
      <c r="AF13" s="6" t="s">
        <v>10</v>
      </c>
      <c r="AG13" s="6" cm="1">
        <f t="array" ref="AG13">INDEX(Tableau3[Production cost (M€/GWh)],
       MATCH(1,
             (Tableau3[Resource]=Tableau6[[#This Row],[Marginal supply commodity LOW2]])*(Tableau3[Scenario]="LOW_2050"),
             0))*1000</f>
        <v>26.783644315832991</v>
      </c>
      <c r="AH13" s="15">
        <v>0.48865199999999998</v>
      </c>
      <c r="AI13" s="17">
        <v>11837.433816000001</v>
      </c>
      <c r="AJ13" s="15">
        <v>0.76581200000000005</v>
      </c>
      <c r="AK13" s="15">
        <v>13.45684</v>
      </c>
      <c r="AL13" s="15">
        <v>0.60274700000000003</v>
      </c>
      <c r="AM13" s="16">
        <v>34138.890617999998</v>
      </c>
      <c r="AN13" s="16">
        <v>44388.876005999999</v>
      </c>
      <c r="AO13" s="16">
        <v>35431.272474999998</v>
      </c>
      <c r="AP13" s="15">
        <v>144.79249999999999</v>
      </c>
      <c r="AQ13" s="15">
        <v>0.15378600000000001</v>
      </c>
      <c r="AR13" s="15">
        <v>2.9890560000000002</v>
      </c>
      <c r="AS13" s="15">
        <v>0.36141499999999999</v>
      </c>
      <c r="AT13" s="16">
        <v>88.826544999999996</v>
      </c>
      <c r="AU13" s="16">
        <v>8833.3357250000008</v>
      </c>
      <c r="AV13" s="16">
        <v>15166.667592</v>
      </c>
      <c r="AW13" s="15">
        <v>9.6048999999999995E-2</v>
      </c>
      <c r="AX13" s="16">
        <v>504.09288800000002</v>
      </c>
      <c r="AY13" s="16">
        <v>4444.4465419999997</v>
      </c>
      <c r="AZ13" s="15">
        <v>0.15776100000000001</v>
      </c>
      <c r="BA13" s="15">
        <v>2.2408779999999999</v>
      </c>
      <c r="BB13" s="15">
        <v>0.121184</v>
      </c>
      <c r="BC13" s="11">
        <v>54.985550000000003</v>
      </c>
      <c r="BD13" s="11">
        <v>36554.940376999999</v>
      </c>
      <c r="BE13" s="11">
        <v>1.556605</v>
      </c>
      <c r="BF13" s="11">
        <v>34138.482444000001</v>
      </c>
      <c r="BG13" s="11">
        <v>0.15110000000000001</v>
      </c>
      <c r="BH13" s="11">
        <v>28361.110935000001</v>
      </c>
      <c r="BI13" s="11">
        <v>12555.555297999999</v>
      </c>
      <c r="BJ13" s="11">
        <v>14172.544476999999</v>
      </c>
      <c r="BK13" s="11">
        <v>6388.8879399999996</v>
      </c>
      <c r="BL13" s="11">
        <v>3.1981999999999997E-2</v>
      </c>
      <c r="BM13" s="17">
        <v>8958.2592629999999</v>
      </c>
      <c r="BN13" s="11">
        <v>0.12706799999999999</v>
      </c>
      <c r="BO13" s="11">
        <v>44.416448000000003</v>
      </c>
      <c r="BP13" s="11">
        <v>4222.221896</v>
      </c>
      <c r="BQ13" s="11">
        <v>6055.5556560000005</v>
      </c>
      <c r="BR13" s="11">
        <v>2.2967999999999999E-2</v>
      </c>
      <c r="BS13" s="11">
        <v>268.87666000000002</v>
      </c>
      <c r="BT13" s="11">
        <v>1722.2224040000001</v>
      </c>
      <c r="BU13" s="11">
        <v>3.2937000000000001E-2</v>
      </c>
      <c r="BV13" s="11">
        <v>1499.9995919999999</v>
      </c>
      <c r="BW13" s="11">
        <v>2.6189E-2</v>
      </c>
      <c r="BX13" s="11">
        <v>13.743975000000001</v>
      </c>
      <c r="BY13" s="11">
        <v>22194.421651000001</v>
      </c>
      <c r="BZ13" s="11">
        <v>194.44583</v>
      </c>
      <c r="CA13" s="11">
        <v>34138.484595000002</v>
      </c>
      <c r="CB13" s="17">
        <v>43123.323069999999</v>
      </c>
      <c r="CC13" s="11">
        <v>24709.968315999999</v>
      </c>
      <c r="CD13" s="11">
        <v>3166.6688250000002</v>
      </c>
      <c r="CE13" s="11">
        <v>3543.1415950000001</v>
      </c>
      <c r="CF13" s="11">
        <v>1916.667731</v>
      </c>
      <c r="CG13" s="11">
        <v>0.14208799999999999</v>
      </c>
      <c r="CH13" s="11">
        <v>18386.112885999999</v>
      </c>
      <c r="CI13" s="11">
        <v>2.8371490000000001</v>
      </c>
      <c r="CJ13" s="11">
        <v>8.8916900000000005</v>
      </c>
      <c r="CK13" s="11">
        <v>1277.779577</v>
      </c>
      <c r="CL13" s="11">
        <v>1472.22513</v>
      </c>
      <c r="CM13" s="11">
        <v>0.111925</v>
      </c>
      <c r="CN13" s="11">
        <v>100.82911799999999</v>
      </c>
      <c r="CO13" s="11">
        <v>388.89204599999999</v>
      </c>
      <c r="CP13" s="11">
        <v>0.14724200000000001</v>
      </c>
      <c r="CQ13" s="11">
        <v>361.11354899999998</v>
      </c>
      <c r="CR13" s="11">
        <v>0.13064200000000001</v>
      </c>
      <c r="CS13" s="11">
        <v>141628.45711600001</v>
      </c>
      <c r="CT13" s="11">
        <v>9.7881999999999997E-2</v>
      </c>
      <c r="CU13" s="11">
        <v>4.3712000000000001E-2</v>
      </c>
      <c r="CV13" s="11">
        <v>3.6131999999999997E-2</v>
      </c>
      <c r="CW13" s="11">
        <v>3.7397E-2</v>
      </c>
      <c r="CX13" s="11">
        <v>8.5555000000000006E-2</v>
      </c>
      <c r="CY13" s="11">
        <v>4.4234000000000002E-2</v>
      </c>
      <c r="CZ13" s="17">
        <v>13370.772406</v>
      </c>
      <c r="DA13" s="11">
        <v>3.4563000000000003E-2</v>
      </c>
      <c r="DB13" s="11">
        <v>6.2700000000000006E-2</v>
      </c>
      <c r="DC13" s="11">
        <v>5.1576999999999998E-2</v>
      </c>
      <c r="DD13" s="11">
        <v>5.6799000000000002E-2</v>
      </c>
      <c r="DE13" s="11">
        <v>0.169743</v>
      </c>
      <c r="DF13" s="11">
        <v>5.1719000000000001E-2</v>
      </c>
      <c r="DG13" s="11">
        <v>3.7613000000000001E-2</v>
      </c>
      <c r="DH13" s="11">
        <v>2.9766999999999998E-2</v>
      </c>
      <c r="DI13" s="11">
        <v>141767.32629500001</v>
      </c>
      <c r="DJ13" s="11">
        <v>1.753E-2</v>
      </c>
      <c r="DK13" s="11">
        <v>6.659E-3</v>
      </c>
      <c r="DL13" s="11">
        <v>6.0910000000000001E-3</v>
      </c>
      <c r="DM13" s="11">
        <v>6.2709999999999997E-3</v>
      </c>
      <c r="DN13" s="11">
        <v>1.9089999999999999E-2</v>
      </c>
      <c r="DO13" s="11">
        <v>8.6090000000000003E-3</v>
      </c>
      <c r="DP13" s="17">
        <v>13232.530194999999</v>
      </c>
      <c r="DQ13" s="11">
        <v>6.3940000000000004E-3</v>
      </c>
      <c r="DR13" s="11">
        <v>1.1077E-2</v>
      </c>
      <c r="DS13" s="11">
        <v>8.8260000000000005E-3</v>
      </c>
      <c r="DT13" s="11">
        <v>1.0055E-2</v>
      </c>
      <c r="DU13" s="11">
        <v>2.8428999999999999E-2</v>
      </c>
      <c r="DV13" s="11">
        <v>9.7850000000000003E-3</v>
      </c>
      <c r="DW13" s="11">
        <v>6.8710000000000004E-3</v>
      </c>
      <c r="DX13" s="11">
        <v>5.6220000000000003E-3</v>
      </c>
      <c r="DY13" s="11">
        <v>140119.09294199999</v>
      </c>
      <c r="DZ13" s="11">
        <v>6.7056000000000004E-2</v>
      </c>
      <c r="EA13" s="11">
        <v>3.0196000000000001E-2</v>
      </c>
      <c r="EB13" s="11">
        <v>2.3616999999999999E-2</v>
      </c>
      <c r="EC13" s="11">
        <v>2.5492999999999998E-2</v>
      </c>
      <c r="ED13" s="11">
        <v>8.9025999999999994E-2</v>
      </c>
      <c r="EE13" s="11">
        <v>2.8509060000000002</v>
      </c>
      <c r="EF13" s="17">
        <v>14877.528547</v>
      </c>
      <c r="EG13" s="11">
        <v>2.622E-2</v>
      </c>
      <c r="EH13" s="11">
        <v>4.3338000000000002E-2</v>
      </c>
      <c r="EI13" s="11">
        <v>3.7414000000000003E-2</v>
      </c>
      <c r="EJ13" s="11">
        <v>4.5411E-2</v>
      </c>
      <c r="EK13" s="11">
        <v>0.114341</v>
      </c>
      <c r="EL13" s="11">
        <v>4.1381000000000001E-2</v>
      </c>
      <c r="EM13" s="11">
        <v>3.8496000000000002E-2</v>
      </c>
      <c r="EN13" s="11">
        <v>2.4291E-2</v>
      </c>
    </row>
    <row r="14" spans="1:144" x14ac:dyDescent="0.3">
      <c r="A14">
        <v>12</v>
      </c>
      <c r="B14" s="6">
        <v>160000</v>
      </c>
      <c r="C14" s="6">
        <v>251327.92093299999</v>
      </c>
      <c r="D14" s="6">
        <v>250849.589664</v>
      </c>
      <c r="E14" s="6">
        <f>(C13-Tableau6[[#This Row],[Total cost (M€/y) HIGH]])/(Tableau6[[#This Row],[Solid biomass availability (GWh/y)]]-B13)*1000</f>
        <v>170.10379980000434</v>
      </c>
      <c r="F14" s="6" t="s">
        <v>35</v>
      </c>
      <c r="G14" s="10">
        <f t="shared" si="2"/>
        <v>151.81926785454533</v>
      </c>
      <c r="H14" s="6" t="s">
        <v>7</v>
      </c>
      <c r="I14" s="11" cm="1">
        <f t="array" ref="I14">INDEX(Tableau3[Production cost (M€/GWh)],
       MATCH(1,
             (Tableau3[Resource]=Tableau6[[#This Row],[Marginal supply commodity HIGH]])*(Tableau3[Scenario]="HIGH_2050"),
             0))*1000</f>
        <v>8.0893504559270504</v>
      </c>
      <c r="J14" s="11" cm="1">
        <f t="array" ref="J14">INDEX(Tableau3[GHG impact (tCO2eq/MWh)],
       MATCH(1,
             (Tableau3[Resource]=Tableau6[[#This Row],[Marginal supply commodity HIGH]])*(Tableau3[Scenario]="HIGH_2050"),
             0))*1000</f>
        <v>24.6344262295082</v>
      </c>
      <c r="K14" s="11">
        <f>(Tableau6[[#This Row],[Total cost (M€/y) HIGH]]-Tableau6[[#This Row],[Total Cost (M€) HIGH +1Mt CO2]])</f>
        <v>478.33126899998751</v>
      </c>
      <c r="L14" s="22">
        <f>Tableau6[[#This Row],[Marginal Carbon cost (€/tCO2) HIGH]]*Tableau6[[#This Row],[Marginal emission factor (kgCO2/MWh) HIGH]]/1000</f>
        <v>11.783416359447235</v>
      </c>
      <c r="M14" s="22">
        <f>(CS14-CS13)*AVERAGE($E$3,E14)/(B14-B13)</f>
        <v>37.996338768878637</v>
      </c>
      <c r="N14" s="22">
        <f>(CS14-CS13)*Tableau6[[#This Row],[Marginal value of solid biomass (€/MWh) HIGH]]/(B14-B13)</f>
        <v>7.8912303989736712</v>
      </c>
      <c r="O14" s="22">
        <f>(CS14-CS13)*Tableau6[[#This Row],[Marginal supply cost (€/MWh) HIGH]]/(B14-B13)</f>
        <v>0.37527044252283326</v>
      </c>
      <c r="P14" s="22">
        <f>Tableau6[[#This Row],[Marginal supply cost (€/MWh) HIGH]]+Tableau6[[#This Row],[Carbon cost of marginal biomass (€/MWh) HIGH]]</f>
        <v>19.872766815374284</v>
      </c>
      <c r="Q14" s="6">
        <v>253680.60125499999</v>
      </c>
      <c r="R14" s="6">
        <v>253131.74914100001</v>
      </c>
      <c r="S14" s="6">
        <f>(Q13-Tableau6[[#This Row],[Total cost (M€/y) MED]])/(Tableau6[[#This Row],[Solid biomass availability (GWh/y)]]-B13)*1000</f>
        <v>192.99052680000315</v>
      </c>
      <c r="T14" s="6" t="s">
        <v>35</v>
      </c>
      <c r="U14" s="6">
        <f t="shared" si="3"/>
        <v>182.2126015636361</v>
      </c>
      <c r="V14" s="6" t="s">
        <v>16</v>
      </c>
      <c r="W14" s="10" cm="1">
        <f t="array" ref="W14">INDEX(Tableau3[Production cost (M€/GWh)],
       MATCH(1,
             (Tableau3[Resource]=Tableau6[[#This Row],[Marginal supply commodity MED]])*(Tableau3[Scenario]="MED_2050"),
             0))*1000</f>
        <v>0.19956115953864181</v>
      </c>
      <c r="X14" s="10" cm="1">
        <f t="array" ref="X14">INDEX(Tableau3[GHG impact (tCO2eq/MWh)],
       MATCH(1,
             (Tableau3[Resource]=Tableau6[[#This Row],[Marginal supply commodity MED]])*(Tableau3[Scenario]="MED_2050"),
             0))*1000</f>
        <v>42.264000000000003</v>
      </c>
      <c r="Y14" s="10">
        <f>Tableau6[[#This Row],[Total cost (M€/y) MED]]-Tableau6[[#This Row],[Total cost (M€/y) MED +1Mt CO2]]</f>
        <v>548.85211399997934</v>
      </c>
      <c r="Z14" s="10">
        <f>Tableau6[[#This Row],[Marginal Carbon cost (€/tCO2) MED]]*Tableau6[[#This Row],[Marginal emission factor (kgCO2/MWh)]]/1000</f>
        <v>23.196685746095127</v>
      </c>
      <c r="AA14" s="10">
        <f>Tableau6[[#This Row],[Carbon cost of marginal biomass (€/MWh) MED]]+Tableau6[[#This Row],[Marginal supply cost (€/MWh) MED]]</f>
        <v>23.39624690563377</v>
      </c>
      <c r="AB14" s="6">
        <v>258073.923193</v>
      </c>
      <c r="AC14" s="6">
        <f>(AB13-Tableau6[[#This Row],[Total cost (M€/y) LOW]])/(Tableau6[[#This Row],[Solid biomass availability (GWh/y)]]-B13)*1000</f>
        <v>259.84246960000019</v>
      </c>
      <c r="AD14" s="6" t="s">
        <v>35</v>
      </c>
      <c r="AE14" s="6">
        <f t="shared" si="4"/>
        <v>241.96082304000038</v>
      </c>
      <c r="AF14" s="6" t="s">
        <v>10</v>
      </c>
      <c r="AG14" s="6" cm="1">
        <f t="array" ref="AG14">INDEX(Tableau3[Production cost (M€/GWh)],
       MATCH(1,
             (Tableau3[Resource]=Tableau6[[#This Row],[Marginal supply commodity LOW2]])*(Tableau3[Scenario]="LOW_2050"),
             0))*1000</f>
        <v>26.783644315832991</v>
      </c>
      <c r="AH14" s="15">
        <v>0.30087799999999998</v>
      </c>
      <c r="AI14" s="17">
        <v>16883.246127999999</v>
      </c>
      <c r="AJ14" s="15">
        <v>0.34329900000000002</v>
      </c>
      <c r="AK14" s="15">
        <v>6.0517209999999997</v>
      </c>
      <c r="AL14" s="15">
        <v>0.22348599999999999</v>
      </c>
      <c r="AM14" s="16">
        <v>34138.863216999998</v>
      </c>
      <c r="AN14" s="16">
        <v>44388.724590999998</v>
      </c>
      <c r="AO14" s="16">
        <v>35431.319871</v>
      </c>
      <c r="AP14" s="15">
        <v>110.787274</v>
      </c>
      <c r="AQ14" s="15">
        <v>6.3361000000000001E-2</v>
      </c>
      <c r="AR14" s="15">
        <v>1.3407709999999999</v>
      </c>
      <c r="AS14" s="15">
        <v>0.137687</v>
      </c>
      <c r="AT14" s="16">
        <v>88.827917999999997</v>
      </c>
      <c r="AU14" s="16">
        <v>8833.3317110000007</v>
      </c>
      <c r="AV14" s="16">
        <v>15166.666612000001</v>
      </c>
      <c r="AW14" s="15">
        <v>3.8068999999999999E-2</v>
      </c>
      <c r="AX14" s="16">
        <v>504.11661099999998</v>
      </c>
      <c r="AY14" s="16">
        <v>4444.4448240000002</v>
      </c>
      <c r="AZ14" s="15">
        <v>6.5009999999999998E-2</v>
      </c>
      <c r="BA14" s="15">
        <v>1.0751189999999999</v>
      </c>
      <c r="BB14" s="15">
        <v>4.9486000000000002E-2</v>
      </c>
      <c r="BC14" s="11">
        <v>54.985354999999998</v>
      </c>
      <c r="BD14" s="11">
        <v>36555.268051999999</v>
      </c>
      <c r="BE14" s="11">
        <v>0.773509</v>
      </c>
      <c r="BF14" s="11">
        <v>34138.344068999999</v>
      </c>
      <c r="BG14" s="11">
        <v>0.27354400000000001</v>
      </c>
      <c r="BH14" s="11">
        <v>28361.101069</v>
      </c>
      <c r="BI14" s="11">
        <v>12555.555550999999</v>
      </c>
      <c r="BJ14" s="11">
        <v>14172.545604999999</v>
      </c>
      <c r="BK14" s="11">
        <v>6388.8865059999998</v>
      </c>
      <c r="BL14" s="11">
        <v>7.2541999999999995E-2</v>
      </c>
      <c r="BM14" s="17">
        <v>13958.571534999999</v>
      </c>
      <c r="BN14" s="11">
        <v>0.18926299999999999</v>
      </c>
      <c r="BO14" s="11">
        <v>44.417392</v>
      </c>
      <c r="BP14" s="11">
        <v>4222.2226680000003</v>
      </c>
      <c r="BQ14" s="11">
        <v>6055.5570230000003</v>
      </c>
      <c r="BR14" s="11">
        <v>4.8280999999999998E-2</v>
      </c>
      <c r="BS14" s="11">
        <v>268.87561599999998</v>
      </c>
      <c r="BT14" s="11">
        <v>1722.2239460000001</v>
      </c>
      <c r="BU14" s="11">
        <v>7.4708999999999998E-2</v>
      </c>
      <c r="BV14" s="11">
        <v>1499.9998350000001</v>
      </c>
      <c r="BW14" s="11">
        <v>5.9042999999999998E-2</v>
      </c>
      <c r="BX14" s="11">
        <v>13.74452</v>
      </c>
      <c r="BY14" s="11">
        <v>22194.434202</v>
      </c>
      <c r="BZ14" s="11">
        <v>194.44627299999999</v>
      </c>
      <c r="CA14" s="11">
        <v>34138.485511999999</v>
      </c>
      <c r="CB14" s="17">
        <v>48125.412104000003</v>
      </c>
      <c r="CC14" s="11">
        <v>24709.969117000001</v>
      </c>
      <c r="CD14" s="11">
        <v>3166.6691470000001</v>
      </c>
      <c r="CE14" s="11">
        <v>3543.1417729999998</v>
      </c>
      <c r="CF14" s="11">
        <v>1916.668586</v>
      </c>
      <c r="CG14" s="11">
        <v>0.13552900000000001</v>
      </c>
      <c r="CH14" s="11">
        <v>18385.872693000001</v>
      </c>
      <c r="CI14" s="11">
        <v>0.99015500000000001</v>
      </c>
      <c r="CJ14" s="11">
        <v>8.8920309999999994</v>
      </c>
      <c r="CK14" s="11">
        <v>1277.780182</v>
      </c>
      <c r="CL14" s="11">
        <v>1472.225207</v>
      </c>
      <c r="CM14" s="11">
        <v>0.108681</v>
      </c>
      <c r="CN14" s="11">
        <v>100.83008700000001</v>
      </c>
      <c r="CO14" s="11">
        <v>388.89206100000001</v>
      </c>
      <c r="CP14" s="11">
        <v>0.14082900000000001</v>
      </c>
      <c r="CQ14" s="11">
        <v>361.11371500000001</v>
      </c>
      <c r="CR14" s="11">
        <v>0.12414600000000001</v>
      </c>
      <c r="CS14" s="11">
        <v>141860.4105</v>
      </c>
      <c r="CT14" s="11">
        <v>3.8843999999999997E-2</v>
      </c>
      <c r="CU14" s="11">
        <v>1.6677999999999998E-2</v>
      </c>
      <c r="CV14" s="11">
        <v>1.455E-2</v>
      </c>
      <c r="CW14" s="11">
        <v>1.5102000000000001E-2</v>
      </c>
      <c r="CX14" s="11">
        <v>3.2543999999999997E-2</v>
      </c>
      <c r="CY14" s="11">
        <v>1.8477E-2</v>
      </c>
      <c r="CZ14" s="17">
        <v>18139.271999000001</v>
      </c>
      <c r="DA14" s="11">
        <v>1.4010999999999999E-2</v>
      </c>
      <c r="DB14" s="11">
        <v>2.5201999999999999E-2</v>
      </c>
      <c r="DC14" s="11">
        <v>2.0809999999999999E-2</v>
      </c>
      <c r="DD14" s="11">
        <v>2.2852999999999998E-2</v>
      </c>
      <c r="DE14" s="11">
        <v>6.8360000000000004E-2</v>
      </c>
      <c r="DF14" s="11">
        <v>2.0577999999999999E-2</v>
      </c>
      <c r="DG14" s="11">
        <v>1.5262E-2</v>
      </c>
      <c r="DH14" s="11">
        <v>1.1886000000000001E-2</v>
      </c>
      <c r="DI14" s="11">
        <v>142319.11644899999</v>
      </c>
      <c r="DJ14" s="11">
        <v>4.1429000000000001E-2</v>
      </c>
      <c r="DK14" s="11">
        <v>1.7017999999999998E-2</v>
      </c>
      <c r="DL14" s="11">
        <v>1.5072E-2</v>
      </c>
      <c r="DM14" s="11">
        <v>1.5401E-2</v>
      </c>
      <c r="DN14" s="11">
        <v>4.3361999999999998E-2</v>
      </c>
      <c r="DO14" s="11">
        <v>2.1189E-2</v>
      </c>
      <c r="DP14" s="17">
        <v>17680.565495999999</v>
      </c>
      <c r="DQ14" s="11">
        <v>1.5507999999999999E-2</v>
      </c>
      <c r="DR14" s="11">
        <v>2.6827E-2</v>
      </c>
      <c r="DS14" s="11">
        <v>2.1406000000000001E-2</v>
      </c>
      <c r="DT14" s="11">
        <v>2.4253E-2</v>
      </c>
      <c r="DU14" s="11">
        <v>6.8443000000000004E-2</v>
      </c>
      <c r="DV14" s="11">
        <v>2.3244000000000001E-2</v>
      </c>
      <c r="DW14" s="11">
        <v>1.6587999999999999E-2</v>
      </c>
      <c r="DX14" s="11">
        <v>1.3443E-2</v>
      </c>
      <c r="DY14" s="11">
        <v>140297.350114</v>
      </c>
      <c r="DZ14" s="11">
        <v>5.9142E-2</v>
      </c>
      <c r="EA14" s="11">
        <v>2.5552999999999999E-2</v>
      </c>
      <c r="EB14" s="11">
        <v>2.0905E-2</v>
      </c>
      <c r="EC14" s="11">
        <v>2.2061000000000001E-2</v>
      </c>
      <c r="ED14" s="11">
        <v>7.3654999999999998E-2</v>
      </c>
      <c r="EE14" s="11">
        <v>3.5564999999999999E-2</v>
      </c>
      <c r="EF14" s="17">
        <v>19702.177479999998</v>
      </c>
      <c r="EG14" s="11">
        <v>2.2946000000000001E-2</v>
      </c>
      <c r="EH14" s="11">
        <v>3.8556E-2</v>
      </c>
      <c r="EI14" s="11">
        <v>3.1704999999999997E-2</v>
      </c>
      <c r="EJ14" s="11">
        <v>3.5744999999999999E-2</v>
      </c>
      <c r="EK14" s="11">
        <v>0.101602</v>
      </c>
      <c r="EL14" s="11">
        <v>3.5663E-2</v>
      </c>
      <c r="EM14" s="11">
        <v>2.4976999999999999E-2</v>
      </c>
      <c r="EN14" s="11">
        <v>2.0896999999999999E-2</v>
      </c>
    </row>
    <row r="15" spans="1:144" x14ac:dyDescent="0.3">
      <c r="A15">
        <v>13</v>
      </c>
      <c r="B15" s="6">
        <v>165000</v>
      </c>
      <c r="C15" s="6">
        <v>250532.85854399999</v>
      </c>
      <c r="D15" s="6">
        <v>250099.74895099999</v>
      </c>
      <c r="E15" s="6">
        <f>(C14-Tableau6[[#This Row],[Total cost (M€/y) HIGH]])/(Tableau6[[#This Row],[Solid biomass availability (GWh/y)]]-B14)*1000</f>
        <v>159.01247779999977</v>
      </c>
      <c r="F15" s="6" t="s">
        <v>35</v>
      </c>
      <c r="G15" s="10">
        <f t="shared" si="2"/>
        <v>151.81926785454533</v>
      </c>
      <c r="H15" s="6" t="s">
        <v>7</v>
      </c>
      <c r="I15" s="11" cm="1">
        <f t="array" ref="I15">INDEX(Tableau3[Production cost (M€/GWh)],
       MATCH(1,
             (Tableau3[Resource]=Tableau6[[#This Row],[Marginal supply commodity HIGH]])*(Tableau3[Scenario]="HIGH_2050"),
             0))*1000</f>
        <v>8.0893504559270504</v>
      </c>
      <c r="J15" s="11" cm="1">
        <f t="array" ref="J15">INDEX(Tableau3[GHG impact (tCO2eq/MWh)],
       MATCH(1,
             (Tableau3[Resource]=Tableau6[[#This Row],[Marginal supply commodity HIGH]])*(Tableau3[Scenario]="HIGH_2050"),
             0))*1000</f>
        <v>24.6344262295082</v>
      </c>
      <c r="K15" s="11">
        <f>(Tableau6[[#This Row],[Total cost (M€/y) HIGH]]-Tableau6[[#This Row],[Total Cost (M€) HIGH +1Mt CO2]])</f>
        <v>433.10959300000104</v>
      </c>
      <c r="L15" s="22">
        <f>Tableau6[[#This Row],[Marginal Carbon cost (€/tCO2) HIGH]]*Tableau6[[#This Row],[Marginal emission factor (kgCO2/MWh) HIGH]]/1000</f>
        <v>10.669406318050848</v>
      </c>
      <c r="M15" s="22">
        <f>(CS15-CS14)*AVERAGE($E$3,E15)/(B15-B14)</f>
        <v>38.549325092605656</v>
      </c>
      <c r="N15" s="22">
        <f>(CS15-CS14)*Tableau6[[#This Row],[Marginal value of solid biomass (€/MWh) HIGH]]/(B15-B14)</f>
        <v>7.5350732425032154</v>
      </c>
      <c r="O15" s="22">
        <f>(CS15-CS14)*Tableau6[[#This Row],[Marginal supply cost (€/MWh) HIGH]]/(B15-B14)</f>
        <v>0.38332745337351881</v>
      </c>
      <c r="P15" s="22">
        <f>Tableau6[[#This Row],[Marginal supply cost (€/MWh) HIGH]]+Tableau6[[#This Row],[Carbon cost of marginal biomass (€/MWh) HIGH]]</f>
        <v>18.7587567739779</v>
      </c>
      <c r="Q15" s="6">
        <v>252762.17050400001</v>
      </c>
      <c r="R15" s="6">
        <v>252252.286192</v>
      </c>
      <c r="S15" s="6">
        <f>(Q14-Tableau6[[#This Row],[Total cost (M€/y) MED]])/(Tableau6[[#This Row],[Solid biomass availability (GWh/y)]]-B14)*1000</f>
        <v>183.68615019999561</v>
      </c>
      <c r="T15" s="6" t="s">
        <v>35</v>
      </c>
      <c r="U15" s="6">
        <f t="shared" si="3"/>
        <v>182.2126015636361</v>
      </c>
      <c r="V15" s="6" t="s">
        <v>16</v>
      </c>
      <c r="W15" s="10" cm="1">
        <f t="array" ref="W15">INDEX(Tableau3[Production cost (M€/GWh)],
       MATCH(1,
             (Tableau3[Resource]=Tableau6[[#This Row],[Marginal supply commodity MED]])*(Tableau3[Scenario]="MED_2050"),
             0))*1000</f>
        <v>0.19956115953864181</v>
      </c>
      <c r="X15" s="10" cm="1">
        <f t="array" ref="X15">INDEX(Tableau3[GHG impact (tCO2eq/MWh)],
       MATCH(1,
             (Tableau3[Resource]=Tableau6[[#This Row],[Marginal supply commodity MED]])*(Tableau3[Scenario]="MED_2050"),
             0))*1000</f>
        <v>42.264000000000003</v>
      </c>
      <c r="Y15" s="10">
        <f>Tableau6[[#This Row],[Total cost (M€/y) MED]]-Tableau6[[#This Row],[Total cost (M€/y) MED +1Mt CO2]]</f>
        <v>509.88431200000923</v>
      </c>
      <c r="Z15" s="10">
        <f>Tableau6[[#This Row],[Marginal Carbon cost (€/tCO2) MED]]*Tableau6[[#This Row],[Marginal emission factor (kgCO2/MWh)]]/1000</f>
        <v>21.549750562368391</v>
      </c>
      <c r="AA15" s="10">
        <f>Tableau6[[#This Row],[Carbon cost of marginal biomass (€/MWh) MED]]+Tableau6[[#This Row],[Marginal supply cost (€/MWh) MED]]</f>
        <v>21.749311721907034</v>
      </c>
      <c r="AB15" s="6">
        <v>256827.431014</v>
      </c>
      <c r="AC15" s="6">
        <f>(AB14-Tableau6[[#This Row],[Total cost (M€/y) LOW]])/(Tableau6[[#This Row],[Solid biomass availability (GWh/y)]]-B14)*1000</f>
        <v>249.29843579999869</v>
      </c>
      <c r="AD15" s="6" t="s">
        <v>35</v>
      </c>
      <c r="AE15" s="6">
        <f t="shared" si="4"/>
        <v>241.96082304000038</v>
      </c>
      <c r="AF15" s="6" t="s">
        <v>10</v>
      </c>
      <c r="AG15" s="6" cm="1">
        <f t="array" ref="AG15">INDEX(Tableau3[Production cost (M€/GWh)],
       MATCH(1,
             (Tableau3[Resource]=Tableau6[[#This Row],[Marginal supply commodity LOW2]])*(Tableau3[Scenario]="LOW_2050"),
             0))*1000</f>
        <v>26.783644315832991</v>
      </c>
      <c r="AH15" s="15">
        <v>0.60356699999999996</v>
      </c>
      <c r="AI15" s="17">
        <v>21851.331608</v>
      </c>
      <c r="AJ15" s="15">
        <v>0.95994100000000004</v>
      </c>
      <c r="AK15" s="15">
        <v>6.7732619999999999</v>
      </c>
      <c r="AL15" s="15">
        <v>0.552481</v>
      </c>
      <c r="AM15" s="16">
        <v>34138.879586000003</v>
      </c>
      <c r="AN15" s="16">
        <v>44388.304185000001</v>
      </c>
      <c r="AO15" s="16">
        <v>35431.303373000002</v>
      </c>
      <c r="AP15" s="15">
        <v>133.30391900000001</v>
      </c>
      <c r="AQ15" s="15">
        <v>0.199571</v>
      </c>
      <c r="AR15" s="15">
        <v>7.178871</v>
      </c>
      <c r="AS15" s="15">
        <v>0.41430299999999998</v>
      </c>
      <c r="AT15" s="16">
        <v>88.828541999999999</v>
      </c>
      <c r="AU15" s="16">
        <v>8833.3016200000002</v>
      </c>
      <c r="AV15" s="16">
        <v>15166.668233</v>
      </c>
      <c r="AW15" s="15">
        <v>0.13039999999999999</v>
      </c>
      <c r="AX15" s="16">
        <v>504.11972400000002</v>
      </c>
      <c r="AY15" s="16">
        <v>4444.4474980000005</v>
      </c>
      <c r="AZ15" s="15">
        <v>0.205234</v>
      </c>
      <c r="BA15" s="15">
        <v>2.4381729999999999</v>
      </c>
      <c r="BB15" s="15">
        <v>0.153863</v>
      </c>
      <c r="BC15" s="11">
        <v>54.980549000000003</v>
      </c>
      <c r="BD15" s="11">
        <v>36555.392634999997</v>
      </c>
      <c r="BE15" s="11">
        <v>1.0135179999999999</v>
      </c>
      <c r="BF15" s="11">
        <v>29473.316127999999</v>
      </c>
      <c r="BG15" s="11">
        <v>0.493396</v>
      </c>
      <c r="BH15" s="11">
        <v>28361.095667000001</v>
      </c>
      <c r="BI15" s="11">
        <v>12555.553712999999</v>
      </c>
      <c r="BJ15" s="11">
        <v>14172.546039000001</v>
      </c>
      <c r="BK15" s="11">
        <v>6388.8746959999999</v>
      </c>
      <c r="BL15" s="11">
        <v>0.14968600000000001</v>
      </c>
      <c r="BM15" s="17">
        <v>23622.645111000002</v>
      </c>
      <c r="BN15" s="11">
        <v>0.38028899999999999</v>
      </c>
      <c r="BO15" s="11">
        <v>44.417648999999997</v>
      </c>
      <c r="BP15" s="11">
        <v>4222.2183100000002</v>
      </c>
      <c r="BQ15" s="11">
        <v>6055.558008</v>
      </c>
      <c r="BR15" s="11">
        <v>8.9758000000000004E-2</v>
      </c>
      <c r="BS15" s="11">
        <v>268.86239999999998</v>
      </c>
      <c r="BT15" s="11">
        <v>1722.225271</v>
      </c>
      <c r="BU15" s="11">
        <v>0.15422</v>
      </c>
      <c r="BV15" s="11">
        <v>1499.9962290000001</v>
      </c>
      <c r="BW15" s="11">
        <v>0.12094100000000001</v>
      </c>
      <c r="BX15" s="11">
        <v>13.741853000000001</v>
      </c>
      <c r="BY15" s="11">
        <v>22194.444488000001</v>
      </c>
      <c r="BZ15" s="11">
        <v>194.444424</v>
      </c>
      <c r="CA15" s="11">
        <v>34138.483505999997</v>
      </c>
      <c r="CB15" s="17">
        <v>53125.925625999997</v>
      </c>
      <c r="CC15" s="11">
        <v>24709.966913</v>
      </c>
      <c r="CD15" s="11">
        <v>3166.6669149999998</v>
      </c>
      <c r="CE15" s="11">
        <v>3543.1392679999999</v>
      </c>
      <c r="CF15" s="11">
        <v>1916.6667190000001</v>
      </c>
      <c r="CG15" s="11">
        <v>3.7143000000000002E-2</v>
      </c>
      <c r="CH15" s="11">
        <v>18386.153064999999</v>
      </c>
      <c r="CI15" s="11">
        <v>0.52191600000000005</v>
      </c>
      <c r="CJ15" s="11">
        <v>8.8892310000000005</v>
      </c>
      <c r="CK15" s="11">
        <v>1277.7779949999999</v>
      </c>
      <c r="CL15" s="11">
        <v>1472.2226310000001</v>
      </c>
      <c r="CM15" s="11">
        <v>2.9446E-2</v>
      </c>
      <c r="CN15" s="11">
        <v>100.827907</v>
      </c>
      <c r="CO15" s="11">
        <v>388.88935300000003</v>
      </c>
      <c r="CP15" s="11">
        <v>3.8559999999999997E-2</v>
      </c>
      <c r="CQ15" s="11">
        <v>361.11138199999999</v>
      </c>
      <c r="CR15" s="11">
        <v>3.4573E-2</v>
      </c>
      <c r="CS15" s="11">
        <v>142097.343895</v>
      </c>
      <c r="CT15" s="11">
        <v>0.16148299999999999</v>
      </c>
      <c r="CU15" s="11">
        <v>5.8994999999999999E-2</v>
      </c>
      <c r="CV15" s="11">
        <v>5.1088000000000001E-2</v>
      </c>
      <c r="CW15" s="11">
        <v>5.3147E-2</v>
      </c>
      <c r="CX15" s="11">
        <v>0.167875</v>
      </c>
      <c r="CY15" s="11">
        <v>5.8945999999999998E-2</v>
      </c>
      <c r="CZ15" s="17">
        <v>22901.478758000001</v>
      </c>
      <c r="DA15" s="11">
        <v>5.0092999999999999E-2</v>
      </c>
      <c r="DB15" s="11">
        <v>0.10562199999999999</v>
      </c>
      <c r="DC15" s="11">
        <v>8.1060999999999994E-2</v>
      </c>
      <c r="DD15" s="11">
        <v>8.5232000000000002E-2</v>
      </c>
      <c r="DE15" s="11">
        <v>0.228661</v>
      </c>
      <c r="DF15" s="11">
        <v>8.1989000000000006E-2</v>
      </c>
      <c r="DG15" s="11">
        <v>5.2136000000000002E-2</v>
      </c>
      <c r="DH15" s="11">
        <v>3.9005999999999999E-2</v>
      </c>
      <c r="DI15" s="11">
        <v>143206.45895900001</v>
      </c>
      <c r="DJ15" s="11">
        <v>8.9190000000000005E-2</v>
      </c>
      <c r="DK15" s="11">
        <v>3.6398E-2</v>
      </c>
      <c r="DL15" s="11">
        <v>3.2446999999999997E-2</v>
      </c>
      <c r="DM15" s="11">
        <v>3.2937000000000001E-2</v>
      </c>
      <c r="DN15" s="11">
        <v>8.4502999999999995E-2</v>
      </c>
      <c r="DO15" s="11">
        <v>4.4259E-2</v>
      </c>
      <c r="DP15" s="17">
        <v>21792.859385</v>
      </c>
      <c r="DQ15" s="11">
        <v>3.2659000000000001E-2</v>
      </c>
      <c r="DR15" s="11">
        <v>5.7393E-2</v>
      </c>
      <c r="DS15" s="11">
        <v>4.5321E-2</v>
      </c>
      <c r="DT15" s="11">
        <v>5.2000999999999999E-2</v>
      </c>
      <c r="DU15" s="11">
        <v>0.14760999999999999</v>
      </c>
      <c r="DV15" s="11">
        <v>4.8332E-2</v>
      </c>
      <c r="DW15" s="11">
        <v>3.4978000000000002E-2</v>
      </c>
      <c r="DX15" s="11">
        <v>2.7871E-2</v>
      </c>
      <c r="DY15" s="11">
        <v>140462.698512</v>
      </c>
      <c r="DZ15" s="11">
        <v>1.6712000000000001E-2</v>
      </c>
      <c r="EA15" s="11">
        <v>6.6759999999999996E-3</v>
      </c>
      <c r="EB15" s="11">
        <v>6.0439999999999999E-3</v>
      </c>
      <c r="EC15" s="11">
        <v>6.3090000000000004E-3</v>
      </c>
      <c r="ED15" s="11">
        <v>2.2586999999999999E-2</v>
      </c>
      <c r="EE15" s="11">
        <v>9.2230000000000003E-3</v>
      </c>
      <c r="EF15" s="17">
        <v>24537.158039000002</v>
      </c>
      <c r="EG15" s="11">
        <v>6.6769999999999998E-3</v>
      </c>
      <c r="EH15" s="11">
        <v>1.0926E-2</v>
      </c>
      <c r="EI15" s="11">
        <v>8.9960000000000005E-3</v>
      </c>
      <c r="EJ15" s="11">
        <v>9.9629999999999996E-3</v>
      </c>
      <c r="EK15" s="11">
        <v>2.8646000000000001E-2</v>
      </c>
      <c r="EL15" s="11">
        <v>1.0274999999999999E-2</v>
      </c>
      <c r="EM15" s="11">
        <v>7.162E-3</v>
      </c>
      <c r="EN15" s="11">
        <v>6.1760000000000001E-3</v>
      </c>
    </row>
    <row r="16" spans="1:144" x14ac:dyDescent="0.3">
      <c r="A16">
        <v>14</v>
      </c>
      <c r="B16" s="6">
        <v>170000</v>
      </c>
      <c r="C16" s="6">
        <v>249790.52653800001</v>
      </c>
      <c r="D16" s="6">
        <v>249371.33559500001</v>
      </c>
      <c r="E16" s="6">
        <f>(C15-Tableau6[[#This Row],[Total cost (M€/y) HIGH]])/(Tableau6[[#This Row],[Solid biomass availability (GWh/y)]]-B15)*1000</f>
        <v>148.46640119999645</v>
      </c>
      <c r="F16" s="6" t="s">
        <v>35</v>
      </c>
      <c r="G16" s="10">
        <f t="shared" si="2"/>
        <v>151.81926785454533</v>
      </c>
      <c r="H16" s="6" t="s">
        <v>7</v>
      </c>
      <c r="I16" s="11" cm="1">
        <f t="array" ref="I16">INDEX(Tableau3[Production cost (M€/GWh)],
       MATCH(1,
             (Tableau3[Resource]=Tableau6[[#This Row],[Marginal supply commodity HIGH]])*(Tableau3[Scenario]="HIGH_2050"),
             0))*1000</f>
        <v>8.0893504559270504</v>
      </c>
      <c r="J16" s="11" cm="1">
        <f t="array" ref="J16">INDEX(Tableau3[GHG impact (tCO2eq/MWh)],
       MATCH(1,
             (Tableau3[Resource]=Tableau6[[#This Row],[Marginal supply commodity HIGH]])*(Tableau3[Scenario]="HIGH_2050"),
             0))*1000</f>
        <v>24.6344262295082</v>
      </c>
      <c r="K16" s="11">
        <f>(Tableau6[[#This Row],[Total cost (M€/y) HIGH]]-Tableau6[[#This Row],[Total Cost (M€) HIGH +1Mt CO2]])</f>
        <v>419.19094299999415</v>
      </c>
      <c r="L16" s="22">
        <f>Tableau6[[#This Row],[Marginal Carbon cost (€/tCO2) HIGH]]*Tableau6[[#This Row],[Marginal emission factor (kgCO2/MWh) HIGH]]/1000</f>
        <v>10.326528361411333</v>
      </c>
      <c r="M16" s="22">
        <f>(CS16-CS15)*AVERAGE($E$3,E16)/(B16-B15)</f>
        <v>-267.53154864885738</v>
      </c>
      <c r="N16" s="22">
        <f>(CS16-CS15)*Tableau6[[#This Row],[Marginal value of solid biomass (€/MWh) HIGH]]/(B16-B15)</f>
        <v>-49.143590461192431</v>
      </c>
      <c r="O16" s="22">
        <f>(CS16-CS15)*Tableau6[[#This Row],[Marginal supply cost (€/MWh) HIGH]]/(B16-B15)</f>
        <v>-2.6776410197188021</v>
      </c>
      <c r="P16" s="22">
        <f>Tableau6[[#This Row],[Marginal supply cost (€/MWh) HIGH]]+Tableau6[[#This Row],[Carbon cost of marginal biomass (€/MWh) HIGH]]</f>
        <v>18.415878817338381</v>
      </c>
      <c r="Q16" s="6">
        <v>251921.111351</v>
      </c>
      <c r="R16" s="6">
        <v>251436.30201799999</v>
      </c>
      <c r="S16" s="6">
        <f>(Q15-Tableau6[[#This Row],[Total cost (M€/y) MED]])/(Tableau6[[#This Row],[Solid biomass availability (GWh/y)]]-B15)*1000</f>
        <v>168.21183060000186</v>
      </c>
      <c r="T16" s="6" t="s">
        <v>35</v>
      </c>
      <c r="U16" s="6">
        <f t="shared" si="3"/>
        <v>182.2126015636361</v>
      </c>
      <c r="V16" s="19" t="s">
        <v>9</v>
      </c>
      <c r="W16" s="10" cm="1">
        <f t="array" ref="W16">INDEX(Tableau3[Production cost (M€/GWh)],
       MATCH(1,
             (Tableau3[Resource]=Tableau6[[#This Row],[Marginal supply commodity MED]])*(Tableau3[Scenario]="MED_2050"),
             0))*1000</f>
        <v>14.87607072643825</v>
      </c>
      <c r="X16" s="10" cm="1">
        <f t="array" ref="X16">INDEX(Tableau3[GHG impact (tCO2eq/MWh)],
       MATCH(1,
             (Tableau3[Resource]=Tableau6[[#This Row],[Marginal supply commodity MED]])*(Tableau3[Scenario]="MED_2050"),
             0))*1000</f>
        <v>13.917873892652425</v>
      </c>
      <c r="Y16" s="10">
        <f>Tableau6[[#This Row],[Total cost (M€/y) MED]]-Tableau6[[#This Row],[Total cost (M€/y) MED +1Mt CO2]]</f>
        <v>484.80933300001197</v>
      </c>
      <c r="Z16" s="10">
        <f>Tableau6[[#This Row],[Marginal Carbon cost (€/tCO2) MED]]*Tableau6[[#This Row],[Marginal emission factor (kgCO2/MWh)]]/1000</f>
        <v>6.7475151586751023</v>
      </c>
      <c r="AA16" s="10">
        <f>Tableau6[[#This Row],[Carbon cost of marginal biomass (€/MWh) MED]]+Tableau6[[#This Row],[Marginal supply cost (€/MWh) MED]]</f>
        <v>21.623585885113354</v>
      </c>
      <c r="AB16" s="6">
        <v>255607.776946</v>
      </c>
      <c r="AC16" s="6">
        <f>(AB15-Tableau6[[#This Row],[Total cost (M€/y) LOW]])/(Tableau6[[#This Row],[Solid biomass availability (GWh/y)]]-B15)*1000</f>
        <v>243.93081360000068</v>
      </c>
      <c r="AD16" s="6" t="s">
        <v>35</v>
      </c>
      <c r="AE16" s="6">
        <f t="shared" si="4"/>
        <v>241.96082304000038</v>
      </c>
      <c r="AF16" s="6" t="s">
        <v>10</v>
      </c>
      <c r="AG16" s="6" cm="1">
        <f t="array" ref="AG16">INDEX(Tableau3[Production cost (M€/GWh)],
       MATCH(1,
             (Tableau3[Resource]=Tableau6[[#This Row],[Marginal supply commodity LOW2]])*(Tableau3[Scenario]="LOW_2050"),
             0))*1000</f>
        <v>26.783644315832991</v>
      </c>
      <c r="AH16" s="15">
        <v>0.566357</v>
      </c>
      <c r="AI16" s="17">
        <v>26791.441798</v>
      </c>
      <c r="AJ16" s="15">
        <v>0.86552200000000001</v>
      </c>
      <c r="AK16" s="15">
        <v>5.4086850000000002</v>
      </c>
      <c r="AL16" s="15">
        <v>0.59672999999999998</v>
      </c>
      <c r="AM16" s="16">
        <v>34138.81637</v>
      </c>
      <c r="AN16" s="16">
        <v>44388.748</v>
      </c>
      <c r="AO16" s="16">
        <v>35431.281150000003</v>
      </c>
      <c r="AP16" s="15">
        <v>187.992482</v>
      </c>
      <c r="AQ16" s="15">
        <v>0.20783599999999999</v>
      </c>
      <c r="AR16" s="15">
        <v>13.807726000000001</v>
      </c>
      <c r="AS16" s="15">
        <v>0.47372399999999998</v>
      </c>
      <c r="AT16" s="16">
        <v>88.823181000000005</v>
      </c>
      <c r="AU16" s="16">
        <v>8833.3308990000005</v>
      </c>
      <c r="AV16" s="16">
        <v>15166.667041000001</v>
      </c>
      <c r="AW16" s="15">
        <v>0.12327399999999999</v>
      </c>
      <c r="AX16" s="16">
        <v>503.79783200000003</v>
      </c>
      <c r="AY16" s="16">
        <v>4444.4459729999999</v>
      </c>
      <c r="AZ16" s="15">
        <v>0.214147</v>
      </c>
      <c r="BA16" s="15">
        <v>2.2944990000000001</v>
      </c>
      <c r="BB16" s="15">
        <v>0.157637</v>
      </c>
      <c r="BC16" s="11">
        <v>54.980159999999998</v>
      </c>
      <c r="BD16" s="11">
        <v>36555.346323999998</v>
      </c>
      <c r="BE16" s="11">
        <v>0.75880599999999998</v>
      </c>
      <c r="BF16" s="11">
        <v>26582.632828999998</v>
      </c>
      <c r="BG16" s="11">
        <v>0.477049</v>
      </c>
      <c r="BH16" s="11">
        <v>28361.108151</v>
      </c>
      <c r="BI16" s="11">
        <v>12555.552121999999</v>
      </c>
      <c r="BJ16" s="11">
        <v>14172.544621999999</v>
      </c>
      <c r="BK16" s="11">
        <v>6388.8797139999997</v>
      </c>
      <c r="BL16" s="11">
        <v>0.154972</v>
      </c>
      <c r="BM16" s="17">
        <v>31513.670101</v>
      </c>
      <c r="BN16" s="11">
        <v>0.30027399999999999</v>
      </c>
      <c r="BO16" s="11">
        <v>44.416646</v>
      </c>
      <c r="BP16" s="11">
        <v>4222.2205910000002</v>
      </c>
      <c r="BQ16" s="11">
        <v>6055.5565470000001</v>
      </c>
      <c r="BR16" s="11">
        <v>8.4513000000000005E-2</v>
      </c>
      <c r="BS16" s="11">
        <v>268.87246699999997</v>
      </c>
      <c r="BT16" s="11">
        <v>1722.223909</v>
      </c>
      <c r="BU16" s="11">
        <v>0.160052</v>
      </c>
      <c r="BV16" s="11">
        <v>1499.9946649999999</v>
      </c>
      <c r="BW16" s="11">
        <v>0.120911</v>
      </c>
      <c r="BX16" s="11">
        <v>13.742240000000001</v>
      </c>
      <c r="BY16" s="11">
        <v>22194.402494999998</v>
      </c>
      <c r="BZ16" s="11">
        <v>194.44437199999999</v>
      </c>
      <c r="CA16" s="11">
        <v>34138.477499000001</v>
      </c>
      <c r="CB16" s="17">
        <v>58128.045615000003</v>
      </c>
      <c r="CC16" s="11">
        <v>24709.965843999998</v>
      </c>
      <c r="CD16" s="11">
        <v>3166.6674290000001</v>
      </c>
      <c r="CE16" s="11">
        <v>3543.1400189999999</v>
      </c>
      <c r="CF16" s="11">
        <v>1916.666786</v>
      </c>
      <c r="CG16" s="11">
        <v>8.9179999999999995E-2</v>
      </c>
      <c r="CH16" s="11">
        <v>18383.220947000002</v>
      </c>
      <c r="CI16" s="11">
        <v>1.2026889999999999</v>
      </c>
      <c r="CJ16" s="11">
        <v>8.8899139999999992</v>
      </c>
      <c r="CK16" s="11">
        <v>1277.778384</v>
      </c>
      <c r="CL16" s="11">
        <v>1472.2234309999999</v>
      </c>
      <c r="CM16" s="11">
        <v>7.4186000000000002E-2</v>
      </c>
      <c r="CN16" s="11">
        <v>100.828073</v>
      </c>
      <c r="CO16" s="11">
        <v>388.89024599999999</v>
      </c>
      <c r="CP16" s="11">
        <v>9.2589000000000005E-2</v>
      </c>
      <c r="CQ16" s="11">
        <v>361.11191700000001</v>
      </c>
      <c r="CR16" s="11">
        <v>8.3484000000000003E-2</v>
      </c>
      <c r="CS16" s="11">
        <v>140442.30308899999</v>
      </c>
      <c r="CT16" s="11">
        <v>0.17507500000000001</v>
      </c>
      <c r="CU16" s="11">
        <v>6.2732999999999997E-2</v>
      </c>
      <c r="CV16" s="11">
        <v>5.4531000000000003E-2</v>
      </c>
      <c r="CW16" s="11">
        <v>5.6432000000000003E-2</v>
      </c>
      <c r="CX16" s="11">
        <v>0.181307</v>
      </c>
      <c r="CY16" s="11">
        <v>5.8606999999999999E-2</v>
      </c>
      <c r="CZ16" s="17">
        <v>29556.401678999999</v>
      </c>
      <c r="DA16" s="11">
        <v>5.2814E-2</v>
      </c>
      <c r="DB16" s="11">
        <v>0.117441</v>
      </c>
      <c r="DC16" s="11">
        <v>8.7827000000000002E-2</v>
      </c>
      <c r="DD16" s="11">
        <v>9.0134000000000006E-2</v>
      </c>
      <c r="DE16" s="11">
        <v>0.24029700000000001</v>
      </c>
      <c r="DF16" s="11">
        <v>8.695E-2</v>
      </c>
      <c r="DG16" s="11">
        <v>5.3586000000000002E-2</v>
      </c>
      <c r="DH16" s="11">
        <v>3.8392999999999997E-2</v>
      </c>
      <c r="DI16" s="11">
        <v>143896.35316900001</v>
      </c>
      <c r="DJ16" s="11">
        <v>9.6188999999999997E-2</v>
      </c>
      <c r="DK16" s="11">
        <v>4.5016E-2</v>
      </c>
      <c r="DL16" s="11">
        <v>3.5124000000000002E-2</v>
      </c>
      <c r="DM16" s="11">
        <v>3.6233000000000001E-2</v>
      </c>
      <c r="DN16" s="11">
        <v>7.8675999999999996E-2</v>
      </c>
      <c r="DO16" s="11">
        <v>4.7780999999999997E-2</v>
      </c>
      <c r="DP16" s="17">
        <v>26102.883032000002</v>
      </c>
      <c r="DQ16" s="11">
        <v>3.4341999999999998E-2</v>
      </c>
      <c r="DR16" s="11">
        <v>6.2191999999999997E-2</v>
      </c>
      <c r="DS16" s="11">
        <v>5.0944999999999997E-2</v>
      </c>
      <c r="DT16" s="11">
        <v>5.6696999999999997E-2</v>
      </c>
      <c r="DU16" s="11">
        <v>0.16059699999999999</v>
      </c>
      <c r="DV16" s="11">
        <v>5.0164E-2</v>
      </c>
      <c r="DW16" s="11">
        <v>3.7019999999999997E-2</v>
      </c>
      <c r="DX16" s="11">
        <v>2.8274000000000001E-2</v>
      </c>
      <c r="DY16" s="11">
        <v>140636.27889300001</v>
      </c>
      <c r="DZ16" s="11">
        <v>4.2006000000000002E-2</v>
      </c>
      <c r="EA16" s="11">
        <v>1.6107E-2</v>
      </c>
      <c r="EB16" s="11">
        <v>1.5029000000000001E-2</v>
      </c>
      <c r="EC16" s="11">
        <v>1.5713999999999999E-2</v>
      </c>
      <c r="ED16" s="11">
        <v>5.5159E-2</v>
      </c>
      <c r="EE16" s="11">
        <v>2.3279999999999999E-2</v>
      </c>
      <c r="EF16" s="17">
        <v>29363.371329000001</v>
      </c>
      <c r="EG16" s="11">
        <v>1.6500000000000001E-2</v>
      </c>
      <c r="EH16" s="11">
        <v>2.7244000000000001E-2</v>
      </c>
      <c r="EI16" s="11">
        <v>2.2397E-2</v>
      </c>
      <c r="EJ16" s="11">
        <v>2.4781000000000001E-2</v>
      </c>
      <c r="EK16" s="11">
        <v>7.0514999999999994E-2</v>
      </c>
      <c r="EL16" s="11">
        <v>2.5616E-2</v>
      </c>
      <c r="EM16" s="11">
        <v>1.7579000000000001E-2</v>
      </c>
      <c r="EN16" s="11">
        <v>1.5214E-2</v>
      </c>
    </row>
    <row r="17" spans="1:144" x14ac:dyDescent="0.3">
      <c r="A17">
        <v>15</v>
      </c>
      <c r="B17" s="6">
        <v>175000</v>
      </c>
      <c r="C17" s="6">
        <v>249069.12671400001</v>
      </c>
      <c r="D17" s="6">
        <v>248684.41003699999</v>
      </c>
      <c r="E17" s="6">
        <f>(C16-Tableau6[[#This Row],[Total cost (M€/y) HIGH]])/(Tableau6[[#This Row],[Solid biomass availability (GWh/y)]]-B16)*1000</f>
        <v>144.27996479999854</v>
      </c>
      <c r="F17" s="6" t="s">
        <v>35</v>
      </c>
      <c r="G17" s="10">
        <f t="shared" si="2"/>
        <v>151.81926785454533</v>
      </c>
      <c r="H17" s="6" t="s">
        <v>7</v>
      </c>
      <c r="I17" s="11" cm="1">
        <f t="array" ref="I17">INDEX(Tableau3[Production cost (M€/GWh)],
       MATCH(1,
             (Tableau3[Resource]=Tableau6[[#This Row],[Marginal supply commodity HIGH]])*(Tableau3[Scenario]="HIGH_2050"),
             0))*1000</f>
        <v>8.0893504559270504</v>
      </c>
      <c r="J17" s="11" cm="1">
        <f t="array" ref="J17">INDEX(Tableau3[GHG impact (tCO2eq/MWh)],
       MATCH(1,
             (Tableau3[Resource]=Tableau6[[#This Row],[Marginal supply commodity HIGH]])*(Tableau3[Scenario]="HIGH_2050"),
             0))*1000</f>
        <v>24.6344262295082</v>
      </c>
      <c r="K17" s="11">
        <f>(Tableau6[[#This Row],[Total cost (M€/y) HIGH]]-Tableau6[[#This Row],[Total Cost (M€) HIGH +1Mt CO2]])</f>
        <v>384.71667700001854</v>
      </c>
      <c r="L17" s="22">
        <f>Tableau6[[#This Row],[Marginal Carbon cost (€/tCO2) HIGH]]*Tableau6[[#This Row],[Marginal emission factor (kgCO2/MWh) HIGH]]/1000</f>
        <v>9.4772745988184912</v>
      </c>
      <c r="M17" s="22">
        <f>(CS17-CS16)*AVERAGE($E$3,E17)/(B17-B16)</f>
        <v>15.313933086214348</v>
      </c>
      <c r="N17" s="22">
        <f>(CS17-CS16)*Tableau6[[#This Row],[Marginal value of solid biomass (€/MWh) HIGH]]/(B17-B16)</f>
        <v>2.7408337714068698</v>
      </c>
      <c r="O17" s="22">
        <f>(CS17-CS16)*Tableau6[[#This Row],[Marginal supply cost (€/MWh) HIGH]]/(B17-B16)</f>
        <v>0.15367043476261399</v>
      </c>
      <c r="P17" s="22">
        <f>Tableau6[[#This Row],[Marginal supply cost (€/MWh) HIGH]]+Tableau6[[#This Row],[Carbon cost of marginal biomass (€/MWh) HIGH]]</f>
        <v>17.566625054745543</v>
      </c>
      <c r="Q17" s="6">
        <v>251092.962875</v>
      </c>
      <c r="R17" s="6">
        <v>250591.66981399999</v>
      </c>
      <c r="S17" s="6">
        <f>(Q16-Tableau6[[#This Row],[Total cost (M€/y) MED]])/(Tableau6[[#This Row],[Solid biomass availability (GWh/y)]]-B16)*1000</f>
        <v>165.62969520000041</v>
      </c>
      <c r="T17" s="6" t="s">
        <v>35</v>
      </c>
      <c r="U17" s="6">
        <f t="shared" si="3"/>
        <v>182.2126015636361</v>
      </c>
      <c r="V17" s="19" t="s">
        <v>9</v>
      </c>
      <c r="W17" s="10" cm="1">
        <f t="array" ref="W17">INDEX(Tableau3[Production cost (M€/GWh)],
       MATCH(1,
             (Tableau3[Resource]=Tableau6[[#This Row],[Marginal supply commodity MED]])*(Tableau3[Scenario]="MED_2050"),
             0))*1000</f>
        <v>14.87607072643825</v>
      </c>
      <c r="X17" s="10" cm="1">
        <f t="array" ref="X17">INDEX(Tableau3[GHG impact (tCO2eq/MWh)],
       MATCH(1,
             (Tableau3[Resource]=Tableau6[[#This Row],[Marginal supply commodity MED]])*(Tableau3[Scenario]="MED_2050"),
             0))*1000</f>
        <v>13.917873892652425</v>
      </c>
      <c r="Y17" s="10">
        <f>Tableau6[[#This Row],[Total cost (M€/y) MED]]-Tableau6[[#This Row],[Total cost (M€/y) MED +1Mt CO2]]</f>
        <v>501.29306100000395</v>
      </c>
      <c r="Z17" s="10">
        <f>Tableau6[[#This Row],[Marginal Carbon cost (€/tCO2) MED]]*Tableau6[[#This Row],[Marginal emission factor (kgCO2/MWh)]]/1000</f>
        <v>6.9769336062597738</v>
      </c>
      <c r="AA17" s="10">
        <f>Tableau6[[#This Row],[Carbon cost of marginal biomass (€/MWh) MED]]+Tableau6[[#This Row],[Marginal supply cost (€/MWh) MED]]</f>
        <v>21.853004332698024</v>
      </c>
      <c r="AB17" s="6">
        <v>254365.46416199999</v>
      </c>
      <c r="AC17" s="6">
        <f>(AB16-Tableau6[[#This Row],[Total cost (M€/y) LOW]])/(Tableau6[[#This Row],[Solid biomass availability (GWh/y)]]-B16)*1000</f>
        <v>248.46255680000175</v>
      </c>
      <c r="AD17" s="6" t="s">
        <v>35</v>
      </c>
      <c r="AE17" s="6">
        <f t="shared" si="4"/>
        <v>241.96082304000038</v>
      </c>
      <c r="AF17" s="6" t="s">
        <v>10</v>
      </c>
      <c r="AG17" s="6" cm="1">
        <f t="array" ref="AG17">INDEX(Tableau3[Production cost (M€/GWh)],
       MATCH(1,
             (Tableau3[Resource]=Tableau6[[#This Row],[Marginal supply commodity LOW2]])*(Tableau3[Scenario]="LOW_2050"),
             0))*1000</f>
        <v>26.783644315832991</v>
      </c>
      <c r="AH17" s="15">
        <v>0.33305800000000002</v>
      </c>
      <c r="AI17" s="17">
        <v>31917.878623000001</v>
      </c>
      <c r="AJ17" s="15">
        <v>0.45966699999999999</v>
      </c>
      <c r="AK17" s="15">
        <v>2.5022340000000001</v>
      </c>
      <c r="AL17" s="15">
        <v>0.32625300000000002</v>
      </c>
      <c r="AM17" s="16">
        <v>34138.745655999999</v>
      </c>
      <c r="AN17" s="16">
        <v>44388.643527</v>
      </c>
      <c r="AO17" s="16">
        <v>35431.284709</v>
      </c>
      <c r="AP17" s="15">
        <v>74.028182999999999</v>
      </c>
      <c r="AQ17" s="15">
        <v>0.116442</v>
      </c>
      <c r="AR17" s="15">
        <v>6.4542039999999998</v>
      </c>
      <c r="AS17" s="15">
        <v>0.211503</v>
      </c>
      <c r="AT17" s="16">
        <v>88.828643</v>
      </c>
      <c r="AU17" s="16">
        <v>8833.3301780000002</v>
      </c>
      <c r="AV17" s="16">
        <v>15166.666902999999</v>
      </c>
      <c r="AW17" s="15">
        <v>6.8506999999999998E-2</v>
      </c>
      <c r="AX17" s="16">
        <v>504.12432000000001</v>
      </c>
      <c r="AY17" s="16">
        <v>4444.4453020000001</v>
      </c>
      <c r="AZ17" s="15">
        <v>0.119949</v>
      </c>
      <c r="BA17" s="15">
        <v>1.3793010000000001</v>
      </c>
      <c r="BB17" s="15">
        <v>8.8022000000000003E-2</v>
      </c>
      <c r="BC17" s="11">
        <v>54.980150000000002</v>
      </c>
      <c r="BD17" s="11">
        <v>36553.163186999998</v>
      </c>
      <c r="BE17" s="11">
        <v>1.023738</v>
      </c>
      <c r="BF17" s="11">
        <v>31587.272540000002</v>
      </c>
      <c r="BG17" s="11">
        <v>0.494919</v>
      </c>
      <c r="BH17" s="11">
        <v>28361.103533000001</v>
      </c>
      <c r="BI17" s="11">
        <v>12555.552776</v>
      </c>
      <c r="BJ17" s="11">
        <v>14172.54571</v>
      </c>
      <c r="BK17" s="11">
        <v>6388.8804239999999</v>
      </c>
      <c r="BL17" s="11">
        <v>0.15787699999999999</v>
      </c>
      <c r="BM17" s="11">
        <v>31510.867710999999</v>
      </c>
      <c r="BN17" s="11">
        <v>0.351134</v>
      </c>
      <c r="BO17" s="11">
        <v>44.417278000000003</v>
      </c>
      <c r="BP17" s="11">
        <v>4222.2219109999996</v>
      </c>
      <c r="BQ17" s="11">
        <v>6055.557828</v>
      </c>
      <c r="BR17" s="11">
        <v>0.111316</v>
      </c>
      <c r="BS17" s="11">
        <v>268.873153</v>
      </c>
      <c r="BT17" s="11">
        <v>1722.2251229999999</v>
      </c>
      <c r="BU17" s="11">
        <v>0.162971</v>
      </c>
      <c r="BV17" s="11">
        <v>1499.9949710000001</v>
      </c>
      <c r="BW17" s="11">
        <v>0.121998</v>
      </c>
      <c r="BX17" s="11">
        <v>13.742205999999999</v>
      </c>
      <c r="BY17" s="11">
        <v>22194.444154000001</v>
      </c>
      <c r="BZ17" s="11">
        <v>194.44473199999999</v>
      </c>
      <c r="CA17" s="11">
        <v>34138.483468999999</v>
      </c>
      <c r="CB17" s="17">
        <v>63125.386509999997</v>
      </c>
      <c r="CC17" s="11">
        <v>24709.967215000001</v>
      </c>
      <c r="CD17" s="11">
        <v>3166.6673030000002</v>
      </c>
      <c r="CE17" s="11">
        <v>3543.1397539999998</v>
      </c>
      <c r="CF17" s="11">
        <v>1916.666995</v>
      </c>
      <c r="CG17" s="11">
        <v>6.2484999999999999E-2</v>
      </c>
      <c r="CH17" s="11">
        <v>18386.113292000002</v>
      </c>
      <c r="CI17" s="11">
        <v>1.059231</v>
      </c>
      <c r="CJ17" s="11">
        <v>8.8897080000000006</v>
      </c>
      <c r="CK17" s="11">
        <v>1277.7783939999999</v>
      </c>
      <c r="CL17" s="11">
        <v>1472.2231469999999</v>
      </c>
      <c r="CM17" s="11">
        <v>7.8829999999999994E-3</v>
      </c>
      <c r="CN17" s="11">
        <v>100.828333</v>
      </c>
      <c r="CO17" s="11">
        <v>388.889928</v>
      </c>
      <c r="CP17" s="11">
        <v>6.4991999999999994E-2</v>
      </c>
      <c r="CQ17" s="11">
        <v>361.11184600000001</v>
      </c>
      <c r="CR17" s="11">
        <v>5.5502000000000003E-2</v>
      </c>
      <c r="CS17" s="11">
        <v>140537.28626200001</v>
      </c>
      <c r="CT17" s="11">
        <v>9.6586000000000005E-2</v>
      </c>
      <c r="CU17" s="11">
        <v>3.9635999999999998E-2</v>
      </c>
      <c r="CV17" s="11">
        <v>3.1281999999999997E-2</v>
      </c>
      <c r="CW17" s="11">
        <v>3.2285000000000001E-2</v>
      </c>
      <c r="CX17" s="11">
        <v>0.102107</v>
      </c>
      <c r="CY17" s="11">
        <v>3.4616000000000001E-2</v>
      </c>
      <c r="CZ17" s="17">
        <v>34461.973695000001</v>
      </c>
      <c r="DA17" s="11">
        <v>3.0054999999999998E-2</v>
      </c>
      <c r="DB17" s="11">
        <v>6.6415000000000002E-2</v>
      </c>
      <c r="DC17" s="11">
        <v>4.9880000000000001E-2</v>
      </c>
      <c r="DD17" s="11">
        <v>5.1004000000000001E-2</v>
      </c>
      <c r="DE17" s="11">
        <v>0.14011599999999999</v>
      </c>
      <c r="DF17" s="11">
        <v>4.8954999999999999E-2</v>
      </c>
      <c r="DG17" s="11">
        <v>3.0516000000000001E-2</v>
      </c>
      <c r="DH17" s="11">
        <v>2.179E-2</v>
      </c>
      <c r="DI17" s="11">
        <v>143988.35600100001</v>
      </c>
      <c r="DJ17" s="11">
        <v>9.6126000000000003E-2</v>
      </c>
      <c r="DK17" s="11">
        <v>4.6734999999999999E-2</v>
      </c>
      <c r="DL17" s="11">
        <v>3.4633999999999998E-2</v>
      </c>
      <c r="DM17" s="11">
        <v>3.5742999999999997E-2</v>
      </c>
      <c r="DN17" s="11">
        <v>8.5448999999999997E-2</v>
      </c>
      <c r="DO17" s="11">
        <v>4.6723000000000001E-2</v>
      </c>
      <c r="DP17" s="17">
        <v>31010.903224999998</v>
      </c>
      <c r="DQ17" s="11">
        <v>3.4195999999999997E-2</v>
      </c>
      <c r="DR17" s="11">
        <v>6.1898000000000002E-2</v>
      </c>
      <c r="DS17" s="11">
        <v>5.0189999999999999E-2</v>
      </c>
      <c r="DT17" s="11">
        <v>5.5614999999999998E-2</v>
      </c>
      <c r="DU17" s="11">
        <v>0.158471</v>
      </c>
      <c r="DV17" s="11">
        <v>5.0481999999999999E-2</v>
      </c>
      <c r="DW17" s="11">
        <v>3.6601000000000002E-2</v>
      </c>
      <c r="DX17" s="11">
        <v>2.8191000000000001E-2</v>
      </c>
      <c r="DY17" s="11">
        <v>140805.13752300001</v>
      </c>
      <c r="DZ17" s="11">
        <v>2.8518999999999999E-2</v>
      </c>
      <c r="EA17" s="11">
        <v>1.3049E-2</v>
      </c>
      <c r="EB17" s="11">
        <v>1.0041E-2</v>
      </c>
      <c r="EC17" s="11">
        <v>1.0600999999999999E-2</v>
      </c>
      <c r="ED17" s="11">
        <v>3.4977000000000001E-2</v>
      </c>
      <c r="EE17" s="11">
        <v>1.6119000000000001E-2</v>
      </c>
      <c r="EF17" s="17">
        <v>34194.625243000002</v>
      </c>
      <c r="EG17" s="11">
        <v>1.0988E-2</v>
      </c>
      <c r="EH17" s="11">
        <v>1.8558000000000002E-2</v>
      </c>
      <c r="EI17" s="11">
        <v>1.5264E-2</v>
      </c>
      <c r="EJ17" s="11">
        <v>1.7413999999999999E-2</v>
      </c>
      <c r="EK17" s="11">
        <v>4.9874000000000002E-2</v>
      </c>
      <c r="EL17" s="11">
        <v>1.7033E-2</v>
      </c>
      <c r="EM17" s="11">
        <v>1.201E-2</v>
      </c>
      <c r="EN17" s="11">
        <v>9.8779999999999996E-3</v>
      </c>
    </row>
    <row r="18" spans="1:144" x14ac:dyDescent="0.3">
      <c r="A18">
        <v>16</v>
      </c>
      <c r="B18" s="6">
        <v>180000</v>
      </c>
      <c r="C18" s="6">
        <v>248373.56453</v>
      </c>
      <c r="D18" s="6">
        <v>247938.12595500011</v>
      </c>
      <c r="E18" s="6">
        <f>(C17-Tableau6[[#This Row],[Total cost (M€/y) HIGH]])/(Tableau6[[#This Row],[Solid biomass availability (GWh/y)]]-B17)*1000</f>
        <v>139.11243680000189</v>
      </c>
      <c r="F18" s="6" t="s">
        <v>35</v>
      </c>
      <c r="G18" s="10">
        <f t="shared" si="2"/>
        <v>151.81926785454533</v>
      </c>
      <c r="H18" s="6" t="s">
        <v>7</v>
      </c>
      <c r="I18" s="11" cm="1">
        <f t="array" ref="I18">INDEX(Tableau3[Production cost (M€/GWh)],
       MATCH(1,
             (Tableau3[Resource]=Tableau6[[#This Row],[Marginal supply commodity HIGH]])*(Tableau3[Scenario]="HIGH_2050"),
             0))*1000</f>
        <v>8.0893504559270504</v>
      </c>
      <c r="J18" s="11" cm="1">
        <f t="array" ref="J18">INDEX(Tableau3[GHG impact (tCO2eq/MWh)],
       MATCH(1,
             (Tableau3[Resource]=Tableau6[[#This Row],[Marginal supply commodity HIGH]])*(Tableau3[Scenario]="HIGH_2050"),
             0))*1000</f>
        <v>24.6344262295082</v>
      </c>
      <c r="K18" s="11">
        <f>(Tableau6[[#This Row],[Total cost (M€/y) HIGH]]-Tableau6[[#This Row],[Total Cost (M€) HIGH +1Mt CO2]])</f>
        <v>435.43857499989099</v>
      </c>
      <c r="L18" s="22">
        <f>Tableau6[[#This Row],[Marginal Carbon cost (€/tCO2) HIGH]]*Tableau6[[#This Row],[Marginal emission factor (kgCO2/MWh) HIGH]]/1000</f>
        <v>10.72677945331699</v>
      </c>
      <c r="M18" s="22">
        <f>(CS18-CS17)*AVERAGE($E$3,E18)/(B18-B17)</f>
        <v>35.848042589927189</v>
      </c>
      <c r="N18" s="22">
        <f>(CS18-CS17)*Tableau6[[#This Row],[Marginal value of solid biomass (€/MWh) HIGH]]/(B18-B17)</f>
        <v>6.2060536483648541</v>
      </c>
      <c r="O18" s="22">
        <f>(CS18-CS17)*Tableau6[[#This Row],[Marginal supply cost (€/MWh) HIGH]]/(B18-B17)</f>
        <v>0.36088033582564116</v>
      </c>
      <c r="P18" s="22">
        <f>Tableau6[[#This Row],[Marginal supply cost (€/MWh) HIGH]]+Tableau6[[#This Row],[Carbon cost of marginal biomass (€/MWh) HIGH]]</f>
        <v>18.81612990924404</v>
      </c>
      <c r="Q18" s="6">
        <v>250301.60540100001</v>
      </c>
      <c r="R18" s="6">
        <v>249843.394088</v>
      </c>
      <c r="S18" s="6">
        <f>(Q17-Tableau6[[#This Row],[Total cost (M€/y) MED]])/(Tableau6[[#This Row],[Solid biomass availability (GWh/y)]]-B17)*1000</f>
        <v>158.2714947999979</v>
      </c>
      <c r="T18" s="6" t="s">
        <v>35</v>
      </c>
      <c r="U18" s="6">
        <f t="shared" si="3"/>
        <v>182.2126015636361</v>
      </c>
      <c r="V18" s="19" t="s">
        <v>10</v>
      </c>
      <c r="W18" s="10" cm="1">
        <f t="array" ref="W18">INDEX(Tableau3[Production cost (M€/GWh)],
       MATCH(1,
             (Tableau3[Resource]=Tableau6[[#This Row],[Marginal supply commodity MED]])*(Tableau3[Scenario]="MED_2050"),
             0))*1000</f>
        <v>24.51298899676376</v>
      </c>
      <c r="X18" s="10" cm="1">
        <f t="array" ref="X18">INDEX(Tableau3[GHG impact (tCO2eq/MWh)],
       MATCH(1,
             (Tableau3[Resource]=Tableau6[[#This Row],[Marginal supply commodity MED]])*(Tableau3[Scenario]="MED_2050"),
             0))*1000</f>
        <v>13.917873892652425</v>
      </c>
      <c r="Y18" s="10">
        <f>Tableau6[[#This Row],[Total cost (M€/y) MED]]-Tableau6[[#This Row],[Total cost (M€/y) MED +1Mt CO2]]</f>
        <v>458.21131300000707</v>
      </c>
      <c r="Z18" s="10">
        <f>Tableau6[[#This Row],[Marginal Carbon cost (€/tCO2) MED]]*Tableau6[[#This Row],[Marginal emission factor (kgCO2/MWh)]]/1000</f>
        <v>6.3773272705207873</v>
      </c>
      <c r="AA18" s="10">
        <f>Tableau6[[#This Row],[Carbon cost of marginal biomass (€/MWh) MED]]+Tableau6[[#This Row],[Marginal supply cost (€/MWh) MED]]</f>
        <v>30.890316267284547</v>
      </c>
      <c r="AB18" s="6">
        <v>253195.40676700001</v>
      </c>
      <c r="AC18" s="6">
        <f>(AB17-Tableau6[[#This Row],[Total cost (M€/y) LOW]])/(Tableau6[[#This Row],[Solid biomass availability (GWh/y)]]-B17)*1000</f>
        <v>234.01147899999634</v>
      </c>
      <c r="AD18" s="6" t="s">
        <v>35</v>
      </c>
      <c r="AE18" s="6">
        <f t="shared" si="4"/>
        <v>241.96082304000038</v>
      </c>
      <c r="AF18" s="6" t="s">
        <v>10</v>
      </c>
      <c r="AG18" s="6" cm="1">
        <f t="array" ref="AG18">INDEX(Tableau3[Production cost (M€/GWh)],
       MATCH(1,
             (Tableau3[Resource]=Tableau6[[#This Row],[Marginal supply commodity LOW2]])*(Tableau3[Scenario]="LOW_2050"),
             0))*1000</f>
        <v>26.783644315832991</v>
      </c>
      <c r="AH18" s="15">
        <v>0.21181900000000001</v>
      </c>
      <c r="AI18" s="17">
        <v>36926.258476000003</v>
      </c>
      <c r="AJ18" s="15">
        <v>0.29976000000000003</v>
      </c>
      <c r="AK18" s="15">
        <v>2.273768</v>
      </c>
      <c r="AL18" s="15">
        <v>0.31240600000000002</v>
      </c>
      <c r="AM18" s="16">
        <v>34138.729805000003</v>
      </c>
      <c r="AN18" s="16">
        <v>44388.580995999997</v>
      </c>
      <c r="AO18" s="16">
        <v>35431.324146999999</v>
      </c>
      <c r="AP18" s="15">
        <v>67.915595999999994</v>
      </c>
      <c r="AQ18" s="15">
        <v>0.119806</v>
      </c>
      <c r="AR18" s="15">
        <v>5.2148599999999998</v>
      </c>
      <c r="AS18" s="15">
        <v>0.101298</v>
      </c>
      <c r="AT18" s="16">
        <v>88.827477999999999</v>
      </c>
      <c r="AU18" s="16">
        <v>8833.3293859999994</v>
      </c>
      <c r="AV18" s="16">
        <v>15166.666493999999</v>
      </c>
      <c r="AW18" s="15">
        <v>7.3361999999999997E-2</v>
      </c>
      <c r="AX18" s="16">
        <v>504.12475599999999</v>
      </c>
      <c r="AY18" s="16">
        <v>4444.4448899999998</v>
      </c>
      <c r="AZ18" s="15">
        <v>0.123497</v>
      </c>
      <c r="BA18" s="15">
        <v>1.0009429999999999</v>
      </c>
      <c r="BB18" s="15">
        <v>9.1343999999999995E-2</v>
      </c>
      <c r="BC18" s="11">
        <v>54.986783000000003</v>
      </c>
      <c r="BD18" s="11">
        <v>36555.461479999998</v>
      </c>
      <c r="BE18" s="11">
        <v>194.444016</v>
      </c>
      <c r="BF18" s="11">
        <v>34138.484534000003</v>
      </c>
      <c r="BG18" s="17">
        <v>2248.0367849999998</v>
      </c>
      <c r="BH18" s="11">
        <v>28361.112373</v>
      </c>
      <c r="BI18" s="11">
        <v>12555.55668</v>
      </c>
      <c r="BJ18" s="11">
        <v>14172.545709</v>
      </c>
      <c r="BK18" s="11">
        <v>6388.8900679999997</v>
      </c>
      <c r="BL18" s="11">
        <v>0.21702199999999999</v>
      </c>
      <c r="BM18" s="11">
        <v>31515.362709000001</v>
      </c>
      <c r="BN18" s="11">
        <v>1.17313</v>
      </c>
      <c r="BO18" s="11">
        <v>44.417611000000001</v>
      </c>
      <c r="BP18" s="11">
        <v>4222.2234639999997</v>
      </c>
      <c r="BQ18" s="11">
        <v>6055.5569340000002</v>
      </c>
      <c r="BR18" s="11">
        <v>9.6669000000000005E-2</v>
      </c>
      <c r="BS18" s="11">
        <v>268.87858999999997</v>
      </c>
      <c r="BT18" s="11">
        <v>1722.223696</v>
      </c>
      <c r="BU18" s="11">
        <v>0.22944999999999999</v>
      </c>
      <c r="BV18" s="11">
        <v>1500.0010050000001</v>
      </c>
      <c r="BW18" s="11">
        <v>0.13994000000000001</v>
      </c>
      <c r="BX18" s="11">
        <v>13.741835</v>
      </c>
      <c r="BY18" s="11">
        <v>22194.444804999999</v>
      </c>
      <c r="BZ18" s="11">
        <v>194.44436899999999</v>
      </c>
      <c r="CA18" s="11">
        <v>34138.483590999997</v>
      </c>
      <c r="CB18" s="17">
        <v>68126.034509000005</v>
      </c>
      <c r="CC18" s="11">
        <v>24709.966999</v>
      </c>
      <c r="CD18" s="11">
        <v>3166.6669889999998</v>
      </c>
      <c r="CE18" s="11">
        <v>3543.1393429999998</v>
      </c>
      <c r="CF18" s="11">
        <v>1916.6668420000001</v>
      </c>
      <c r="CG18" s="11">
        <v>4.3503E-2</v>
      </c>
      <c r="CH18" s="11">
        <v>18386.154323999999</v>
      </c>
      <c r="CI18" s="11">
        <v>0.39060499999999998</v>
      </c>
      <c r="CJ18" s="11">
        <v>8.8892670000000003</v>
      </c>
      <c r="CK18" s="11">
        <v>1277.778092</v>
      </c>
      <c r="CL18" s="11">
        <v>1472.2227049999999</v>
      </c>
      <c r="CM18" s="11">
        <v>3.3570000000000003E-2</v>
      </c>
      <c r="CN18" s="11">
        <v>100.82796</v>
      </c>
      <c r="CO18" s="11">
        <v>388.88942800000001</v>
      </c>
      <c r="CP18" s="11">
        <v>4.5433000000000001E-2</v>
      </c>
      <c r="CQ18" s="11">
        <v>361.11143299999998</v>
      </c>
      <c r="CR18" s="11">
        <v>3.9114000000000003E-2</v>
      </c>
      <c r="CS18" s="11">
        <v>140760.34516999999</v>
      </c>
      <c r="CT18" s="11">
        <v>0.100468</v>
      </c>
      <c r="CU18" s="11">
        <v>3.5763000000000003E-2</v>
      </c>
      <c r="CV18" s="11">
        <v>2.9409000000000001E-2</v>
      </c>
      <c r="CW18" s="11">
        <v>3.0518E-2</v>
      </c>
      <c r="CX18" s="11">
        <v>0.112235</v>
      </c>
      <c r="CY18" s="11">
        <v>3.2097000000000001E-2</v>
      </c>
      <c r="CZ18" s="17">
        <v>39238.914725000002</v>
      </c>
      <c r="DA18" s="11">
        <v>2.8804E-2</v>
      </c>
      <c r="DB18" s="11">
        <v>6.6198000000000007E-2</v>
      </c>
      <c r="DC18" s="11">
        <v>4.8087999999999999E-2</v>
      </c>
      <c r="DD18" s="11">
        <v>5.0195999999999998E-2</v>
      </c>
      <c r="DE18" s="11">
        <v>0.13238900000000001</v>
      </c>
      <c r="DF18" s="11">
        <v>4.8825E-2</v>
      </c>
      <c r="DG18" s="11">
        <v>2.9184999999999999E-2</v>
      </c>
      <c r="DH18" s="11">
        <v>2.0830999999999999E-2</v>
      </c>
      <c r="DI18" s="11">
        <v>144072.93504499999</v>
      </c>
      <c r="DJ18" s="11">
        <v>9.1946E-2</v>
      </c>
      <c r="DK18" s="11">
        <v>3.7383E-2</v>
      </c>
      <c r="DL18" s="11">
        <v>2.9564E-2</v>
      </c>
      <c r="DM18" s="11">
        <v>3.0800999999999999E-2</v>
      </c>
      <c r="DN18" s="11">
        <v>9.0642E-2</v>
      </c>
      <c r="DO18" s="11">
        <v>3.5314999999999999E-2</v>
      </c>
      <c r="DP18" s="17">
        <v>35926.367682999997</v>
      </c>
      <c r="DQ18" s="11">
        <v>2.9100999999999998E-2</v>
      </c>
      <c r="DR18" s="11">
        <v>5.9635000000000001E-2</v>
      </c>
      <c r="DS18" s="11">
        <v>4.6412000000000002E-2</v>
      </c>
      <c r="DT18" s="11">
        <v>4.938E-2</v>
      </c>
      <c r="DU18" s="11">
        <v>0.136239</v>
      </c>
      <c r="DV18" s="11">
        <v>4.6522000000000001E-2</v>
      </c>
      <c r="DW18" s="11">
        <v>3.0477000000000001E-2</v>
      </c>
      <c r="DX18" s="11">
        <v>2.2529E-2</v>
      </c>
      <c r="DY18" s="11">
        <v>140990.70038299999</v>
      </c>
      <c r="DZ18" s="11">
        <v>1.8797999999999999E-2</v>
      </c>
      <c r="EA18" s="11">
        <v>7.3619999999999996E-3</v>
      </c>
      <c r="EB18" s="11">
        <v>6.803E-3</v>
      </c>
      <c r="EC18" s="11">
        <v>7.0920000000000002E-3</v>
      </c>
      <c r="ED18" s="11">
        <v>2.1007999999999999E-2</v>
      </c>
      <c r="EE18" s="11">
        <v>7.724E-3</v>
      </c>
      <c r="EF18" s="17">
        <v>39009.147171999997</v>
      </c>
      <c r="EG18" s="11">
        <v>7.2839999999999997E-3</v>
      </c>
      <c r="EH18" s="11">
        <v>1.2318000000000001E-2</v>
      </c>
      <c r="EI18" s="11">
        <v>1.0111999999999999E-2</v>
      </c>
      <c r="EJ18" s="11">
        <v>1.1214999999999999E-2</v>
      </c>
      <c r="EK18" s="11">
        <v>3.1996999999999998E-2</v>
      </c>
      <c r="EL18" s="11">
        <v>1.1121000000000001E-2</v>
      </c>
      <c r="EM18" s="11">
        <v>7.8189999999999996E-3</v>
      </c>
      <c r="EN18" s="11">
        <v>6.5129999999999997E-3</v>
      </c>
    </row>
    <row r="19" spans="1:144" x14ac:dyDescent="0.3">
      <c r="A19">
        <v>17</v>
      </c>
      <c r="B19" s="6">
        <v>185000</v>
      </c>
      <c r="C19" s="6">
        <v>247696.32881599999</v>
      </c>
      <c r="D19" s="6">
        <v>247287.02397499999</v>
      </c>
      <c r="E19" s="6">
        <f>(C18-Tableau6[[#This Row],[Total cost (M€/y) HIGH]])/(Tableau6[[#This Row],[Solid biomass availability (GWh/y)]]-B18)*1000</f>
        <v>135.4471428000019</v>
      </c>
      <c r="F19" s="6" t="s">
        <v>35</v>
      </c>
      <c r="G19" s="10">
        <f t="shared" si="2"/>
        <v>151.81926785454533</v>
      </c>
      <c r="H19" s="6" t="s">
        <v>7</v>
      </c>
      <c r="I19" s="11" cm="1">
        <f t="array" ref="I19">INDEX(Tableau3[Production cost (M€/GWh)],
       MATCH(1,
             (Tableau3[Resource]=Tableau6[[#This Row],[Marginal supply commodity HIGH]])*(Tableau3[Scenario]="HIGH_2050"),
             0))*1000</f>
        <v>8.0893504559270504</v>
      </c>
      <c r="J19" s="11" cm="1">
        <f t="array" ref="J19">INDEX(Tableau3[GHG impact (tCO2eq/MWh)],
       MATCH(1,
             (Tableau3[Resource]=Tableau6[[#This Row],[Marginal supply commodity HIGH]])*(Tableau3[Scenario]="HIGH_2050"),
             0))*1000</f>
        <v>24.6344262295082</v>
      </c>
      <c r="K19" s="11">
        <f>(Tableau6[[#This Row],[Total cost (M€/y) HIGH]]-Tableau6[[#This Row],[Total Cost (M€) HIGH +1Mt CO2]])</f>
        <v>409.30484100000467</v>
      </c>
      <c r="L19" s="22">
        <f>Tableau6[[#This Row],[Marginal Carbon cost (€/tCO2) HIGH]]*Tableau6[[#This Row],[Marginal emission factor (kgCO2/MWh) HIGH]]/1000</f>
        <v>10.082989910995199</v>
      </c>
      <c r="M19" s="22">
        <f>(CS19-CS18)*AVERAGE($E$3,E19)/(B19-B18)</f>
        <v>46.908238270671376</v>
      </c>
      <c r="N19" s="22">
        <f>(CS19-CS18)*Tableau6[[#This Row],[Marginal value of solid biomass (€/MWh) HIGH]]/(B19-B18)</f>
        <v>7.9249166995453253</v>
      </c>
      <c r="O19" s="22">
        <f>(CS19-CS18)*Tableau6[[#This Row],[Marginal supply cost (€/MWh) HIGH]]/(B19-B18)</f>
        <v>0.47330218409487168</v>
      </c>
      <c r="P19" s="22">
        <f>Tableau6[[#This Row],[Marginal supply cost (€/MWh) HIGH]]+Tableau6[[#This Row],[Carbon cost of marginal biomass (€/MWh) HIGH]]</f>
        <v>18.172340366922249</v>
      </c>
      <c r="Q19" s="6">
        <v>249614.485021</v>
      </c>
      <c r="R19" s="6">
        <v>249158.070332</v>
      </c>
      <c r="S19" s="6">
        <f>(Q18-Tableau6[[#This Row],[Total cost (M€/y) MED]])/(Tableau6[[#This Row],[Solid biomass availability (GWh/y)]]-B18)*1000</f>
        <v>137.42407600000149</v>
      </c>
      <c r="T19" s="6" t="s">
        <v>35</v>
      </c>
      <c r="U19" s="6">
        <f t="shared" si="3"/>
        <v>182.2126015636361</v>
      </c>
      <c r="V19" s="19" t="s">
        <v>10</v>
      </c>
      <c r="W19" s="10" cm="1">
        <f t="array" ref="W19">INDEX(Tableau3[Production cost (M€/GWh)],
       MATCH(1,
             (Tableau3[Resource]=Tableau6[[#This Row],[Marginal supply commodity MED]])*(Tableau3[Scenario]="MED_2050"),
             0))*1000</f>
        <v>24.51298899676376</v>
      </c>
      <c r="X19" s="10" cm="1">
        <f t="array" ref="X19">INDEX(Tableau3[GHG impact (tCO2eq/MWh)],
       MATCH(1,
             (Tableau3[Resource]=Tableau6[[#This Row],[Marginal supply commodity MED]])*(Tableau3[Scenario]="MED_2050"),
             0))*1000</f>
        <v>13.917873892652425</v>
      </c>
      <c r="Y19" s="10">
        <f>Tableau6[[#This Row],[Total cost (M€/y) MED]]-Tableau6[[#This Row],[Total cost (M€/y) MED +1Mt CO2]]</f>
        <v>456.41468899999745</v>
      </c>
      <c r="Z19" s="10">
        <f>Tableau6[[#This Row],[Marginal Carbon cost (€/tCO2) MED]]*Tableau6[[#This Row],[Marginal emission factor (kgCO2/MWh)]]/1000</f>
        <v>6.3523220842561408</v>
      </c>
      <c r="AA19" s="10">
        <f>Tableau6[[#This Row],[Carbon cost of marginal biomass (€/MWh) MED]]+Tableau6[[#This Row],[Marginal supply cost (€/MWh) MED]]</f>
        <v>30.8653110810199</v>
      </c>
      <c r="AB19" s="6">
        <v>252225.88427000001</v>
      </c>
      <c r="AC19" s="6">
        <f>(AB18-Tableau6[[#This Row],[Total cost (M€/y) LOW]])/(Tableau6[[#This Row],[Solid biomass availability (GWh/y)]]-B18)*1000</f>
        <v>193.90449939999962</v>
      </c>
      <c r="AD19" s="6" t="s">
        <v>35</v>
      </c>
      <c r="AE19" s="6">
        <f t="shared" si="4"/>
        <v>241.96082304000038</v>
      </c>
      <c r="AF19" s="6" t="s">
        <v>10</v>
      </c>
      <c r="AG19" s="6" cm="1">
        <f t="array" ref="AG19">INDEX(Tableau3[Production cost (M€/GWh)],
       MATCH(1,
             (Tableau3[Resource]=Tableau6[[#This Row],[Marginal supply commodity LOW2]])*(Tableau3[Scenario]="LOW_2050"),
             0))*1000</f>
        <v>26.783644315832991</v>
      </c>
      <c r="AH19" s="15">
        <v>0.20949599999999999</v>
      </c>
      <c r="AI19" s="17">
        <v>41566.454594000003</v>
      </c>
      <c r="AJ19" s="15">
        <v>0.33967900000000001</v>
      </c>
      <c r="AK19" s="15">
        <v>2.0328349999999999</v>
      </c>
      <c r="AL19" s="15">
        <v>0.33210899999999999</v>
      </c>
      <c r="AM19" s="16">
        <v>34138.443173</v>
      </c>
      <c r="AN19" s="16">
        <v>44388.053466999998</v>
      </c>
      <c r="AO19" s="16">
        <v>35431.336014</v>
      </c>
      <c r="AP19" s="15">
        <v>85.223225999999997</v>
      </c>
      <c r="AQ19" s="15">
        <v>0.13320199999999999</v>
      </c>
      <c r="AR19" s="17">
        <v>348.67147299999999</v>
      </c>
      <c r="AS19" s="15">
        <v>0.17650199999999999</v>
      </c>
      <c r="AT19" s="16">
        <v>88.827658999999997</v>
      </c>
      <c r="AU19" s="16">
        <v>8833.3297149999999</v>
      </c>
      <c r="AV19" s="16">
        <v>15166.66633</v>
      </c>
      <c r="AW19" s="15">
        <v>7.7743000000000007E-2</v>
      </c>
      <c r="AX19" s="16">
        <v>504.12718699999999</v>
      </c>
      <c r="AY19" s="16">
        <v>4444.4448249999996</v>
      </c>
      <c r="AZ19" s="15">
        <v>0.13744700000000001</v>
      </c>
      <c r="BA19" s="15">
        <v>0.90683899999999995</v>
      </c>
      <c r="BB19" s="15">
        <v>0.100939</v>
      </c>
      <c r="BC19" s="11">
        <v>54.988123000000002</v>
      </c>
      <c r="BD19" s="11">
        <v>36555.542173000002</v>
      </c>
      <c r="BE19" s="11">
        <v>194.44413599999999</v>
      </c>
      <c r="BF19" s="11">
        <v>34138.478833000001</v>
      </c>
      <c r="BG19" s="17">
        <v>7246.9423930000003</v>
      </c>
      <c r="BH19" s="11">
        <v>28361.110542999999</v>
      </c>
      <c r="BI19" s="11">
        <v>12555.557332</v>
      </c>
      <c r="BJ19" s="11">
        <v>14172.546596</v>
      </c>
      <c r="BK19" s="11">
        <v>6388.8903540000001</v>
      </c>
      <c r="BL19" s="11">
        <v>0.39140200000000003</v>
      </c>
      <c r="BM19" s="11">
        <v>31515.364823</v>
      </c>
      <c r="BN19" s="11">
        <v>1.681684</v>
      </c>
      <c r="BO19" s="11">
        <v>44.418996</v>
      </c>
      <c r="BP19" s="11">
        <v>4222.2235449999998</v>
      </c>
      <c r="BQ19" s="11">
        <v>6055.5582679999998</v>
      </c>
      <c r="BR19" s="11">
        <v>0.174707</v>
      </c>
      <c r="BS19" s="11">
        <v>268.87680899999998</v>
      </c>
      <c r="BT19" s="11">
        <v>1722.2252599999999</v>
      </c>
      <c r="BU19" s="11">
        <v>0.41533999999999999</v>
      </c>
      <c r="BV19" s="11">
        <v>1500.0016909999999</v>
      </c>
      <c r="BW19" s="11">
        <v>0.25172800000000001</v>
      </c>
      <c r="BX19" s="11">
        <v>13.741745999999999</v>
      </c>
      <c r="BY19" s="11">
        <v>22194.444433000001</v>
      </c>
      <c r="BZ19" s="11">
        <v>194.44436899999999</v>
      </c>
      <c r="CA19" s="11">
        <v>34138.483337999998</v>
      </c>
      <c r="CB19" s="17">
        <v>73126.328469999993</v>
      </c>
      <c r="CC19" s="11">
        <v>24709.966731</v>
      </c>
      <c r="CD19" s="11">
        <v>3166.6667520000001</v>
      </c>
      <c r="CE19" s="11">
        <v>3543.1390449999999</v>
      </c>
      <c r="CF19" s="11">
        <v>1916.6667150000001</v>
      </c>
      <c r="CG19" s="11">
        <v>3.0981000000000002E-2</v>
      </c>
      <c r="CH19" s="11">
        <v>18386.14518</v>
      </c>
      <c r="CI19" s="11">
        <v>0.15082100000000001</v>
      </c>
      <c r="CJ19" s="11">
        <v>8.8890589999999996</v>
      </c>
      <c r="CK19" s="11">
        <v>1277.7778920000001</v>
      </c>
      <c r="CL19" s="11">
        <v>1472.222401</v>
      </c>
      <c r="CM19" s="11">
        <v>2.1534000000000001E-2</v>
      </c>
      <c r="CN19" s="11">
        <v>100.827877</v>
      </c>
      <c r="CO19" s="11">
        <v>388.88910399999997</v>
      </c>
      <c r="CP19" s="11">
        <v>3.2642999999999998E-2</v>
      </c>
      <c r="CQ19" s="11">
        <v>361.11121300000002</v>
      </c>
      <c r="CR19" s="11">
        <v>2.6079000000000001E-2</v>
      </c>
      <c r="CS19" s="11">
        <v>141052.89163999999</v>
      </c>
      <c r="CT19" s="11">
        <v>0.123269</v>
      </c>
      <c r="CU19" s="11">
        <v>4.4755000000000003E-2</v>
      </c>
      <c r="CV19" s="11">
        <v>3.4391999999999999E-2</v>
      </c>
      <c r="CW19" s="11">
        <v>3.6001999999999999E-2</v>
      </c>
      <c r="CX19" s="11">
        <v>0.14049900000000001</v>
      </c>
      <c r="CY19" s="11">
        <v>3.4474999999999999E-2</v>
      </c>
      <c r="CZ19" s="17">
        <v>43946.216386</v>
      </c>
      <c r="DA19" s="11">
        <v>3.2735E-2</v>
      </c>
      <c r="DB19" s="11">
        <v>8.3317000000000002E-2</v>
      </c>
      <c r="DC19" s="11">
        <v>5.8609000000000001E-2</v>
      </c>
      <c r="DD19" s="11">
        <v>6.0718000000000001E-2</v>
      </c>
      <c r="DE19" s="11">
        <v>0.154916</v>
      </c>
      <c r="DF19" s="11">
        <v>5.7610000000000001E-2</v>
      </c>
      <c r="DG19" s="11">
        <v>3.3037999999999998E-2</v>
      </c>
      <c r="DH19" s="11">
        <v>2.2107000000000002E-2</v>
      </c>
      <c r="DI19" s="11">
        <v>144147.088063</v>
      </c>
      <c r="DJ19" s="11">
        <v>0.207431</v>
      </c>
      <c r="DK19" s="11">
        <v>9.0160000000000004E-2</v>
      </c>
      <c r="DL19" s="11">
        <v>6.3551999999999997E-2</v>
      </c>
      <c r="DM19" s="11">
        <v>6.6640000000000005E-2</v>
      </c>
      <c r="DN19" s="11">
        <v>0.22942000000000001</v>
      </c>
      <c r="DO19" s="11">
        <v>7.6246999999999995E-2</v>
      </c>
      <c r="DP19" s="17">
        <v>40851.332265999998</v>
      </c>
      <c r="DQ19" s="11">
        <v>6.2128000000000003E-2</v>
      </c>
      <c r="DR19" s="11">
        <v>0.139962</v>
      </c>
      <c r="DS19" s="11">
        <v>0.104709</v>
      </c>
      <c r="DT19" s="11">
        <v>0.11051</v>
      </c>
      <c r="DU19" s="11">
        <v>0.29965000000000003</v>
      </c>
      <c r="DV19" s="11">
        <v>0.103391</v>
      </c>
      <c r="DW19" s="11">
        <v>6.5305000000000002E-2</v>
      </c>
      <c r="DX19" s="11">
        <v>4.5339999999999998E-2</v>
      </c>
      <c r="DY19" s="11">
        <v>141176.45368599999</v>
      </c>
      <c r="DZ19" s="11">
        <v>1.3431E-2</v>
      </c>
      <c r="EA19" s="11">
        <v>5.0889999999999998E-3</v>
      </c>
      <c r="EB19" s="11">
        <v>4.8419999999999999E-3</v>
      </c>
      <c r="EC19" s="11">
        <v>5.006E-3</v>
      </c>
      <c r="ED19" s="11">
        <v>1.409E-2</v>
      </c>
      <c r="EE19" s="11">
        <v>7.5440000000000004E-3</v>
      </c>
      <c r="EF19" s="17">
        <v>43823.434350000003</v>
      </c>
      <c r="EG19" s="11">
        <v>4.9820000000000003E-3</v>
      </c>
      <c r="EH19" s="11">
        <v>8.7170000000000008E-3</v>
      </c>
      <c r="EI19" s="11">
        <v>7.1279999999999998E-3</v>
      </c>
      <c r="EJ19" s="11">
        <v>7.9410000000000001E-3</v>
      </c>
      <c r="EK19" s="11">
        <v>2.2235000000000001E-2</v>
      </c>
      <c r="EL19" s="11">
        <v>7.5440000000000004E-3</v>
      </c>
      <c r="EM19" s="11">
        <v>5.476E-3</v>
      </c>
      <c r="EN19" s="11">
        <v>4.3280000000000002E-3</v>
      </c>
    </row>
    <row r="20" spans="1:144" x14ac:dyDescent="0.3">
      <c r="A20">
        <v>18</v>
      </c>
      <c r="B20" s="6">
        <v>190000</v>
      </c>
      <c r="C20" s="6">
        <v>247014.71740699999</v>
      </c>
      <c r="D20" s="6">
        <v>246592.87163899999</v>
      </c>
      <c r="E20" s="6">
        <f>(C19-Tableau6[[#This Row],[Total cost (M€/y) HIGH]])/(Tableau6[[#This Row],[Solid biomass availability (GWh/y)]]-B19)*1000</f>
        <v>136.32228180000092</v>
      </c>
      <c r="F20" s="6" t="s">
        <v>35</v>
      </c>
      <c r="G20" s="10">
        <f t="shared" si="2"/>
        <v>151.81926785454533</v>
      </c>
      <c r="H20" s="6" t="s">
        <v>16</v>
      </c>
      <c r="I20" s="11" cm="1">
        <f t="array" ref="I20">INDEX(Tableau3[Production cost (M€/GWh)],
       MATCH(1,
             (Tableau3[Resource]=Tableau6[[#This Row],[Marginal supply commodity HIGH]])*(Tableau3[Scenario]="HIGH_2050"),
             0))*1000</f>
        <v>0.19956115953864198</v>
      </c>
      <c r="J20" s="11" cm="1">
        <f t="array" ref="J20">INDEX(Tableau3[GHG impact (tCO2eq/MWh)],
       MATCH(1,
             (Tableau3[Resource]=Tableau6[[#This Row],[Marginal supply commodity HIGH]])*(Tableau3[Scenario]="HIGH_2050"),
             0))*1000</f>
        <v>42.264000000000003</v>
      </c>
      <c r="K20" s="11">
        <f>(Tableau6[[#This Row],[Total cost (M€/y) HIGH]]-Tableau6[[#This Row],[Total Cost (M€) HIGH +1Mt CO2]])</f>
        <v>421.84576799999923</v>
      </c>
      <c r="L20" s="22">
        <f>Tableau6[[#This Row],[Marginal Carbon cost (€/tCO2) HIGH]]*Tableau6[[#This Row],[Marginal emission factor (kgCO2/MWh) HIGH]]/1000</f>
        <v>17.828889538751969</v>
      </c>
      <c r="M20" s="22">
        <f>(CS20-CS19)*AVERAGE($E$3,E20)/(B20-B19)</f>
        <v>358.1271553232213</v>
      </c>
      <c r="N20" s="22">
        <f>(CS20-CS19)*Tableau6[[#This Row],[Marginal value of solid biomass (€/MWh) HIGH]]/(B20-B19)</f>
        <v>60.861530255662103</v>
      </c>
      <c r="O20" s="22">
        <f>(CS20-CS19)*Tableau6[[#This Row],[Marginal supply cost (€/MWh) HIGH]]/(B20-B19)</f>
        <v>8.9094734835314271E-2</v>
      </c>
      <c r="P20" s="22">
        <f>Tableau6[[#This Row],[Marginal supply cost (€/MWh) HIGH]]+Tableau6[[#This Row],[Carbon cost of marginal biomass (€/MWh) HIGH]]</f>
        <v>18.028450698290612</v>
      </c>
      <c r="Q20" s="6">
        <v>248934.861474</v>
      </c>
      <c r="R20" s="6">
        <v>248521.40051499999</v>
      </c>
      <c r="S20" s="6">
        <f>(Q19-Tableau6[[#This Row],[Total cost (M€/y) MED]])/(Tableau6[[#This Row],[Solid biomass availability (GWh/y)]]-B19)*1000</f>
        <v>135.92470939999913</v>
      </c>
      <c r="T20" s="6" t="s">
        <v>35</v>
      </c>
      <c r="U20" s="6">
        <f t="shared" si="3"/>
        <v>182.2126015636361</v>
      </c>
      <c r="V20" s="19" t="s">
        <v>10</v>
      </c>
      <c r="W20" s="10" cm="1">
        <f t="array" ref="W20">INDEX(Tableau3[Production cost (M€/GWh)],
       MATCH(1,
             (Tableau3[Resource]=Tableau6[[#This Row],[Marginal supply commodity MED]])*(Tableau3[Scenario]="MED_2050"),
             0))*1000</f>
        <v>24.51298899676376</v>
      </c>
      <c r="X20" s="10" cm="1">
        <f t="array" ref="X20">INDEX(Tableau3[GHG impact (tCO2eq/MWh)],
       MATCH(1,
             (Tableau3[Resource]=Tableau6[[#This Row],[Marginal supply commodity MED]])*(Tableau3[Scenario]="MED_2050"),
             0))*1000</f>
        <v>13.917873892652425</v>
      </c>
      <c r="Y20" s="10">
        <f>Tableau6[[#This Row],[Total cost (M€/y) MED]]-Tableau6[[#This Row],[Total cost (M€/y) MED +1Mt CO2]]</f>
        <v>413.46095900001819</v>
      </c>
      <c r="Z20" s="10">
        <f>Tableau6[[#This Row],[Marginal Carbon cost (€/tCO2) MED]]*Tableau6[[#This Row],[Marginal emission factor (kgCO2/MWh)]]/1000</f>
        <v>5.7544974868973879</v>
      </c>
      <c r="AA20" s="10">
        <f>Tableau6[[#This Row],[Carbon cost of marginal biomass (€/MWh) MED]]+Tableau6[[#This Row],[Marginal supply cost (€/MWh) MED]]</f>
        <v>30.267486483661148</v>
      </c>
      <c r="AB20" s="6">
        <v>251461.26212500001</v>
      </c>
      <c r="AC20" s="6">
        <f>(AB19-Tableau6[[#This Row],[Total cost (M€/y) LOW]])/(Tableau6[[#This Row],[Solid biomass availability (GWh/y)]]-B19)*1000</f>
        <v>152.92442900000026</v>
      </c>
      <c r="AD20" s="6" t="s">
        <v>35</v>
      </c>
      <c r="AE20" s="6">
        <f t="shared" si="4"/>
        <v>241.96082304000038</v>
      </c>
      <c r="AF20" s="6" t="s">
        <v>10</v>
      </c>
      <c r="AG20" s="6" cm="1">
        <f t="array" ref="AG20">INDEX(Tableau3[Production cost (M€/GWh)],
       MATCH(1,
             (Tableau3[Resource]=Tableau6[[#This Row],[Marginal supply commodity LOW2]])*(Tableau3[Scenario]="LOW_2050"),
             0))*1000</f>
        <v>26.783644315832991</v>
      </c>
      <c r="AH20" s="15">
        <v>0.77418600000000004</v>
      </c>
      <c r="AI20" s="17">
        <v>6395.0260040000003</v>
      </c>
      <c r="AJ20" s="15">
        <v>1.153143</v>
      </c>
      <c r="AK20" s="15">
        <v>4.825736</v>
      </c>
      <c r="AL20" s="15">
        <v>0.64755300000000005</v>
      </c>
      <c r="AM20" s="16">
        <v>34138.586064000003</v>
      </c>
      <c r="AN20" s="16">
        <v>44388.753320999997</v>
      </c>
      <c r="AO20" s="16">
        <v>35431.342091999999</v>
      </c>
      <c r="AP20" s="15">
        <v>299.20988199999999</v>
      </c>
      <c r="AQ20" s="15">
        <v>0.25366699999999998</v>
      </c>
      <c r="AR20" s="16">
        <v>40298.882663999997</v>
      </c>
      <c r="AS20" s="15">
        <v>0.49892999999999998</v>
      </c>
      <c r="AT20" s="16">
        <v>88.802082999999996</v>
      </c>
      <c r="AU20" s="16">
        <v>8833.3238199999996</v>
      </c>
      <c r="AV20" s="16">
        <v>15166.666767999999</v>
      </c>
      <c r="AW20" s="15">
        <v>0.18088000000000001</v>
      </c>
      <c r="AX20" s="16">
        <v>503.93187899999998</v>
      </c>
      <c r="AY20" s="16">
        <v>4444.4456819999996</v>
      </c>
      <c r="AZ20" s="15">
        <v>0.26205600000000001</v>
      </c>
      <c r="BA20" s="15">
        <v>2.3034789999999998</v>
      </c>
      <c r="BB20" s="15">
        <v>0.19107399999999999</v>
      </c>
      <c r="BC20" s="11">
        <v>54.987186999999999</v>
      </c>
      <c r="BD20" s="11">
        <v>36555.520593000001</v>
      </c>
      <c r="BE20" s="11">
        <v>194.44510700000001</v>
      </c>
      <c r="BF20" s="11">
        <v>34138.479984999998</v>
      </c>
      <c r="BG20" s="17">
        <v>12249.396666000001</v>
      </c>
      <c r="BH20" s="11">
        <v>28361.110778999999</v>
      </c>
      <c r="BI20" s="11">
        <v>12555.555984000001</v>
      </c>
      <c r="BJ20" s="11">
        <v>14172.545192</v>
      </c>
      <c r="BK20" s="11">
        <v>6388.8891249999997</v>
      </c>
      <c r="BL20" s="11">
        <v>7.2154999999999997E-2</v>
      </c>
      <c r="BM20" s="11">
        <v>31515.362243</v>
      </c>
      <c r="BN20" s="11">
        <v>0.21035499999999999</v>
      </c>
      <c r="BO20" s="11">
        <v>44.417805000000001</v>
      </c>
      <c r="BP20" s="11">
        <v>4222.2229100000004</v>
      </c>
      <c r="BQ20" s="11">
        <v>6055.5566479999998</v>
      </c>
      <c r="BR20" s="11">
        <v>3.2876000000000002E-2</v>
      </c>
      <c r="BS20" s="11">
        <v>268.87868400000002</v>
      </c>
      <c r="BT20" s="11">
        <v>1722.2235209999999</v>
      </c>
      <c r="BU20" s="11">
        <v>7.6544000000000001E-2</v>
      </c>
      <c r="BV20" s="11">
        <v>1500.001066</v>
      </c>
      <c r="BW20" s="11">
        <v>4.6092000000000001E-2</v>
      </c>
      <c r="BX20" s="11">
        <v>13.742155</v>
      </c>
      <c r="BY20" s="11">
        <v>22194.444986999999</v>
      </c>
      <c r="BZ20" s="11">
        <v>194.44486900000001</v>
      </c>
      <c r="CA20" s="11">
        <v>34138.483882</v>
      </c>
      <c r="CB20" s="17">
        <v>77249.990741999994</v>
      </c>
      <c r="CC20" s="11">
        <v>24709.967213</v>
      </c>
      <c r="CD20" s="11">
        <v>3166.6672130000002</v>
      </c>
      <c r="CE20" s="11">
        <v>3543.1394460000001</v>
      </c>
      <c r="CF20" s="11">
        <v>1916.6672160000001</v>
      </c>
      <c r="CG20" s="11">
        <v>0.86414899999999994</v>
      </c>
      <c r="CH20" s="11">
        <v>18386.148891000001</v>
      </c>
      <c r="CI20" s="11">
        <v>55.555714000000002</v>
      </c>
      <c r="CJ20" s="11">
        <v>8.8894310000000001</v>
      </c>
      <c r="CK20" s="11">
        <v>1277.7783300000001</v>
      </c>
      <c r="CL20" s="11">
        <v>1472.222784</v>
      </c>
      <c r="CM20" s="11">
        <v>8.3251000000000006E-2</v>
      </c>
      <c r="CN20" s="11">
        <v>100.828282</v>
      </c>
      <c r="CO20" s="11">
        <v>388.88946499999997</v>
      </c>
      <c r="CP20" s="11">
        <v>819.95417899999995</v>
      </c>
      <c r="CQ20" s="11">
        <v>361.11161499999997</v>
      </c>
      <c r="CR20" s="11">
        <v>0.14041300000000001</v>
      </c>
      <c r="CS20" s="11">
        <v>143285.15805500001</v>
      </c>
      <c r="CT20" s="11">
        <v>0.24693899999999999</v>
      </c>
      <c r="CU20" s="11">
        <v>8.5049E-2</v>
      </c>
      <c r="CV20" s="11">
        <v>6.1892999999999997E-2</v>
      </c>
      <c r="CW20" s="11">
        <v>6.5471000000000001E-2</v>
      </c>
      <c r="CX20" s="11">
        <v>0.33361299999999999</v>
      </c>
      <c r="CY20" s="11">
        <v>6.0323000000000002E-2</v>
      </c>
      <c r="CZ20" s="17">
        <v>46713.101759999998</v>
      </c>
      <c r="DA20" s="11">
        <v>5.9200999999999997E-2</v>
      </c>
      <c r="DB20" s="11">
        <v>0.16052</v>
      </c>
      <c r="DC20" s="11">
        <v>0.11185</v>
      </c>
      <c r="DD20" s="11">
        <v>0.11533499999999999</v>
      </c>
      <c r="DE20" s="11">
        <v>0.29177199999999998</v>
      </c>
      <c r="DF20" s="11">
        <v>0.109531</v>
      </c>
      <c r="DG20" s="11">
        <v>5.9445999999999999E-2</v>
      </c>
      <c r="DH20" s="11">
        <v>4.0247999999999999E-2</v>
      </c>
      <c r="DI20" s="11">
        <v>144233.773487</v>
      </c>
      <c r="DJ20" s="11">
        <v>3.7767000000000002E-2</v>
      </c>
      <c r="DK20" s="11">
        <v>1.8384000000000001E-2</v>
      </c>
      <c r="DL20" s="11">
        <v>1.1553000000000001E-2</v>
      </c>
      <c r="DM20" s="11">
        <v>1.1998E-2</v>
      </c>
      <c r="DN20" s="11">
        <v>4.2230999999999998E-2</v>
      </c>
      <c r="DO20" s="11">
        <v>1.4076999999999999E-2</v>
      </c>
      <c r="DP20" s="17">
        <v>45765.956032000002</v>
      </c>
      <c r="DQ20" s="11">
        <v>1.1301E-2</v>
      </c>
      <c r="DR20" s="11">
        <v>2.5031000000000001E-2</v>
      </c>
      <c r="DS20" s="11">
        <v>1.8873999999999998E-2</v>
      </c>
      <c r="DT20" s="11">
        <v>1.9421000000000001E-2</v>
      </c>
      <c r="DU20" s="11">
        <v>5.2641E-2</v>
      </c>
      <c r="DV20" s="11">
        <v>1.8697999999999999E-2</v>
      </c>
      <c r="DW20" s="11">
        <v>1.166E-2</v>
      </c>
      <c r="DX20" s="11">
        <v>8.3689999999999997E-3</v>
      </c>
      <c r="DY20" s="11">
        <v>141421.921459</v>
      </c>
      <c r="DZ20" s="11">
        <v>7.4102000000000001E-2</v>
      </c>
      <c r="EA20" s="11">
        <v>2.0067000000000002E-2</v>
      </c>
      <c r="EB20" s="11">
        <v>1.5755999999999999E-2</v>
      </c>
      <c r="EC20" s="11">
        <v>1.704E-2</v>
      </c>
      <c r="ED20" s="11">
        <v>304.24055900000002</v>
      </c>
      <c r="EE20" s="11">
        <v>1.826085</v>
      </c>
      <c r="EF20" s="17">
        <v>48271.619915000003</v>
      </c>
      <c r="EG20" s="11">
        <v>1.5395000000000001E-2</v>
      </c>
      <c r="EH20" s="11">
        <v>6.0573000000000002E-2</v>
      </c>
      <c r="EI20" s="11">
        <v>3.4362999999999998E-2</v>
      </c>
      <c r="EJ20" s="11">
        <v>3.4196999999999998E-2</v>
      </c>
      <c r="EK20" s="11">
        <v>7.0461999999999997E-2</v>
      </c>
      <c r="EL20" s="11">
        <v>3.2691999999999999E-2</v>
      </c>
      <c r="EM20" s="11">
        <v>2.1779E-2</v>
      </c>
      <c r="EN20" s="11">
        <v>9.7890000000000008E-3</v>
      </c>
    </row>
    <row r="21" spans="1:144" x14ac:dyDescent="0.3">
      <c r="A21">
        <v>19</v>
      </c>
      <c r="B21" s="6">
        <v>195000</v>
      </c>
      <c r="C21" s="6">
        <v>246363.18303700001</v>
      </c>
      <c r="D21" s="6">
        <v>246001.157286</v>
      </c>
      <c r="E21" s="6">
        <f>(C20-Tableau6[[#This Row],[Total cost (M€/y) HIGH]])/(Tableau6[[#This Row],[Solid biomass availability (GWh/y)]]-B20)*1000</f>
        <v>130.30687399999587</v>
      </c>
      <c r="F21" s="6" t="s">
        <v>35</v>
      </c>
      <c r="G21" s="10">
        <f t="shared" si="2"/>
        <v>151.81926785454533</v>
      </c>
      <c r="H21" s="6" t="s">
        <v>7</v>
      </c>
      <c r="I21" s="11" cm="1">
        <f t="array" ref="I21">INDEX(Tableau3[Production cost (M€/GWh)],
       MATCH(1,
             (Tableau3[Resource]=Tableau6[[#This Row],[Marginal supply commodity HIGH]])*(Tableau3[Scenario]="HIGH_2050"),
             0))*1000</f>
        <v>8.0893504559270504</v>
      </c>
      <c r="J21" s="11" cm="1">
        <f t="array" ref="J21">INDEX(Tableau3[GHG impact (tCO2eq/MWh)],
       MATCH(1,
             (Tableau3[Resource]=Tableau6[[#This Row],[Marginal supply commodity HIGH]])*(Tableau3[Scenario]="HIGH_2050"),
             0))*1000</f>
        <v>24.6344262295082</v>
      </c>
      <c r="K21" s="11">
        <f>(Tableau6[[#This Row],[Total cost (M€/y) HIGH]]-Tableau6[[#This Row],[Total Cost (M€) HIGH +1Mt CO2]])</f>
        <v>362.02575100000831</v>
      </c>
      <c r="L21" s="22">
        <f>Tableau6[[#This Row],[Marginal Carbon cost (€/tCO2) HIGH]]*Tableau6[[#This Row],[Marginal emission factor (kgCO2/MWh) HIGH]]/1000</f>
        <v>8.918296656192009</v>
      </c>
      <c r="M21" s="22">
        <f>(CS21-CS20)*AVERAGE($E$3,E21)/(B21-B20)</f>
        <v>386.58323543750129</v>
      </c>
      <c r="N21" s="22">
        <f>(CS21-CS20)*Tableau6[[#This Row],[Marginal value of solid biomass (€/MWh) HIGH]]/(B21-B20)</f>
        <v>63.034826270402732</v>
      </c>
      <c r="O21" s="22">
        <f>(CS21-CS20)*Tableau6[[#This Row],[Marginal supply cost (€/MWh) HIGH]]/(B21-B20)</f>
        <v>3.9131535043176693</v>
      </c>
      <c r="P21" s="22">
        <f>Tableau6[[#This Row],[Marginal supply cost (€/MWh) HIGH]]+Tableau6[[#This Row],[Carbon cost of marginal biomass (€/MWh) HIGH]]</f>
        <v>17.007647112119059</v>
      </c>
      <c r="Q21" s="6">
        <v>248350.98176900001</v>
      </c>
      <c r="R21" s="6">
        <v>248014.93658899999</v>
      </c>
      <c r="S21" s="6">
        <f>(Q20-Tableau6[[#This Row],[Total cost (M€/y) MED]])/(Tableau6[[#This Row],[Solid biomass availability (GWh/y)]]-B20)*1000</f>
        <v>116.77594099999988</v>
      </c>
      <c r="T21" s="6" t="s">
        <v>35</v>
      </c>
      <c r="U21" s="6">
        <f t="shared" si="3"/>
        <v>182.2126015636361</v>
      </c>
      <c r="V21" s="19" t="s">
        <v>10</v>
      </c>
      <c r="W21" s="10" cm="1">
        <f t="array" ref="W21">INDEX(Tableau3[Production cost (M€/GWh)],
       MATCH(1,
             (Tableau3[Resource]=Tableau6[[#This Row],[Marginal supply commodity MED]])*(Tableau3[Scenario]="MED_2050"),
             0))*1000</f>
        <v>24.51298899676376</v>
      </c>
      <c r="X21" s="10" cm="1">
        <f t="array" ref="X21">INDEX(Tableau3[GHG impact (tCO2eq/MWh)],
       MATCH(1,
             (Tableau3[Resource]=Tableau6[[#This Row],[Marginal supply commodity MED]])*(Tableau3[Scenario]="MED_2050"),
             0))*1000</f>
        <v>13.917873892652425</v>
      </c>
      <c r="Y21" s="10">
        <f>Tableau6[[#This Row],[Total cost (M€/y) MED]]-Tableau6[[#This Row],[Total cost (M€/y) MED +1Mt CO2]]</f>
        <v>336.04518000001553</v>
      </c>
      <c r="Z21" s="10">
        <f>Tableau6[[#This Row],[Marginal Carbon cost (€/tCO2) MED]]*Tableau6[[#This Row],[Marginal emission factor (kgCO2/MWh)]]/1000</f>
        <v>4.6770344374739006</v>
      </c>
      <c r="AA21" s="10">
        <f>Tableau6[[#This Row],[Carbon cost of marginal biomass (€/MWh) MED]]+Tableau6[[#This Row],[Marginal supply cost (€/MWh) MED]]</f>
        <v>29.190023434237659</v>
      </c>
      <c r="AB21" s="6">
        <v>250994.675946</v>
      </c>
      <c r="AC21" s="6">
        <f>(AB20-Tableau6[[#This Row],[Total cost (M€/y) LOW]])/(Tableau6[[#This Row],[Solid biomass availability (GWh/y)]]-B20)*1000</f>
        <v>93.317235800001072</v>
      </c>
      <c r="AD21" s="6" t="s">
        <v>33</v>
      </c>
      <c r="AE21" s="6">
        <f>AVERAGE($AC$21:$AC$27)</f>
        <v>89.64937771428626</v>
      </c>
      <c r="AF21" s="6" t="s">
        <v>24</v>
      </c>
      <c r="AG21" s="6" cm="1">
        <f t="array" ref="AG21">INDEX(Tableau3[Production cost (M€/GWh)],
       MATCH(1,
             (Tableau3[Resource]=Tableau6[[#This Row],[Marginal supply commodity LOW2]])*(Tableau3[Scenario]="LOW_2050"),
             0))*1000</f>
        <v>17.196145161290325</v>
      </c>
      <c r="AH21" s="15">
        <v>0.21600800000000001</v>
      </c>
      <c r="AI21" s="17">
        <v>11582.184622999999</v>
      </c>
      <c r="AJ21" s="15">
        <v>0.30623899999999998</v>
      </c>
      <c r="AK21" s="15">
        <v>1.185567</v>
      </c>
      <c r="AL21" s="15">
        <v>0.19470199999999999</v>
      </c>
      <c r="AM21" s="16">
        <v>34138.758503999998</v>
      </c>
      <c r="AN21" s="16">
        <v>44388.871778000001</v>
      </c>
      <c r="AO21" s="16">
        <v>35431.339846000003</v>
      </c>
      <c r="AP21" s="15">
        <v>85.697547999999998</v>
      </c>
      <c r="AQ21" s="15">
        <v>7.7939999999999995E-2</v>
      </c>
      <c r="AR21" s="16">
        <v>40332.828821000003</v>
      </c>
      <c r="AS21" s="15">
        <v>0.16161400000000001</v>
      </c>
      <c r="AT21" s="16">
        <v>88.815511999999998</v>
      </c>
      <c r="AU21" s="16">
        <v>8833.3317480000005</v>
      </c>
      <c r="AV21" s="16">
        <v>15166.666594</v>
      </c>
      <c r="AW21" s="15">
        <v>3.9370000000000002E-2</v>
      </c>
      <c r="AX21" s="16">
        <v>504.13167399999998</v>
      </c>
      <c r="AY21" s="16">
        <v>4444.4448819999998</v>
      </c>
      <c r="AZ21" s="15">
        <v>8.0717999999999998E-2</v>
      </c>
      <c r="BA21" s="15">
        <v>0.63422900000000004</v>
      </c>
      <c r="BB21" s="15">
        <v>5.3872000000000003E-2</v>
      </c>
      <c r="BC21" s="11">
        <v>54.987817</v>
      </c>
      <c r="BD21" s="11">
        <v>36555.341395000003</v>
      </c>
      <c r="BE21" s="11">
        <v>194.44479999999999</v>
      </c>
      <c r="BF21" s="11">
        <v>34138.484483</v>
      </c>
      <c r="BG21" s="17">
        <v>17248.715411000001</v>
      </c>
      <c r="BH21" s="11">
        <v>28361.112857</v>
      </c>
      <c r="BI21" s="11">
        <v>12555.557360000001</v>
      </c>
      <c r="BJ21" s="11">
        <v>14172.546496000001</v>
      </c>
      <c r="BK21" s="11">
        <v>6388.890633</v>
      </c>
      <c r="BL21" s="11">
        <v>0.38359300000000002</v>
      </c>
      <c r="BM21" s="11">
        <v>31515.350533000001</v>
      </c>
      <c r="BN21" s="11">
        <v>0.16281999999999999</v>
      </c>
      <c r="BO21" s="11">
        <v>44.418698999999997</v>
      </c>
      <c r="BP21" s="11">
        <v>4222.2241620000004</v>
      </c>
      <c r="BQ21" s="11">
        <v>6055.5577350000003</v>
      </c>
      <c r="BR21" s="11">
        <v>0.14940600000000001</v>
      </c>
      <c r="BS21" s="11">
        <v>268.87957699999998</v>
      </c>
      <c r="BT21" s="11">
        <v>1722.224575</v>
      </c>
      <c r="BU21" s="11">
        <v>0.41498099999999999</v>
      </c>
      <c r="BV21" s="11">
        <v>1500.001593</v>
      </c>
      <c r="BW21" s="11">
        <v>0.21226800000000001</v>
      </c>
      <c r="BX21" s="11">
        <v>13.743342999999999</v>
      </c>
      <c r="BY21" s="11">
        <v>22194.445924</v>
      </c>
      <c r="BZ21" s="11">
        <v>194.44587899999999</v>
      </c>
      <c r="CA21" s="11">
        <v>34138.484536999997</v>
      </c>
      <c r="CB21" s="11">
        <v>77249.974413999997</v>
      </c>
      <c r="CC21" s="11">
        <v>24709.968029</v>
      </c>
      <c r="CD21" s="11">
        <v>3166.6681199999998</v>
      </c>
      <c r="CE21" s="11">
        <v>3543.1404440000001</v>
      </c>
      <c r="CF21" s="11">
        <v>1916.668148</v>
      </c>
      <c r="CG21" s="11">
        <v>2.3814820000000001</v>
      </c>
      <c r="CH21" s="11">
        <v>18386.122006000001</v>
      </c>
      <c r="CI21" s="11">
        <v>55.556609000000002</v>
      </c>
      <c r="CJ21" s="11">
        <v>8.8906589999999994</v>
      </c>
      <c r="CK21" s="11">
        <v>1277.779344</v>
      </c>
      <c r="CL21" s="11">
        <v>1472.2238400000001</v>
      </c>
      <c r="CM21" s="11">
        <v>0.220335</v>
      </c>
      <c r="CN21" s="11">
        <v>100.829431</v>
      </c>
      <c r="CO21" s="11">
        <v>388.89062100000001</v>
      </c>
      <c r="CP21" s="17">
        <v>5818.1101010000002</v>
      </c>
      <c r="CQ21" s="11">
        <v>361.11265500000002</v>
      </c>
      <c r="CR21" s="11">
        <v>0.38648900000000003</v>
      </c>
      <c r="CS21" s="11">
        <v>145703.864925</v>
      </c>
      <c r="CT21" s="11">
        <v>0.13081000000000001</v>
      </c>
      <c r="CU21" s="11">
        <v>2.9707999999999998E-2</v>
      </c>
      <c r="CV21" s="11">
        <v>2.4539999999999999E-2</v>
      </c>
      <c r="CW21" s="11">
        <v>2.5402999999999998E-2</v>
      </c>
      <c r="CX21" s="17">
        <v>1024.1693029999999</v>
      </c>
      <c r="CY21" s="11">
        <v>1.8887000000000001E-2</v>
      </c>
      <c r="CZ21" s="17">
        <v>48271.356785999997</v>
      </c>
      <c r="DA21" s="11">
        <v>2.0215E-2</v>
      </c>
      <c r="DB21" s="11">
        <v>9.1658000000000003E-2</v>
      </c>
      <c r="DC21" s="11">
        <v>4.9695000000000003E-2</v>
      </c>
      <c r="DD21" s="11">
        <v>4.5608000000000003E-2</v>
      </c>
      <c r="DE21" s="11">
        <v>0.11133999999999999</v>
      </c>
      <c r="DF21" s="11">
        <v>4.8627999999999998E-2</v>
      </c>
      <c r="DG21" s="11">
        <v>2.0464E-2</v>
      </c>
      <c r="DH21" s="11">
        <v>1.3839000000000001E-2</v>
      </c>
      <c r="DI21" s="11">
        <v>144325.72261</v>
      </c>
      <c r="DJ21" s="11">
        <v>0.26630900000000002</v>
      </c>
      <c r="DK21" s="11">
        <v>7.5269000000000003E-2</v>
      </c>
      <c r="DL21" s="11">
        <v>5.8646999999999998E-2</v>
      </c>
      <c r="DM21" s="11">
        <v>6.0994E-2</v>
      </c>
      <c r="DN21" s="17">
        <v>2401.6247229999999</v>
      </c>
      <c r="DO21" s="11">
        <v>7.2775000000000006E-2</v>
      </c>
      <c r="DP21" s="17">
        <v>48271.213989000003</v>
      </c>
      <c r="DQ21" s="11">
        <v>5.6937000000000001E-2</v>
      </c>
      <c r="DR21" s="11">
        <v>0.21239</v>
      </c>
      <c r="DS21" s="11">
        <v>0.11649900000000001</v>
      </c>
      <c r="DT21" s="11">
        <v>0.10616</v>
      </c>
      <c r="DU21" s="11">
        <v>0.26264799999999999</v>
      </c>
      <c r="DV21" s="11">
        <v>0.118141</v>
      </c>
      <c r="DW21" s="11">
        <v>5.7869999999999998E-2</v>
      </c>
      <c r="DX21" s="11">
        <v>3.5257999999999998E-2</v>
      </c>
      <c r="DY21" s="11">
        <v>142271.544929</v>
      </c>
      <c r="DZ21" s="11">
        <v>0.23608699999999999</v>
      </c>
      <c r="EA21" s="11">
        <v>6.6447000000000006E-2</v>
      </c>
      <c r="EB21" s="11">
        <v>4.9632999999999997E-2</v>
      </c>
      <c r="EC21" s="11">
        <v>5.3293E-2</v>
      </c>
      <c r="ED21" s="17">
        <v>2918.7647139999999</v>
      </c>
      <c r="EE21" s="17">
        <v>1536.8614439999999</v>
      </c>
      <c r="EF21" s="11">
        <v>48271.580394999997</v>
      </c>
      <c r="EG21" s="11">
        <v>4.7418000000000002E-2</v>
      </c>
      <c r="EH21" s="11">
        <v>0.19881299999999999</v>
      </c>
      <c r="EI21" s="11">
        <v>0.105958</v>
      </c>
      <c r="EJ21" s="11">
        <v>0.10864</v>
      </c>
      <c r="EK21" s="11">
        <v>0.22883500000000001</v>
      </c>
      <c r="EL21" s="11">
        <v>0.100675</v>
      </c>
      <c r="EM21" s="11">
        <v>6.6267999999999994E-2</v>
      </c>
      <c r="EN21" s="11">
        <v>2.8875999999999999E-2</v>
      </c>
    </row>
    <row r="22" spans="1:144" x14ac:dyDescent="0.3">
      <c r="A22">
        <v>20</v>
      </c>
      <c r="B22" s="6">
        <v>200000</v>
      </c>
      <c r="C22" s="6">
        <v>245759.66760399999</v>
      </c>
      <c r="D22" s="6">
        <v>245411.279511</v>
      </c>
      <c r="E22" s="6">
        <f>(C21-Tableau6[[#This Row],[Total cost (M€/y) HIGH]])/(Tableau6[[#This Row],[Solid biomass availability (GWh/y)]]-B21)*1000</f>
        <v>120.70308660000447</v>
      </c>
      <c r="F22" s="6" t="s">
        <v>33</v>
      </c>
      <c r="G22" s="10">
        <f>AVERAGE($E$22:$E$41)</f>
        <v>99.670582030000205</v>
      </c>
      <c r="H22" s="6" t="s">
        <v>7</v>
      </c>
      <c r="I22" s="11" cm="1">
        <f t="array" ref="I22">INDEX(Tableau3[Production cost (M€/GWh)],
       MATCH(1,
             (Tableau3[Resource]=Tableau6[[#This Row],[Marginal supply commodity HIGH]])*(Tableau3[Scenario]="HIGH_2050"),
             0))*1000</f>
        <v>8.0893504559270504</v>
      </c>
      <c r="J22" s="11" cm="1">
        <f t="array" ref="J22">INDEX(Tableau3[GHG impact (tCO2eq/MWh)],
       MATCH(1,
             (Tableau3[Resource]=Tableau6[[#This Row],[Marginal supply commodity HIGH]])*(Tableau3[Scenario]="HIGH_2050"),
             0))*1000</f>
        <v>24.6344262295082</v>
      </c>
      <c r="K22" s="11">
        <f>(Tableau6[[#This Row],[Total cost (M€/y) HIGH]]-Tableau6[[#This Row],[Total Cost (M€) HIGH +1Mt CO2]])</f>
        <v>348.38809299998684</v>
      </c>
      <c r="L22" s="22">
        <f>Tableau6[[#This Row],[Marginal Carbon cost (€/tCO2) HIGH]]*Tableau6[[#This Row],[Marginal emission factor (kgCO2/MWh) HIGH]]/1000</f>
        <v>8.5823407762472179</v>
      </c>
      <c r="M22" s="22">
        <f>(CS22-CS21)*AVERAGE($E$3,E22)/(B22-B21)</f>
        <v>36.39928997678799</v>
      </c>
      <c r="N22" s="22">
        <f>(CS22-CS21)*Tableau6[[#This Row],[Marginal value of solid biomass (€/MWh) HIGH]]/(B22-B21)</f>
        <v>5.5309398537685599</v>
      </c>
      <c r="O22" s="22">
        <f>(CS22-CS21)*Tableau6[[#This Row],[Marginal supply cost (€/MWh) HIGH]]/(B22-B21)</f>
        <v>0.37067578044674576</v>
      </c>
      <c r="P22" s="22">
        <f>Tableau6[[#This Row],[Marginal supply cost (€/MWh) HIGH]]+Tableau6[[#This Row],[Carbon cost of marginal biomass (€/MWh) HIGH]]</f>
        <v>16.671691232174268</v>
      </c>
      <c r="Q22" s="6">
        <v>247847.12072000001</v>
      </c>
      <c r="R22" s="6">
        <v>247460.90526299999</v>
      </c>
      <c r="S22" s="6">
        <f>(Q21-Tableau6[[#This Row],[Total cost (M€/y) MED]])/(Tableau6[[#This Row],[Solid biomass availability (GWh/y)]]-B21)*1000</f>
        <v>100.77220979999983</v>
      </c>
      <c r="T22" s="6" t="s">
        <v>33</v>
      </c>
      <c r="U22" s="6">
        <f>AVERAGE($S$22:$S$42)</f>
        <v>85.883827533333417</v>
      </c>
      <c r="V22" s="19" t="s">
        <v>10</v>
      </c>
      <c r="W22" s="10" cm="1">
        <f t="array" ref="W22">INDEX(Tableau3[Production cost (M€/GWh)],
       MATCH(1,
             (Tableau3[Resource]=Tableau6[[#This Row],[Marginal supply commodity MED]])*(Tableau3[Scenario]="MED_2050"),
             0))*1000</f>
        <v>24.51298899676376</v>
      </c>
      <c r="X22" s="10" cm="1">
        <f t="array" ref="X22">INDEX(Tableau3[GHG impact (tCO2eq/MWh)],
       MATCH(1,
             (Tableau3[Resource]=Tableau6[[#This Row],[Marginal supply commodity MED]])*(Tableau3[Scenario]="MED_2050"),
             0))*1000</f>
        <v>13.917873892652425</v>
      </c>
      <c r="Y22" s="10">
        <f>Tableau6[[#This Row],[Total cost (M€/y) MED]]-Tableau6[[#This Row],[Total cost (M€/y) MED +1Mt CO2]]</f>
        <v>386.21545700001298</v>
      </c>
      <c r="Z22" s="10">
        <f>Tableau6[[#This Row],[Marginal Carbon cost (€/tCO2) MED]]*Tableau6[[#This Row],[Marginal emission factor (kgCO2/MWh)]]/1000</f>
        <v>5.3752980259193057</v>
      </c>
      <c r="AA22" s="10">
        <f>Tableau6[[#This Row],[Carbon cost of marginal biomass (€/MWh) MED]]+Tableau6[[#This Row],[Marginal supply cost (€/MWh) MED]]</f>
        <v>29.888287022683066</v>
      </c>
      <c r="AB22" s="6">
        <v>250534.47270400001</v>
      </c>
      <c r="AC22" s="6">
        <f>(AB21-Tableau6[[#This Row],[Total cost (M€/y) LOW]])/(Tableau6[[#This Row],[Solid biomass availability (GWh/y)]]-B21)*1000</f>
        <v>92.040648399997735</v>
      </c>
      <c r="AD22" s="6" t="s">
        <v>33</v>
      </c>
      <c r="AE22" s="6">
        <f t="shared" ref="AE22:AE27" si="5">AVERAGE($AC$21:$AC$27)</f>
        <v>89.64937771428626</v>
      </c>
      <c r="AF22" s="6" t="s">
        <v>24</v>
      </c>
      <c r="AG22" s="6" cm="1">
        <f t="array" ref="AG22">INDEX(Tableau3[Production cost (M€/GWh)],
       MATCH(1,
             (Tableau3[Resource]=Tableau6[[#This Row],[Marginal supply commodity LOW2]])*(Tableau3[Scenario]="LOW_2050"),
             0))*1000</f>
        <v>17.196145161290325</v>
      </c>
      <c r="AH22" s="15">
        <v>0.230542</v>
      </c>
      <c r="AI22" s="17">
        <v>16535.981344</v>
      </c>
      <c r="AJ22" s="15">
        <v>0.329239</v>
      </c>
      <c r="AK22" s="15">
        <v>1.2982929999999999</v>
      </c>
      <c r="AL22" s="15">
        <v>0.227965</v>
      </c>
      <c r="AM22" s="16">
        <v>34138.888583</v>
      </c>
      <c r="AN22" s="16">
        <v>44388.867947999999</v>
      </c>
      <c r="AO22" s="16">
        <v>35431.322698000004</v>
      </c>
      <c r="AP22" s="15">
        <v>131.595518</v>
      </c>
      <c r="AQ22" s="15">
        <v>8.9171E-2</v>
      </c>
      <c r="AR22" s="16">
        <v>40332.862787999999</v>
      </c>
      <c r="AS22" s="15">
        <v>0.178674</v>
      </c>
      <c r="AT22" s="16">
        <v>88.756618000000003</v>
      </c>
      <c r="AU22" s="16">
        <v>8833.3303340000002</v>
      </c>
      <c r="AV22" s="16">
        <v>15166.666660999999</v>
      </c>
      <c r="AW22" s="15">
        <v>4.8689000000000003E-2</v>
      </c>
      <c r="AX22" s="16">
        <v>504.03139099999999</v>
      </c>
      <c r="AY22" s="16">
        <v>4444.4449679999998</v>
      </c>
      <c r="AZ22" s="15">
        <v>9.2219999999999996E-2</v>
      </c>
      <c r="BA22" s="15">
        <v>0.72416000000000003</v>
      </c>
      <c r="BB22" s="15">
        <v>5.9317000000000002E-2</v>
      </c>
      <c r="BC22" s="11">
        <v>54.987141000000001</v>
      </c>
      <c r="BD22" s="11">
        <v>36555.557399999998</v>
      </c>
      <c r="BE22" s="11">
        <v>194.44374500000001</v>
      </c>
      <c r="BF22" s="11">
        <v>34138.484964000003</v>
      </c>
      <c r="BG22" s="17">
        <v>22247.466779999999</v>
      </c>
      <c r="BH22" s="11">
        <v>28361.111755000002</v>
      </c>
      <c r="BI22" s="11">
        <v>12555.556348</v>
      </c>
      <c r="BJ22" s="11">
        <v>14172.545629</v>
      </c>
      <c r="BK22" s="11">
        <v>6388.8898559999998</v>
      </c>
      <c r="BL22" s="11">
        <v>0.49279400000000001</v>
      </c>
      <c r="BM22" s="11">
        <v>31515.175979</v>
      </c>
      <c r="BN22" s="11">
        <v>1.1051260000000001</v>
      </c>
      <c r="BO22" s="11">
        <v>44.418056999999997</v>
      </c>
      <c r="BP22" s="11">
        <v>4222.2234280000002</v>
      </c>
      <c r="BQ22" s="11">
        <v>6055.5570340000004</v>
      </c>
      <c r="BR22" s="11">
        <v>0.12531700000000001</v>
      </c>
      <c r="BS22" s="11">
        <v>268.87878999999998</v>
      </c>
      <c r="BT22" s="11">
        <v>1722.2239810000001</v>
      </c>
      <c r="BU22" s="11">
        <v>0.53368599999999999</v>
      </c>
      <c r="BV22" s="11">
        <v>1500.0007680000001</v>
      </c>
      <c r="BW22" s="11">
        <v>0.27353100000000002</v>
      </c>
      <c r="BX22" s="11">
        <v>13.742084999999999</v>
      </c>
      <c r="BY22" s="11">
        <v>22194.444958</v>
      </c>
      <c r="BZ22" s="11">
        <v>194.44484800000001</v>
      </c>
      <c r="CA22" s="11">
        <v>34138.483799000001</v>
      </c>
      <c r="CB22" s="11">
        <v>77249.997875999994</v>
      </c>
      <c r="CC22" s="11">
        <v>24709.967151000001</v>
      </c>
      <c r="CD22" s="11">
        <v>3166.6671630000001</v>
      </c>
      <c r="CE22" s="11">
        <v>3543.1394359999999</v>
      </c>
      <c r="CF22" s="11">
        <v>1916.667181</v>
      </c>
      <c r="CG22" s="11">
        <v>1.470105</v>
      </c>
      <c r="CH22" s="11">
        <v>18386.152773999998</v>
      </c>
      <c r="CI22" s="11">
        <v>55.555418000000003</v>
      </c>
      <c r="CJ22" s="11">
        <v>8.8894090000000006</v>
      </c>
      <c r="CK22" s="11">
        <v>1277.778333</v>
      </c>
      <c r="CL22" s="11">
        <v>1472.2228009999999</v>
      </c>
      <c r="CM22" s="11">
        <v>0.10850600000000001</v>
      </c>
      <c r="CN22" s="11">
        <v>100.828304</v>
      </c>
      <c r="CO22" s="11">
        <v>388.88951600000001</v>
      </c>
      <c r="CP22" s="17">
        <v>10819.245860999999</v>
      </c>
      <c r="CQ22" s="11">
        <v>361.111626</v>
      </c>
      <c r="CR22" s="11">
        <v>0.209313</v>
      </c>
      <c r="CS22" s="11">
        <v>145932.97836400001</v>
      </c>
      <c r="CT22" s="11">
        <v>0.14738499999999999</v>
      </c>
      <c r="CU22" s="11">
        <v>3.6096000000000003E-2</v>
      </c>
      <c r="CV22" s="11">
        <v>3.0353000000000002E-2</v>
      </c>
      <c r="CW22" s="11">
        <v>3.1885999999999998E-2</v>
      </c>
      <c r="CX22" s="17">
        <v>5794.9409729999998</v>
      </c>
      <c r="CY22" s="11">
        <v>3.0084E-2</v>
      </c>
      <c r="CZ22" s="11">
        <v>48271.32228</v>
      </c>
      <c r="DA22" s="11">
        <v>2.9565000000000001E-2</v>
      </c>
      <c r="DB22" s="11">
        <v>0.113025</v>
      </c>
      <c r="DC22" s="11">
        <v>6.2168000000000001E-2</v>
      </c>
      <c r="DD22" s="11">
        <v>5.6592999999999997E-2</v>
      </c>
      <c r="DE22" s="11">
        <v>0.136069</v>
      </c>
      <c r="DF22" s="11">
        <v>6.5314999999999998E-2</v>
      </c>
      <c r="DG22" s="11">
        <v>2.8709999999999999E-2</v>
      </c>
      <c r="DH22" s="11">
        <v>1.8273999999999999E-2</v>
      </c>
      <c r="DI22" s="11">
        <v>144418.098268</v>
      </c>
      <c r="DJ22" s="11">
        <v>0.43149500000000002</v>
      </c>
      <c r="DK22" s="11">
        <v>0.11011799999999999</v>
      </c>
      <c r="DL22" s="11">
        <v>7.9959000000000002E-2</v>
      </c>
      <c r="DM22" s="11">
        <v>8.4477999999999998E-2</v>
      </c>
      <c r="DN22" s="17">
        <v>7308.4074220000002</v>
      </c>
      <c r="DO22" s="11">
        <v>9.2897999999999994E-2</v>
      </c>
      <c r="DP22" s="11">
        <v>48271.331393</v>
      </c>
      <c r="DQ22" s="11">
        <v>7.8756999999999994E-2</v>
      </c>
      <c r="DR22" s="11">
        <v>0.34431499999999998</v>
      </c>
      <c r="DS22" s="11">
        <v>0.172679</v>
      </c>
      <c r="DT22" s="11">
        <v>0.15515499999999999</v>
      </c>
      <c r="DU22" s="11">
        <v>0.357325</v>
      </c>
      <c r="DV22" s="11">
        <v>0.17953</v>
      </c>
      <c r="DW22" s="11">
        <v>8.0213000000000007E-2</v>
      </c>
      <c r="DX22" s="11">
        <v>4.8141999999999997E-2</v>
      </c>
      <c r="DY22" s="11">
        <v>143092.37257899999</v>
      </c>
      <c r="DZ22" s="11">
        <v>0.123949</v>
      </c>
      <c r="EA22" s="11">
        <v>3.1366999999999999E-2</v>
      </c>
      <c r="EB22" s="11">
        <v>2.5555000000000001E-2</v>
      </c>
      <c r="EC22" s="11">
        <v>2.7722E-2</v>
      </c>
      <c r="ED22" s="17">
        <v>6354.1890380000004</v>
      </c>
      <c r="EE22" s="17">
        <v>2281.1656809999999</v>
      </c>
      <c r="EF22" s="11">
        <v>48271.621321999999</v>
      </c>
      <c r="EG22" s="11">
        <v>2.5142000000000001E-2</v>
      </c>
      <c r="EH22" s="11">
        <v>0.101714</v>
      </c>
      <c r="EI22" s="11">
        <v>5.7439999999999998E-2</v>
      </c>
      <c r="EJ22" s="11">
        <v>5.5648999999999997E-2</v>
      </c>
      <c r="EK22" s="11">
        <v>0.11346199999999999</v>
      </c>
      <c r="EL22" s="11">
        <v>5.3922999999999999E-2</v>
      </c>
      <c r="EM22" s="11">
        <v>3.5800999999999999E-2</v>
      </c>
      <c r="EN22" s="11">
        <v>1.6133000000000002E-2</v>
      </c>
    </row>
    <row r="23" spans="1:144" x14ac:dyDescent="0.3">
      <c r="A23">
        <v>21</v>
      </c>
      <c r="B23" s="6">
        <v>205000</v>
      </c>
      <c r="C23" s="6">
        <v>245168.47249099999</v>
      </c>
      <c r="D23" s="6">
        <v>244820.10287800001</v>
      </c>
      <c r="E23" s="6">
        <f>(C22-Tableau6[[#This Row],[Total cost (M€/y) HIGH]])/(Tableau6[[#This Row],[Solid biomass availability (GWh/y)]]-B22)*1000</f>
        <v>118.23902259999886</v>
      </c>
      <c r="F23" s="6" t="s">
        <v>33</v>
      </c>
      <c r="G23" s="10">
        <f t="shared" ref="G23:G41" si="6">AVERAGE($E$22:$E$41)</f>
        <v>99.670582030000205</v>
      </c>
      <c r="H23" s="6" t="s">
        <v>7</v>
      </c>
      <c r="I23" s="11" cm="1">
        <f t="array" ref="I23">INDEX(Tableau3[Production cost (M€/GWh)],
       MATCH(1,
             (Tableau3[Resource]=Tableau6[[#This Row],[Marginal supply commodity HIGH]])*(Tableau3[Scenario]="HIGH_2050"),
             0))*1000</f>
        <v>8.0893504559270504</v>
      </c>
      <c r="J23" s="11" cm="1">
        <f t="array" ref="J23">INDEX(Tableau3[GHG impact (tCO2eq/MWh)],
       MATCH(1,
             (Tableau3[Resource]=Tableau6[[#This Row],[Marginal supply commodity HIGH]])*(Tableau3[Scenario]="HIGH_2050"),
             0))*1000</f>
        <v>24.6344262295082</v>
      </c>
      <c r="K23" s="11">
        <f>(Tableau6[[#This Row],[Total cost (M€/y) HIGH]]-Tableau6[[#This Row],[Total Cost (M€) HIGH +1Mt CO2]])</f>
        <v>348.36961299998802</v>
      </c>
      <c r="L23" s="22">
        <f>Tableau6[[#This Row],[Marginal Carbon cost (€/tCO2) HIGH]]*Tableau6[[#This Row],[Marginal emission factor (kgCO2/MWh) HIGH]]/1000</f>
        <v>8.5818855320505261</v>
      </c>
      <c r="M23" s="22">
        <f>(CS23-CS22)*AVERAGE($E$3,E23)/(B23-B22)</f>
        <v>38.430059044679943</v>
      </c>
      <c r="N23" s="22">
        <f>(CS23-CS22)*Tableau6[[#This Row],[Marginal value of solid biomass (€/MWh) HIGH]]/(B23-B22)</f>
        <v>5.7291954813221437</v>
      </c>
      <c r="O23" s="22">
        <f>(CS23-CS22)*Tableau6[[#This Row],[Marginal supply cost (€/MWh) HIGH]]/(B23-B22)</f>
        <v>0.39196425223942033</v>
      </c>
      <c r="P23" s="22">
        <f>Tableau6[[#This Row],[Marginal supply cost (€/MWh) HIGH]]+Tableau6[[#This Row],[Carbon cost of marginal biomass (€/MWh) HIGH]]</f>
        <v>16.671235987977575</v>
      </c>
      <c r="Q23" s="6">
        <v>247304.57363299999</v>
      </c>
      <c r="R23" s="6">
        <v>246952.277183</v>
      </c>
      <c r="S23" s="6">
        <f>(Q22-Tableau6[[#This Row],[Total cost (M€/y) MED]])/(Tableau6[[#This Row],[Solid biomass availability (GWh/y)]]-B22)*1000</f>
        <v>108.5094174000027</v>
      </c>
      <c r="T23" s="6" t="s">
        <v>33</v>
      </c>
      <c r="U23" s="6">
        <f t="shared" ref="U23:U42" si="7">AVERAGE($S$22:$S$42)</f>
        <v>85.883827533333417</v>
      </c>
      <c r="V23" s="19" t="s">
        <v>10</v>
      </c>
      <c r="W23" s="10" cm="1">
        <f t="array" ref="W23">INDEX(Tableau3[Production cost (M€/GWh)],
       MATCH(1,
             (Tableau3[Resource]=Tableau6[[#This Row],[Marginal supply commodity MED]])*(Tableau3[Scenario]="MED_2050"),
             0))*1000</f>
        <v>24.51298899676376</v>
      </c>
      <c r="X23" s="10" cm="1">
        <f t="array" ref="X23">INDEX(Tableau3[GHG impact (tCO2eq/MWh)],
       MATCH(1,
             (Tableau3[Resource]=Tableau6[[#This Row],[Marginal supply commodity MED]])*(Tableau3[Scenario]="MED_2050"),
             0))*1000</f>
        <v>13.917873892652425</v>
      </c>
      <c r="Y23" s="10">
        <f>Tableau6[[#This Row],[Total cost (M€/y) MED]]-Tableau6[[#This Row],[Total cost (M€/y) MED +1Mt CO2]]</f>
        <v>352.29644999999437</v>
      </c>
      <c r="Z23" s="10">
        <f>Tableau6[[#This Row],[Marginal Carbon cost (€/tCO2) MED]]*Tableau6[[#This Row],[Marginal emission factor (kgCO2/MWh)]]/1000</f>
        <v>4.9032175639290516</v>
      </c>
      <c r="AA23" s="10">
        <f>Tableau6[[#This Row],[Carbon cost of marginal biomass (€/MWh) MED]]+Tableau6[[#This Row],[Marginal supply cost (€/MWh) MED]]</f>
        <v>29.41620656069281</v>
      </c>
      <c r="AB23" s="6">
        <v>250085.604013</v>
      </c>
      <c r="AC23" s="6">
        <f>(AB22-Tableau6[[#This Row],[Total cost (M€/y) LOW]])/(Tableau6[[#This Row],[Solid biomass availability (GWh/y)]]-B22)*1000</f>
        <v>89.773738200002114</v>
      </c>
      <c r="AD23" s="6" t="s">
        <v>33</v>
      </c>
      <c r="AE23" s="6">
        <f t="shared" si="5"/>
        <v>89.64937771428626</v>
      </c>
      <c r="AF23" s="6" t="s">
        <v>24</v>
      </c>
      <c r="AG23" s="6" cm="1">
        <f t="array" ref="AG23">INDEX(Tableau3[Production cost (M€/GWh)],
       MATCH(1,
             (Tableau3[Resource]=Tableau6[[#This Row],[Marginal supply commodity LOW2]])*(Tableau3[Scenario]="LOW_2050"),
             0))*1000</f>
        <v>17.196145161290325</v>
      </c>
      <c r="AH23" s="15">
        <v>6.1642000000000002E-2</v>
      </c>
      <c r="AI23" s="17">
        <v>21640.574455999998</v>
      </c>
      <c r="AJ23" s="15">
        <v>0.106672</v>
      </c>
      <c r="AK23" s="15">
        <v>0.41199000000000002</v>
      </c>
      <c r="AL23" s="15">
        <v>5.8562000000000003E-2</v>
      </c>
      <c r="AM23" s="16">
        <v>34138.774085999998</v>
      </c>
      <c r="AN23" s="16">
        <v>44388.743316</v>
      </c>
      <c r="AO23" s="16">
        <v>35431.343395999997</v>
      </c>
      <c r="AP23" s="15">
        <v>29.200208</v>
      </c>
      <c r="AQ23" s="15">
        <v>2.2506999999999999E-2</v>
      </c>
      <c r="AR23" s="16">
        <v>40332.999305999998</v>
      </c>
      <c r="AS23" s="15">
        <v>4.0253999999999998E-2</v>
      </c>
      <c r="AT23" s="16">
        <v>88.821622000000005</v>
      </c>
      <c r="AU23" s="16">
        <v>8833.3322970000008</v>
      </c>
      <c r="AV23" s="16">
        <v>15166.666445999999</v>
      </c>
      <c r="AW23" s="15">
        <v>1.5805E-2</v>
      </c>
      <c r="AX23" s="16">
        <v>504.14019100000002</v>
      </c>
      <c r="AY23" s="16">
        <v>4444.4443289999999</v>
      </c>
      <c r="AZ23" s="15">
        <v>2.341E-2</v>
      </c>
      <c r="BA23" s="15">
        <v>0.207205</v>
      </c>
      <c r="BB23" s="15">
        <v>1.4418E-2</v>
      </c>
      <c r="BC23" s="11">
        <v>54.987428000000001</v>
      </c>
      <c r="BD23" s="11">
        <v>36555.500823000002</v>
      </c>
      <c r="BE23" s="11">
        <v>194.44470699999999</v>
      </c>
      <c r="BF23" s="11">
        <v>34138.484524</v>
      </c>
      <c r="BG23" s="17">
        <v>27248.192375999999</v>
      </c>
      <c r="BH23" s="11">
        <v>28361.112528000001</v>
      </c>
      <c r="BI23" s="11">
        <v>12555.557011999999</v>
      </c>
      <c r="BJ23" s="11">
        <v>14172.546122</v>
      </c>
      <c r="BK23" s="11">
        <v>6388.8903689999997</v>
      </c>
      <c r="BL23" s="11">
        <v>0.24886800000000001</v>
      </c>
      <c r="BM23" s="11">
        <v>31515.347958999999</v>
      </c>
      <c r="BN23" s="11">
        <v>0.93955100000000003</v>
      </c>
      <c r="BO23" s="11">
        <v>44.418210000000002</v>
      </c>
      <c r="BP23" s="11">
        <v>4222.2238539999998</v>
      </c>
      <c r="BQ23" s="11">
        <v>6055.5573590000004</v>
      </c>
      <c r="BR23" s="11">
        <v>9.2146000000000006E-2</v>
      </c>
      <c r="BS23" s="11">
        <v>268.87890399999998</v>
      </c>
      <c r="BT23" s="11">
        <v>1722.224172</v>
      </c>
      <c r="BU23" s="11">
        <v>0.27013199999999998</v>
      </c>
      <c r="BV23" s="11">
        <v>1500.001395</v>
      </c>
      <c r="BW23" s="11">
        <v>0.13064000000000001</v>
      </c>
      <c r="BX23" s="11">
        <v>13.743709000000001</v>
      </c>
      <c r="BY23" s="11">
        <v>22194.417651</v>
      </c>
      <c r="BZ23" s="11">
        <v>194.44612000000001</v>
      </c>
      <c r="CA23" s="11">
        <v>34138.445044</v>
      </c>
      <c r="CB23" s="11">
        <v>77246.628215000004</v>
      </c>
      <c r="CC23" s="11">
        <v>24709.952053000001</v>
      </c>
      <c r="CD23" s="11">
        <v>3166.668529</v>
      </c>
      <c r="CE23" s="11">
        <v>3543.1408860000001</v>
      </c>
      <c r="CF23" s="11">
        <v>1916.6685829999999</v>
      </c>
      <c r="CG23" s="11">
        <v>0.500695</v>
      </c>
      <c r="CH23" s="11">
        <v>18385.337220000001</v>
      </c>
      <c r="CI23" s="11">
        <v>55.556545</v>
      </c>
      <c r="CJ23" s="11">
        <v>8.8910929999999997</v>
      </c>
      <c r="CK23" s="11">
        <v>1277.7798009999999</v>
      </c>
      <c r="CL23" s="11">
        <v>1472.2243100000001</v>
      </c>
      <c r="CM23" s="11">
        <v>0.28077999999999997</v>
      </c>
      <c r="CN23" s="11">
        <v>100.829758</v>
      </c>
      <c r="CO23" s="11">
        <v>388.89108700000003</v>
      </c>
      <c r="CP23" s="17">
        <v>15824.24165</v>
      </c>
      <c r="CQ23" s="11">
        <v>361.113021</v>
      </c>
      <c r="CR23" s="11">
        <v>0.29787400000000003</v>
      </c>
      <c r="CS23" s="11">
        <v>146175.25013500001</v>
      </c>
      <c r="CT23" s="11">
        <v>4.4831000000000003E-2</v>
      </c>
      <c r="CU23" s="11">
        <v>9.7169999999999999E-3</v>
      </c>
      <c r="CV23" s="11">
        <v>7.8279999999999999E-3</v>
      </c>
      <c r="CW23" s="11">
        <v>8.2249999999999997E-3</v>
      </c>
      <c r="CX23" s="17">
        <v>10552.966436000001</v>
      </c>
      <c r="CY23" s="11">
        <v>7.0419999999999996E-3</v>
      </c>
      <c r="CZ23" s="11">
        <v>48271.572725999999</v>
      </c>
      <c r="DA23" s="11">
        <v>7.3039999999999997E-3</v>
      </c>
      <c r="DB23" s="11">
        <v>3.3790000000000001E-2</v>
      </c>
      <c r="DC23" s="11">
        <v>1.7031999999999999E-2</v>
      </c>
      <c r="DD23" s="11">
        <v>1.5303000000000001E-2</v>
      </c>
      <c r="DE23" s="11">
        <v>3.3203999999999997E-2</v>
      </c>
      <c r="DF23" s="11">
        <v>1.7326000000000001E-2</v>
      </c>
      <c r="DG23" s="11">
        <v>7.0590000000000002E-3</v>
      </c>
      <c r="DH23" s="11">
        <v>4.1609999999999998E-3</v>
      </c>
      <c r="DI23" s="11">
        <v>144514.06690199999</v>
      </c>
      <c r="DJ23" s="11">
        <v>0.190944</v>
      </c>
      <c r="DK23" s="11">
        <v>5.0358E-2</v>
      </c>
      <c r="DL23" s="11">
        <v>3.8725000000000002E-2</v>
      </c>
      <c r="DM23" s="11">
        <v>4.0533E-2</v>
      </c>
      <c r="DN23" s="17">
        <v>12213.500518000001</v>
      </c>
      <c r="DO23" s="11">
        <v>4.6748999999999999E-2</v>
      </c>
      <c r="DP23" s="11">
        <v>48271.455191000001</v>
      </c>
      <c r="DQ23" s="11">
        <v>3.7708999999999999E-2</v>
      </c>
      <c r="DR23" s="11">
        <v>0.152694</v>
      </c>
      <c r="DS23" s="11">
        <v>8.3296999999999996E-2</v>
      </c>
      <c r="DT23" s="11">
        <v>7.2040000000000007E-2</v>
      </c>
      <c r="DU23" s="11">
        <v>0.16978399999999999</v>
      </c>
      <c r="DV23" s="11">
        <v>8.2277000000000003E-2</v>
      </c>
      <c r="DW23" s="11">
        <v>3.8108000000000003E-2</v>
      </c>
      <c r="DX23" s="11">
        <v>2.3272000000000001E-2</v>
      </c>
      <c r="DY23" s="11">
        <v>143897.42177399999</v>
      </c>
      <c r="DZ23" s="11">
        <v>0.297039</v>
      </c>
      <c r="EA23" s="11">
        <v>7.596E-2</v>
      </c>
      <c r="EB23" s="11">
        <v>6.1395999999999999E-2</v>
      </c>
      <c r="EC23" s="11">
        <v>6.6306000000000004E-2</v>
      </c>
      <c r="ED23" s="17">
        <v>10258.728069999999</v>
      </c>
      <c r="EE23" s="17">
        <v>2570.678864</v>
      </c>
      <c r="EF23" s="11">
        <v>48271.632140000002</v>
      </c>
      <c r="EG23" s="11">
        <v>5.8401000000000002E-2</v>
      </c>
      <c r="EH23" s="11">
        <v>0.24942700000000001</v>
      </c>
      <c r="EI23" s="11">
        <v>0.13331499999999999</v>
      </c>
      <c r="EJ23" s="11">
        <v>0.134849</v>
      </c>
      <c r="EK23" s="11">
        <v>0.27367000000000002</v>
      </c>
      <c r="EL23" s="11">
        <v>0.124984</v>
      </c>
      <c r="EM23" s="11">
        <v>8.2769999999999996E-2</v>
      </c>
      <c r="EN23" s="11">
        <v>3.5685000000000001E-2</v>
      </c>
    </row>
    <row r="24" spans="1:144" x14ac:dyDescent="0.3">
      <c r="A24">
        <v>22</v>
      </c>
      <c r="B24" s="6">
        <v>210000</v>
      </c>
      <c r="C24" s="6">
        <v>244580.21311700001</v>
      </c>
      <c r="D24" s="6">
        <v>244234.45559100001</v>
      </c>
      <c r="E24" s="6">
        <f>(C23-Tableau6[[#This Row],[Total cost (M€/y) HIGH]])/(Tableau6[[#This Row],[Solid biomass availability (GWh/y)]]-B23)*1000</f>
        <v>117.6518747999973</v>
      </c>
      <c r="F24" s="6" t="s">
        <v>33</v>
      </c>
      <c r="G24" s="10">
        <f t="shared" si="6"/>
        <v>99.670582030000205</v>
      </c>
      <c r="H24" s="6" t="s">
        <v>7</v>
      </c>
      <c r="I24" s="11" cm="1">
        <f t="array" ref="I24">INDEX(Tableau3[Production cost (M€/GWh)],
       MATCH(1,
             (Tableau3[Resource]=Tableau6[[#This Row],[Marginal supply commodity HIGH]])*(Tableau3[Scenario]="HIGH_2050"),
             0))*1000</f>
        <v>8.0893504559270504</v>
      </c>
      <c r="J24" s="11" cm="1">
        <f t="array" ref="J24">INDEX(Tableau3[GHG impact (tCO2eq/MWh)],
       MATCH(1,
             (Tableau3[Resource]=Tableau6[[#This Row],[Marginal supply commodity HIGH]])*(Tableau3[Scenario]="HIGH_2050"),
             0))*1000</f>
        <v>24.6344262295082</v>
      </c>
      <c r="K24" s="11">
        <f>(Tableau6[[#This Row],[Total cost (M€/y) HIGH]]-Tableau6[[#This Row],[Total Cost (M€) HIGH +1Mt CO2]])</f>
        <v>345.75752600000123</v>
      </c>
      <c r="L24" s="22">
        <f>Tableau6[[#This Row],[Marginal Carbon cost (€/tCO2) HIGH]]*Tableau6[[#This Row],[Marginal emission factor (kgCO2/MWh) HIGH]]/1000</f>
        <v>8.5175382675442943</v>
      </c>
      <c r="M24" s="22">
        <f>(CS24-CS23)*AVERAGE($E$3,E24)/(B24-B23)</f>
        <v>36.23195248099421</v>
      </c>
      <c r="N24" s="22">
        <f>(CS24-CS23)*Tableau6[[#This Row],[Marginal value of solid biomass (€/MWh) HIGH]]/(B24-B23)</f>
        <v>5.3766669126809967</v>
      </c>
      <c r="O24" s="22">
        <f>(CS24-CS23)*Tableau6[[#This Row],[Marginal supply cost (€/MWh) HIGH]]/(B24-B23)</f>
        <v>0.3696816817870624</v>
      </c>
      <c r="P24" s="22">
        <f>Tableau6[[#This Row],[Marginal supply cost (€/MWh) HIGH]]+Tableau6[[#This Row],[Carbon cost of marginal biomass (€/MWh) HIGH]]</f>
        <v>16.606888723471343</v>
      </c>
      <c r="Q24" s="6">
        <v>246768.58388300001</v>
      </c>
      <c r="R24" s="6">
        <v>246444.85483299999</v>
      </c>
      <c r="S24" s="6">
        <f>(Q23-Tableau6[[#This Row],[Total cost (M€/y) MED]])/(Tableau6[[#This Row],[Solid biomass availability (GWh/y)]]-B23)*1000</f>
        <v>107.19794999999577</v>
      </c>
      <c r="T24" s="6" t="s">
        <v>33</v>
      </c>
      <c r="U24" s="6">
        <f t="shared" si="7"/>
        <v>85.883827533333417</v>
      </c>
      <c r="V24" s="19" t="s">
        <v>10</v>
      </c>
      <c r="W24" s="10" cm="1">
        <f t="array" ref="W24">INDEX(Tableau3[Production cost (M€/GWh)],
       MATCH(1,
             (Tableau3[Resource]=Tableau6[[#This Row],[Marginal supply commodity MED]])*(Tableau3[Scenario]="MED_2050"),
             0))*1000</f>
        <v>24.51298899676376</v>
      </c>
      <c r="X24" s="10" cm="1">
        <f t="array" ref="X24">INDEX(Tableau3[GHG impact (tCO2eq/MWh)],
       MATCH(1,
             (Tableau3[Resource]=Tableau6[[#This Row],[Marginal supply commodity MED]])*(Tableau3[Scenario]="MED_2050"),
             0))*1000</f>
        <v>13.917873892652425</v>
      </c>
      <c r="Y24" s="10">
        <f>Tableau6[[#This Row],[Total cost (M€/y) MED]]-Tableau6[[#This Row],[Total cost (M€/y) MED +1Mt CO2]]</f>
        <v>323.72905000002356</v>
      </c>
      <c r="Z24" s="10">
        <f>Tableau6[[#This Row],[Marginal Carbon cost (€/tCO2) MED]]*Tableau6[[#This Row],[Marginal emission factor (kgCO2/MWh)]]/1000</f>
        <v>4.5056200932884991</v>
      </c>
      <c r="AA24" s="10">
        <f>Tableau6[[#This Row],[Carbon cost of marginal biomass (€/MWh) MED]]+Tableau6[[#This Row],[Marginal supply cost (€/MWh) MED]]</f>
        <v>29.018609090052259</v>
      </c>
      <c r="AB24" s="6">
        <v>249660.638695</v>
      </c>
      <c r="AC24" s="6">
        <f>(AB23-Tableau6[[#This Row],[Total cost (M€/y) LOW]])/(Tableau6[[#This Row],[Solid biomass availability (GWh/y)]]-B23)*1000</f>
        <v>84.993063600000454</v>
      </c>
      <c r="AD24" s="6" t="s">
        <v>33</v>
      </c>
      <c r="AE24" s="6">
        <f t="shared" si="5"/>
        <v>89.64937771428626</v>
      </c>
      <c r="AF24" s="6" t="s">
        <v>24</v>
      </c>
      <c r="AG24" s="6" cm="1">
        <f t="array" ref="AG24">INDEX(Tableau3[Production cost (M€/GWh)],
       MATCH(1,
             (Tableau3[Resource]=Tableau6[[#This Row],[Marginal supply commodity LOW2]])*(Tableau3[Scenario]="LOW_2050"),
             0))*1000</f>
        <v>17.196145161290325</v>
      </c>
      <c r="AH24" s="15">
        <v>0.27472800000000003</v>
      </c>
      <c r="AI24" s="17">
        <v>26560.819555999999</v>
      </c>
      <c r="AJ24" s="15">
        <v>0.42436800000000002</v>
      </c>
      <c r="AK24" s="15">
        <v>1.6316219999999999</v>
      </c>
      <c r="AL24" s="15">
        <v>0.31986999999999999</v>
      </c>
      <c r="AM24" s="16">
        <v>34138.887427000001</v>
      </c>
      <c r="AN24" s="16">
        <v>44388.865366999999</v>
      </c>
      <c r="AO24" s="16">
        <v>35431.342143000002</v>
      </c>
      <c r="AP24" s="15">
        <v>107.012989</v>
      </c>
      <c r="AQ24" s="15">
        <v>0.138152</v>
      </c>
      <c r="AR24" s="16">
        <v>40331.521141999998</v>
      </c>
      <c r="AS24" s="15">
        <v>0.16427800000000001</v>
      </c>
      <c r="AT24" s="16">
        <v>88.810237000000001</v>
      </c>
      <c r="AU24" s="16">
        <v>8833.3299800000004</v>
      </c>
      <c r="AV24" s="16">
        <v>15166.666934999999</v>
      </c>
      <c r="AW24" s="15">
        <v>6.9944000000000006E-2</v>
      </c>
      <c r="AX24" s="16">
        <v>504.10497099999998</v>
      </c>
      <c r="AY24" s="16">
        <v>4444.4456190000001</v>
      </c>
      <c r="AZ24" s="15">
        <v>0.14272499999999999</v>
      </c>
      <c r="BA24" s="15">
        <v>0.97430899999999998</v>
      </c>
      <c r="BB24" s="15">
        <v>0.100023</v>
      </c>
      <c r="BC24" s="11">
        <v>54.986831000000002</v>
      </c>
      <c r="BD24" s="11">
        <v>36555.548796000003</v>
      </c>
      <c r="BE24" s="11">
        <v>194.44386800000001</v>
      </c>
      <c r="BF24" s="11">
        <v>34138.484952999999</v>
      </c>
      <c r="BG24" s="17">
        <v>32247.703053000001</v>
      </c>
      <c r="BH24" s="11">
        <v>28361.111485000001</v>
      </c>
      <c r="BI24" s="11">
        <v>12555.556095</v>
      </c>
      <c r="BJ24" s="11">
        <v>14172.545292000001</v>
      </c>
      <c r="BK24" s="11">
        <v>6388.8895519999996</v>
      </c>
      <c r="BL24" s="11">
        <v>0.41485899999999998</v>
      </c>
      <c r="BM24" s="11">
        <v>31515.327069999999</v>
      </c>
      <c r="BN24" s="11">
        <v>1.0104610000000001</v>
      </c>
      <c r="BO24" s="11">
        <v>44.417684999999999</v>
      </c>
      <c r="BP24" s="11">
        <v>4222.2230879999997</v>
      </c>
      <c r="BQ24" s="11">
        <v>6055.55663</v>
      </c>
      <c r="BR24" s="11">
        <v>4.9331E-2</v>
      </c>
      <c r="BS24" s="11">
        <v>268.87855400000001</v>
      </c>
      <c r="BT24" s="11">
        <v>1722.2235290000001</v>
      </c>
      <c r="BU24" s="11">
        <v>0.44941900000000001</v>
      </c>
      <c r="BV24" s="11">
        <v>1500.0005369999999</v>
      </c>
      <c r="BW24" s="11">
        <v>0.218722</v>
      </c>
      <c r="BX24" s="11">
        <v>13.742020999999999</v>
      </c>
      <c r="BY24" s="11">
        <v>22194.444817</v>
      </c>
      <c r="BZ24" s="11">
        <v>194.44472200000001</v>
      </c>
      <c r="CA24" s="11">
        <v>34138.483686</v>
      </c>
      <c r="CB24" s="11">
        <v>77249.996333000003</v>
      </c>
      <c r="CC24" s="11">
        <v>24709.967032</v>
      </c>
      <c r="CD24" s="11">
        <v>3166.667027</v>
      </c>
      <c r="CE24" s="11">
        <v>3543.1392770000002</v>
      </c>
      <c r="CF24" s="11">
        <v>1916.667029</v>
      </c>
      <c r="CG24" s="11">
        <v>154.34529900000001</v>
      </c>
      <c r="CH24" s="11">
        <v>18386.155675000002</v>
      </c>
      <c r="CI24" s="11">
        <v>55.555638999999999</v>
      </c>
      <c r="CJ24" s="11">
        <v>8.8892869999999995</v>
      </c>
      <c r="CK24" s="11">
        <v>1277.778159</v>
      </c>
      <c r="CL24" s="11">
        <v>1472.222622</v>
      </c>
      <c r="CM24" s="11">
        <v>7.5114E-2</v>
      </c>
      <c r="CN24" s="11">
        <v>100.82813400000001</v>
      </c>
      <c r="CO24" s="11">
        <v>388.88930699999997</v>
      </c>
      <c r="CP24" s="17">
        <v>20666.481857999999</v>
      </c>
      <c r="CQ24" s="11">
        <v>361.11145499999998</v>
      </c>
      <c r="CR24" s="11">
        <v>0.12625400000000001</v>
      </c>
      <c r="CS24" s="11">
        <v>146403.749125</v>
      </c>
      <c r="CT24" s="11">
        <v>0.230685</v>
      </c>
      <c r="CU24" s="11">
        <v>5.4387999999999999E-2</v>
      </c>
      <c r="CV24" s="11">
        <v>4.7093999999999997E-2</v>
      </c>
      <c r="CW24" s="11">
        <v>4.9362000000000003E-2</v>
      </c>
      <c r="CX24" s="17">
        <v>15323.741314999999</v>
      </c>
      <c r="CY24" s="11">
        <v>5.2089999999999997E-2</v>
      </c>
      <c r="CZ24" s="11">
        <v>48271.330477000003</v>
      </c>
      <c r="DA24" s="11">
        <v>4.5506999999999999E-2</v>
      </c>
      <c r="DB24" s="11">
        <v>0.181947</v>
      </c>
      <c r="DC24" s="11">
        <v>9.8426E-2</v>
      </c>
      <c r="DD24" s="11">
        <v>8.6376999999999995E-2</v>
      </c>
      <c r="DE24" s="11">
        <v>0.20669599999999999</v>
      </c>
      <c r="DF24" s="11">
        <v>9.9700999999999998E-2</v>
      </c>
      <c r="DG24" s="11">
        <v>4.5136999999999997E-2</v>
      </c>
      <c r="DH24" s="11">
        <v>2.8080999999999998E-2</v>
      </c>
      <c r="DI24" s="11">
        <v>144606.989011</v>
      </c>
      <c r="DJ24" s="11">
        <v>0.314168</v>
      </c>
      <c r="DK24" s="11">
        <v>8.6069000000000007E-2</v>
      </c>
      <c r="DL24" s="11">
        <v>6.1903E-2</v>
      </c>
      <c r="DM24" s="11">
        <v>6.5796999999999994E-2</v>
      </c>
      <c r="DN24" s="17">
        <v>17120.180236</v>
      </c>
      <c r="DO24" s="11">
        <v>7.3714000000000002E-2</v>
      </c>
      <c r="DP24" s="11">
        <v>48271.213379000001</v>
      </c>
      <c r="DQ24" s="11">
        <v>5.9787E-2</v>
      </c>
      <c r="DR24" s="11">
        <v>0.244869</v>
      </c>
      <c r="DS24" s="11">
        <v>0.127717</v>
      </c>
      <c r="DT24" s="11">
        <v>0.118923</v>
      </c>
      <c r="DU24" s="11">
        <v>0.27476</v>
      </c>
      <c r="DV24" s="11">
        <v>0.12833600000000001</v>
      </c>
      <c r="DW24" s="11">
        <v>6.2649999999999997E-2</v>
      </c>
      <c r="DX24" s="11">
        <v>3.8517999999999997E-2</v>
      </c>
      <c r="DY24" s="11">
        <v>144701.40058300001</v>
      </c>
      <c r="DZ24" s="11">
        <v>6.7086999999999994E-2</v>
      </c>
      <c r="EA24" s="11">
        <v>1.8360000000000001E-2</v>
      </c>
      <c r="EB24" s="11">
        <v>1.3906E-2</v>
      </c>
      <c r="EC24" s="11">
        <v>1.4964999999999999E-2</v>
      </c>
      <c r="ED24" s="17">
        <v>14160.218537000001</v>
      </c>
      <c r="EE24" s="17">
        <v>2866.374851</v>
      </c>
      <c r="EF24" s="11">
        <v>48271.651432999999</v>
      </c>
      <c r="EG24" s="11">
        <v>1.338E-2</v>
      </c>
      <c r="EH24" s="11">
        <v>5.6836999999999999E-2</v>
      </c>
      <c r="EI24" s="11">
        <v>3.0568999999999999E-2</v>
      </c>
      <c r="EJ24" s="11">
        <v>3.0512999999999998E-2</v>
      </c>
      <c r="EK24" s="11">
        <v>6.4294000000000004E-2</v>
      </c>
      <c r="EL24" s="11">
        <v>2.8500999999999999E-2</v>
      </c>
      <c r="EM24" s="11">
        <v>1.8759999999999999E-2</v>
      </c>
      <c r="EN24" s="11">
        <v>8.1799999999999998E-3</v>
      </c>
    </row>
    <row r="25" spans="1:144" x14ac:dyDescent="0.3">
      <c r="A25">
        <v>23</v>
      </c>
      <c r="B25" s="6">
        <v>215000</v>
      </c>
      <c r="C25" s="6">
        <v>243999.86928000001</v>
      </c>
      <c r="D25" s="6">
        <v>243671.12979400001</v>
      </c>
      <c r="E25" s="6">
        <f>(C24-Tableau6[[#This Row],[Total cost (M€/y) HIGH]])/(Tableau6[[#This Row],[Solid biomass availability (GWh/y)]]-B24)*1000</f>
        <v>116.06876739999862</v>
      </c>
      <c r="F25" s="6" t="s">
        <v>33</v>
      </c>
      <c r="G25" s="10">
        <f t="shared" si="6"/>
        <v>99.670582030000205</v>
      </c>
      <c r="H25" s="6" t="s">
        <v>7</v>
      </c>
      <c r="I25" s="11" cm="1">
        <f t="array" ref="I25">INDEX(Tableau3[Production cost (M€/GWh)],
       MATCH(1,
             (Tableau3[Resource]=Tableau6[[#This Row],[Marginal supply commodity HIGH]])*(Tableau3[Scenario]="HIGH_2050"),
             0))*1000</f>
        <v>8.0893504559270504</v>
      </c>
      <c r="J25" s="11" cm="1">
        <f t="array" ref="J25">INDEX(Tableau3[GHG impact (tCO2eq/MWh)],
       MATCH(1,
             (Tableau3[Resource]=Tableau6[[#This Row],[Marginal supply commodity HIGH]])*(Tableau3[Scenario]="HIGH_2050"),
             0))*1000</f>
        <v>24.6344262295082</v>
      </c>
      <c r="K25" s="11">
        <f>(Tableau6[[#This Row],[Total cost (M€/y) HIGH]]-Tableau6[[#This Row],[Total Cost (M€) HIGH +1Mt CO2]])</f>
        <v>328.73948600000585</v>
      </c>
      <c r="L25" s="22">
        <f>Tableau6[[#This Row],[Marginal Carbon cost (€/tCO2) HIGH]]*Tableau6[[#This Row],[Marginal emission factor (kgCO2/MWh) HIGH]]/1000</f>
        <v>8.098308616593588</v>
      </c>
      <c r="M25" s="22">
        <f>(CS25-CS24)*AVERAGE($E$3,E25)/(B25-B24)</f>
        <v>35.761815786580343</v>
      </c>
      <c r="N25" s="22">
        <f>(CS25-CS24)*Tableau6[[#This Row],[Marginal value of solid biomass (€/MWh) HIGH]]/(B25-B24)</f>
        <v>5.240724032370518</v>
      </c>
      <c r="O25" s="22">
        <f>(CS25-CS24)*Tableau6[[#This Row],[Marginal supply cost (€/MWh) HIGH]]/(B25-B24)</f>
        <v>0.36524944901452283</v>
      </c>
      <c r="P25" s="22">
        <f>Tableau6[[#This Row],[Marginal supply cost (€/MWh) HIGH]]+Tableau6[[#This Row],[Carbon cost of marginal biomass (€/MWh) HIGH]]</f>
        <v>16.187659072520638</v>
      </c>
      <c r="Q25" s="6">
        <v>246278.29730400001</v>
      </c>
      <c r="R25" s="6">
        <v>245899.75010999999</v>
      </c>
      <c r="S25" s="6">
        <f>(Q24-Tableau6[[#This Row],[Total cost (M€/y) MED]])/(Tableau6[[#This Row],[Solid biomass availability (GWh/y)]]-B24)*1000</f>
        <v>98.057315800001376</v>
      </c>
      <c r="T25" s="6" t="s">
        <v>33</v>
      </c>
      <c r="U25" s="6">
        <f t="shared" si="7"/>
        <v>85.883827533333417</v>
      </c>
      <c r="V25" s="19" t="s">
        <v>10</v>
      </c>
      <c r="W25" s="10" cm="1">
        <f t="array" ref="W25">INDEX(Tableau3[Production cost (M€/GWh)],
       MATCH(1,
             (Tableau3[Resource]=Tableau6[[#This Row],[Marginal supply commodity MED]])*(Tableau3[Scenario]="MED_2050"),
             0))*1000</f>
        <v>24.51298899676376</v>
      </c>
      <c r="X25" s="10" cm="1">
        <f t="array" ref="X25">INDEX(Tableau3[GHG impact (tCO2eq/MWh)],
       MATCH(1,
             (Tableau3[Resource]=Tableau6[[#This Row],[Marginal supply commodity MED]])*(Tableau3[Scenario]="MED_2050"),
             0))*1000</f>
        <v>13.917873892652425</v>
      </c>
      <c r="Y25" s="10">
        <f>Tableau6[[#This Row],[Total cost (M€/y) MED]]-Tableau6[[#This Row],[Total cost (M€/y) MED +1Mt CO2]]</f>
        <v>378.54719400001341</v>
      </c>
      <c r="Z25" s="10">
        <f>Tableau6[[#This Row],[Marginal Carbon cost (€/tCO2) MED]]*Tableau6[[#This Row],[Marginal emission factor (kgCO2/MWh)]]/1000</f>
        <v>5.2685721085096189</v>
      </c>
      <c r="AA25" s="10">
        <f>Tableau6[[#This Row],[Carbon cost of marginal biomass (€/MWh) MED]]+Tableau6[[#This Row],[Marginal supply cost (€/MWh) MED]]</f>
        <v>29.781561105273379</v>
      </c>
      <c r="AB25" s="6">
        <v>249239.298801</v>
      </c>
      <c r="AC25" s="6">
        <f>(AB24-Tableau6[[#This Row],[Total cost (M€/y) LOW]])/(Tableau6[[#This Row],[Solid biomass availability (GWh/y)]]-B24)*1000</f>
        <v>84.267978800000847</v>
      </c>
      <c r="AD25" s="6" t="s">
        <v>33</v>
      </c>
      <c r="AE25" s="6">
        <f t="shared" si="5"/>
        <v>89.64937771428626</v>
      </c>
      <c r="AF25" s="6" t="s">
        <v>15</v>
      </c>
      <c r="AG25" s="6" cm="1">
        <f t="array" ref="AG25">INDEX(Tableau3[Production cost (M€/GWh)],
       MATCH(1,
             (Tableau3[Resource]=Tableau6[[#This Row],[Marginal supply commodity LOW2]])*(Tableau3[Scenario]="LOW_2050"),
             0))*1000</f>
        <v>18.402520930232555</v>
      </c>
      <c r="AH25" s="15">
        <v>0.19858500000000001</v>
      </c>
      <c r="AI25" s="17">
        <v>31581.872938</v>
      </c>
      <c r="AJ25" s="15">
        <v>0.29841400000000001</v>
      </c>
      <c r="AK25" s="15">
        <v>1.2327859999999999</v>
      </c>
      <c r="AL25" s="15">
        <v>0.233322</v>
      </c>
      <c r="AM25" s="16">
        <v>34138.828127000001</v>
      </c>
      <c r="AN25" s="16">
        <v>44388.849106000001</v>
      </c>
      <c r="AO25" s="16">
        <v>35431.331424999997</v>
      </c>
      <c r="AP25" s="15">
        <v>85.918227999999999</v>
      </c>
      <c r="AQ25" s="15">
        <v>9.6997E-2</v>
      </c>
      <c r="AR25" s="16">
        <v>40332.810490000003</v>
      </c>
      <c r="AS25" s="15">
        <v>0.155311</v>
      </c>
      <c r="AT25" s="16">
        <v>88.814914999999999</v>
      </c>
      <c r="AU25" s="16">
        <v>8833.3303579999993</v>
      </c>
      <c r="AV25" s="16">
        <v>15166.666359000001</v>
      </c>
      <c r="AW25" s="15">
        <v>5.6890000000000003E-2</v>
      </c>
      <c r="AX25" s="16">
        <v>504.12949400000002</v>
      </c>
      <c r="AY25" s="16">
        <v>4444.4447579999996</v>
      </c>
      <c r="AZ25" s="15">
        <v>0.1004</v>
      </c>
      <c r="BA25" s="15">
        <v>0.58465999999999996</v>
      </c>
      <c r="BB25" s="15">
        <v>6.8680000000000005E-2</v>
      </c>
      <c r="BC25" s="11">
        <v>54.988486000000002</v>
      </c>
      <c r="BD25" s="11">
        <v>36555.553231999998</v>
      </c>
      <c r="BE25" s="11">
        <v>194.44550000000001</v>
      </c>
      <c r="BF25" s="11">
        <v>34138.486354000001</v>
      </c>
      <c r="BG25" s="17">
        <v>37247.548556000002</v>
      </c>
      <c r="BH25" s="11">
        <v>28361.114076999998</v>
      </c>
      <c r="BI25" s="11">
        <v>12555.558101000001</v>
      </c>
      <c r="BJ25" s="11">
        <v>14172.547235</v>
      </c>
      <c r="BK25" s="11">
        <v>6388.8914629999999</v>
      </c>
      <c r="BL25" s="11">
        <v>0.38281199999999999</v>
      </c>
      <c r="BM25" s="11">
        <v>31515.364509999999</v>
      </c>
      <c r="BN25" s="11">
        <v>1.122954</v>
      </c>
      <c r="BO25" s="11">
        <v>44.419361000000002</v>
      </c>
      <c r="BP25" s="11">
        <v>4222.2249549999997</v>
      </c>
      <c r="BQ25" s="11">
        <v>6055.5584550000003</v>
      </c>
      <c r="BR25" s="11">
        <v>0.14974899999999999</v>
      </c>
      <c r="BS25" s="11">
        <v>268.88036799999998</v>
      </c>
      <c r="BT25" s="11">
        <v>1722.225287</v>
      </c>
      <c r="BU25" s="11">
        <v>0.41806900000000002</v>
      </c>
      <c r="BV25" s="11">
        <v>1500.0023639999999</v>
      </c>
      <c r="BW25" s="11">
        <v>0.193019</v>
      </c>
      <c r="BX25" s="11">
        <v>13.743164</v>
      </c>
      <c r="BY25" s="11">
        <v>22194.445845999999</v>
      </c>
      <c r="BZ25" s="11">
        <v>194.44563400000001</v>
      </c>
      <c r="CA25" s="11">
        <v>34138.484618000002</v>
      </c>
      <c r="CB25" s="11">
        <v>77250.000935999997</v>
      </c>
      <c r="CC25" s="11">
        <v>24709.967954</v>
      </c>
      <c r="CD25" s="11">
        <v>3166.6679009999998</v>
      </c>
      <c r="CE25" s="11">
        <v>3543.1402419999999</v>
      </c>
      <c r="CF25" s="11">
        <v>1916.667942</v>
      </c>
      <c r="CG25" s="17">
        <v>5153.8192529999997</v>
      </c>
      <c r="CH25" s="11">
        <v>18386.157385999999</v>
      </c>
      <c r="CI25" s="11">
        <v>55.556286</v>
      </c>
      <c r="CJ25" s="11">
        <v>8.8905130000000003</v>
      </c>
      <c r="CK25" s="11">
        <v>1277.7791580000001</v>
      </c>
      <c r="CL25" s="11">
        <v>1472.2236559999999</v>
      </c>
      <c r="CM25" s="11">
        <v>0.36766900000000002</v>
      </c>
      <c r="CN25" s="11">
        <v>100.82923700000001</v>
      </c>
      <c r="CO25" s="11">
        <v>388.890469</v>
      </c>
      <c r="CP25" s="11">
        <v>20666.204641</v>
      </c>
      <c r="CQ25" s="11">
        <v>361.11245500000001</v>
      </c>
      <c r="CR25" s="11">
        <v>0.64588299999999998</v>
      </c>
      <c r="CS25" s="11">
        <v>146629.50856700001</v>
      </c>
      <c r="CT25" s="11">
        <v>0.161467</v>
      </c>
      <c r="CU25" s="11">
        <v>4.0513E-2</v>
      </c>
      <c r="CV25" s="11">
        <v>3.2756E-2</v>
      </c>
      <c r="CW25" s="11">
        <v>3.4182999999999998E-2</v>
      </c>
      <c r="CX25" s="17">
        <v>20098.226267999999</v>
      </c>
      <c r="CY25" s="11">
        <v>3.4707000000000002E-2</v>
      </c>
      <c r="CZ25" s="11">
        <v>48271.433897000003</v>
      </c>
      <c r="DA25" s="11">
        <v>3.1280000000000002E-2</v>
      </c>
      <c r="DB25" s="11">
        <v>0.12614400000000001</v>
      </c>
      <c r="DC25" s="11">
        <v>6.7629999999999996E-2</v>
      </c>
      <c r="DD25" s="11">
        <v>6.0780000000000001E-2</v>
      </c>
      <c r="DE25" s="11">
        <v>0.146476</v>
      </c>
      <c r="DF25" s="11">
        <v>6.7944000000000004E-2</v>
      </c>
      <c r="DG25" s="11">
        <v>3.0821999999999999E-2</v>
      </c>
      <c r="DH25" s="11">
        <v>1.8822999999999999E-2</v>
      </c>
      <c r="DI25" s="11">
        <v>144708.49057600001</v>
      </c>
      <c r="DJ25" s="11">
        <v>0.277584</v>
      </c>
      <c r="DK25" s="11">
        <v>7.4526999999999996E-2</v>
      </c>
      <c r="DL25" s="11">
        <v>5.6926999999999998E-2</v>
      </c>
      <c r="DM25" s="11">
        <v>5.9205000000000001E-2</v>
      </c>
      <c r="DN25" s="17">
        <v>22018.745344999999</v>
      </c>
      <c r="DO25" s="11">
        <v>6.5975000000000006E-2</v>
      </c>
      <c r="DP25" s="11">
        <v>48271.339770999999</v>
      </c>
      <c r="DQ25" s="11">
        <v>5.3580999999999997E-2</v>
      </c>
      <c r="DR25" s="11">
        <v>0.22828799999999999</v>
      </c>
      <c r="DS25" s="11">
        <v>0.120202</v>
      </c>
      <c r="DT25" s="11">
        <v>0.103531</v>
      </c>
      <c r="DU25" s="11">
        <v>0.258409</v>
      </c>
      <c r="DV25" s="11">
        <v>0.115221</v>
      </c>
      <c r="DW25" s="11">
        <v>5.3602999999999998E-2</v>
      </c>
      <c r="DX25" s="11">
        <v>3.2189000000000002E-2</v>
      </c>
      <c r="DY25" s="11">
        <v>145508.23347800001</v>
      </c>
      <c r="DZ25" s="11">
        <v>0.31308900000000001</v>
      </c>
      <c r="EA25" s="11">
        <v>8.3590999999999999E-2</v>
      </c>
      <c r="EB25" s="11">
        <v>6.7532999999999996E-2</v>
      </c>
      <c r="EC25" s="11">
        <v>7.2482000000000005E-2</v>
      </c>
      <c r="ED25" s="17">
        <v>18067.653460000001</v>
      </c>
      <c r="EE25" s="17">
        <v>3150.8352970000001</v>
      </c>
      <c r="EF25" s="11">
        <v>48271.597655999998</v>
      </c>
      <c r="EG25" s="11">
        <v>6.3856999999999997E-2</v>
      </c>
      <c r="EH25" s="11">
        <v>0.26667800000000003</v>
      </c>
      <c r="EI25" s="11">
        <v>0.14005899999999999</v>
      </c>
      <c r="EJ25" s="11">
        <v>0.147119</v>
      </c>
      <c r="EK25" s="11">
        <v>0.30723400000000001</v>
      </c>
      <c r="EL25" s="11">
        <v>0.130079</v>
      </c>
      <c r="EM25" s="11">
        <v>8.9580000000000007E-2</v>
      </c>
      <c r="EN25" s="11">
        <v>3.968E-2</v>
      </c>
    </row>
    <row r="26" spans="1:144" x14ac:dyDescent="0.3">
      <c r="A26">
        <v>24</v>
      </c>
      <c r="B26" s="6">
        <v>220000</v>
      </c>
      <c r="C26" s="6">
        <v>243419.46192199999</v>
      </c>
      <c r="D26" s="6">
        <v>243118.57270700001</v>
      </c>
      <c r="E26" s="6">
        <f>(C25-Tableau6[[#This Row],[Total cost (M€/y) HIGH]])/(Tableau6[[#This Row],[Solid biomass availability (GWh/y)]]-B25)*1000</f>
        <v>116.08147160000517</v>
      </c>
      <c r="F26" s="6" t="s">
        <v>33</v>
      </c>
      <c r="G26" s="10">
        <f t="shared" si="6"/>
        <v>99.670582030000205</v>
      </c>
      <c r="H26" s="6" t="s">
        <v>7</v>
      </c>
      <c r="I26" s="11" cm="1">
        <f t="array" ref="I26">INDEX(Tableau3[Production cost (M€/GWh)],
       MATCH(1,
             (Tableau3[Resource]=Tableau6[[#This Row],[Marginal supply commodity HIGH]])*(Tableau3[Scenario]="HIGH_2050"),
             0))*1000</f>
        <v>8.0893504559270504</v>
      </c>
      <c r="J26" s="11" cm="1">
        <f t="array" ref="J26">INDEX(Tableau3[GHG impact (tCO2eq/MWh)],
       MATCH(1,
             (Tableau3[Resource]=Tableau6[[#This Row],[Marginal supply commodity HIGH]])*(Tableau3[Scenario]="HIGH_2050"),
             0))*1000</f>
        <v>24.6344262295082</v>
      </c>
      <c r="K26" s="11">
        <f>(Tableau6[[#This Row],[Total cost (M€/y) HIGH]]-Tableau6[[#This Row],[Total Cost (M€) HIGH +1Mt CO2]])</f>
        <v>300.88921499997377</v>
      </c>
      <c r="L26" s="22">
        <f>Tableau6[[#This Row],[Marginal Carbon cost (€/tCO2) HIGH]]*Tableau6[[#This Row],[Marginal emission factor (kgCO2/MWh) HIGH]]/1000</f>
        <v>7.4122331701714863</v>
      </c>
      <c r="M26" s="22">
        <f>(CS26-CS25)*AVERAGE($E$3,E26)/(B26-B25)</f>
        <v>35.511987446100662</v>
      </c>
      <c r="N26" s="22">
        <f>(CS26-CS25)*Tableau6[[#This Row],[Marginal value of solid biomass (€/MWh) HIGH]]/(B26-B25)</f>
        <v>5.2046407474003313</v>
      </c>
      <c r="O26" s="22">
        <f>(CS26-CS25)*Tableau6[[#This Row],[Marginal supply cost (€/MWh) HIGH]]/(B26-B25)</f>
        <v>0.3626949453914185</v>
      </c>
      <c r="P26" s="22">
        <f>Tableau6[[#This Row],[Marginal supply cost (€/MWh) HIGH]]+Tableau6[[#This Row],[Carbon cost of marginal biomass (€/MWh) HIGH]]</f>
        <v>15.501583626098537</v>
      </c>
      <c r="Q26" s="6">
        <v>245747.00687700001</v>
      </c>
      <c r="R26" s="6">
        <v>245410.44910599999</v>
      </c>
      <c r="S26" s="6">
        <f>(Q25-Tableau6[[#This Row],[Total cost (M€/y) MED]])/(Tableau6[[#This Row],[Solid biomass availability (GWh/y)]]-B25)*1000</f>
        <v>106.25808539999998</v>
      </c>
      <c r="T26" s="6" t="s">
        <v>33</v>
      </c>
      <c r="U26" s="6">
        <f t="shared" si="7"/>
        <v>85.883827533333417</v>
      </c>
      <c r="V26" s="19" t="s">
        <v>10</v>
      </c>
      <c r="W26" s="10" cm="1">
        <f t="array" ref="W26">INDEX(Tableau3[Production cost (M€/GWh)],
       MATCH(1,
             (Tableau3[Resource]=Tableau6[[#This Row],[Marginal supply commodity MED]])*(Tableau3[Scenario]="MED_2050"),
             0))*1000</f>
        <v>24.51298899676376</v>
      </c>
      <c r="X26" s="10" cm="1">
        <f t="array" ref="X26">INDEX(Tableau3[GHG impact (tCO2eq/MWh)],
       MATCH(1,
             (Tableau3[Resource]=Tableau6[[#This Row],[Marginal supply commodity MED]])*(Tableau3[Scenario]="MED_2050"),
             0))*1000</f>
        <v>13.917873892652425</v>
      </c>
      <c r="Y26" s="10">
        <f>Tableau6[[#This Row],[Total cost (M€/y) MED]]-Tableau6[[#This Row],[Total cost (M€/y) MED +1Mt CO2]]</f>
        <v>336.5577710000216</v>
      </c>
      <c r="Z26" s="10">
        <f>Tableau6[[#This Row],[Marginal Carbon cost (€/tCO2) MED]]*Tableau6[[#This Row],[Marginal emission factor (kgCO2/MWh)]]/1000</f>
        <v>4.6841686143704937</v>
      </c>
      <c r="AA26" s="10">
        <f>Tableau6[[#This Row],[Carbon cost of marginal biomass (€/MWh) MED]]+Tableau6[[#This Row],[Marginal supply cost (€/MWh) MED]]</f>
        <v>29.197157611134251</v>
      </c>
      <c r="AB26" s="6">
        <v>248743.51000800001</v>
      </c>
      <c r="AC26" s="6">
        <f>(AB25-Tableau6[[#This Row],[Total cost (M€/y) LOW]])/(Tableau6[[#This Row],[Solid biomass availability (GWh/y)]]-B25)*1000</f>
        <v>99.157758599997038</v>
      </c>
      <c r="AD26" s="6" t="s">
        <v>33</v>
      </c>
      <c r="AE26" s="6">
        <f t="shared" si="5"/>
        <v>89.64937771428626</v>
      </c>
      <c r="AF26" s="6" t="s">
        <v>15</v>
      </c>
      <c r="AG26" s="6" cm="1">
        <f t="array" ref="AG26">INDEX(Tableau3[Production cost (M€/GWh)],
       MATCH(1,
             (Tableau3[Resource]=Tableau6[[#This Row],[Marginal supply commodity LOW2]])*(Tableau3[Scenario]="LOW_2050"),
             0))*1000</f>
        <v>18.402520930232555</v>
      </c>
      <c r="AH26" s="15">
        <v>0.13483700000000001</v>
      </c>
      <c r="AI26" s="17">
        <v>36595.305797000001</v>
      </c>
      <c r="AJ26" s="15">
        <v>0.17044400000000001</v>
      </c>
      <c r="AK26" s="15">
        <v>0.65947699999999998</v>
      </c>
      <c r="AL26" s="15">
        <v>0.121082</v>
      </c>
      <c r="AM26" s="16">
        <v>34138.869856999998</v>
      </c>
      <c r="AN26" s="16">
        <v>44388.860419999997</v>
      </c>
      <c r="AO26" s="16">
        <v>35431.342203</v>
      </c>
      <c r="AP26" s="15">
        <v>73.603069000000005</v>
      </c>
      <c r="AQ26" s="15">
        <v>4.7713999999999999E-2</v>
      </c>
      <c r="AR26" s="16">
        <v>40332.994405999998</v>
      </c>
      <c r="AS26" s="15">
        <v>8.1544000000000005E-2</v>
      </c>
      <c r="AT26" s="16">
        <v>88.812650000000005</v>
      </c>
      <c r="AU26" s="16">
        <v>8833.3317760000009</v>
      </c>
      <c r="AV26" s="16">
        <v>15166.666482000001</v>
      </c>
      <c r="AW26" s="15">
        <v>3.0745000000000001E-2</v>
      </c>
      <c r="AX26" s="16">
        <v>504.12366900000001</v>
      </c>
      <c r="AY26" s="16">
        <v>4444.4446180000004</v>
      </c>
      <c r="AZ26" s="15">
        <v>4.9363999999999998E-2</v>
      </c>
      <c r="BA26" s="15">
        <v>0.32529400000000003</v>
      </c>
      <c r="BB26" s="15">
        <v>3.7143000000000002E-2</v>
      </c>
      <c r="BC26" s="11">
        <v>54.987423</v>
      </c>
      <c r="BD26" s="11">
        <v>36555.542873999999</v>
      </c>
      <c r="BE26" s="11">
        <v>194.443817</v>
      </c>
      <c r="BF26" s="11">
        <v>34138.482011</v>
      </c>
      <c r="BG26" s="17">
        <v>42243.475296999997</v>
      </c>
      <c r="BH26" s="11">
        <v>28361.111692999999</v>
      </c>
      <c r="BI26" s="11">
        <v>12555.556826</v>
      </c>
      <c r="BJ26" s="11">
        <v>14172.54614</v>
      </c>
      <c r="BK26" s="11">
        <v>6388.8901820000001</v>
      </c>
      <c r="BL26" s="11">
        <v>0.46268300000000001</v>
      </c>
      <c r="BM26" s="11">
        <v>31515.316974000001</v>
      </c>
      <c r="BN26" s="11">
        <v>5.0204399999999998</v>
      </c>
      <c r="BO26" s="11">
        <v>44.418444000000001</v>
      </c>
      <c r="BP26" s="11">
        <v>4222.2238790000001</v>
      </c>
      <c r="BQ26" s="11">
        <v>6055.5575369999997</v>
      </c>
      <c r="BR26" s="11">
        <v>0.166709</v>
      </c>
      <c r="BS26" s="11">
        <v>268.87939799999998</v>
      </c>
      <c r="BT26" s="11">
        <v>1722.2245109999999</v>
      </c>
      <c r="BU26" s="11">
        <v>0.50059699999999996</v>
      </c>
      <c r="BV26" s="11">
        <v>1500.00126</v>
      </c>
      <c r="BW26" s="11">
        <v>0.25584099999999999</v>
      </c>
      <c r="BX26" s="11">
        <v>13.742760000000001</v>
      </c>
      <c r="BY26" s="11">
        <v>22194.445438999999</v>
      </c>
      <c r="BZ26" s="11">
        <v>194.44533100000001</v>
      </c>
      <c r="CA26" s="11">
        <v>34138.484269</v>
      </c>
      <c r="CB26" s="11">
        <v>77250.000467000005</v>
      </c>
      <c r="CC26" s="11">
        <v>24709.967644</v>
      </c>
      <c r="CD26" s="11">
        <v>3166.6676499999999</v>
      </c>
      <c r="CE26" s="11">
        <v>3543.1399529999999</v>
      </c>
      <c r="CF26" s="11">
        <v>1916.6676629999999</v>
      </c>
      <c r="CG26" s="17">
        <v>10153.829535999999</v>
      </c>
      <c r="CH26" s="11">
        <v>18386.156697999999</v>
      </c>
      <c r="CI26" s="11">
        <v>55.556111999999999</v>
      </c>
      <c r="CJ26" s="11">
        <v>8.8900749999999995</v>
      </c>
      <c r="CK26" s="11">
        <v>1277.77883</v>
      </c>
      <c r="CL26" s="11">
        <v>1472.2233209999999</v>
      </c>
      <c r="CM26" s="11">
        <v>0.23416999999999999</v>
      </c>
      <c r="CN26" s="11">
        <v>100.82885899999999</v>
      </c>
      <c r="CO26" s="11">
        <v>388.890061</v>
      </c>
      <c r="CP26" s="11">
        <v>20666.55445</v>
      </c>
      <c r="CQ26" s="11">
        <v>361.11211100000003</v>
      </c>
      <c r="CR26" s="11">
        <v>0.41478199999999998</v>
      </c>
      <c r="CS26" s="11">
        <v>146853.689079</v>
      </c>
      <c r="CT26" s="11">
        <v>9.5066999999999999E-2</v>
      </c>
      <c r="CU26" s="11">
        <v>2.222E-2</v>
      </c>
      <c r="CV26" s="11">
        <v>1.7888000000000001E-2</v>
      </c>
      <c r="CW26" s="11">
        <v>1.8950000000000002E-2</v>
      </c>
      <c r="CX26" s="17">
        <v>24874.311261999999</v>
      </c>
      <c r="CY26" s="11">
        <v>1.9376000000000001E-2</v>
      </c>
      <c r="CZ26" s="11">
        <v>48271.528959000003</v>
      </c>
      <c r="DA26" s="11">
        <v>1.6854000000000001E-2</v>
      </c>
      <c r="DB26" s="11">
        <v>7.4186000000000002E-2</v>
      </c>
      <c r="DC26" s="11">
        <v>3.8346999999999999E-2</v>
      </c>
      <c r="DD26" s="11">
        <v>3.4974999999999999E-2</v>
      </c>
      <c r="DE26" s="11">
        <v>7.9701999999999995E-2</v>
      </c>
      <c r="DF26" s="11">
        <v>3.8237E-2</v>
      </c>
      <c r="DG26" s="11">
        <v>1.7278999999999999E-2</v>
      </c>
      <c r="DH26" s="11">
        <v>1.0222999999999999E-2</v>
      </c>
      <c r="DI26" s="11">
        <v>144803.61349399999</v>
      </c>
      <c r="DJ26" s="11">
        <v>0.34909099999999998</v>
      </c>
      <c r="DK26" s="11">
        <v>9.2530000000000001E-2</v>
      </c>
      <c r="DL26" s="11">
        <v>7.5454999999999994E-2</v>
      </c>
      <c r="DM26" s="11">
        <v>7.8839999999999993E-2</v>
      </c>
      <c r="DN26" s="17">
        <v>26923.322269</v>
      </c>
      <c r="DO26" s="11">
        <v>9.8202999999999999E-2</v>
      </c>
      <c r="DP26" s="11">
        <v>48271.192862000004</v>
      </c>
      <c r="DQ26" s="11">
        <v>7.2274000000000005E-2</v>
      </c>
      <c r="DR26" s="11">
        <v>0.27675899999999998</v>
      </c>
      <c r="DS26" s="11">
        <v>0.15191399999999999</v>
      </c>
      <c r="DT26" s="11">
        <v>0.13717099999999999</v>
      </c>
      <c r="DU26" s="11">
        <v>0.33593600000000001</v>
      </c>
      <c r="DV26" s="11">
        <v>0.146865</v>
      </c>
      <c r="DW26" s="11">
        <v>7.5119000000000005E-2</v>
      </c>
      <c r="DX26" s="11">
        <v>4.5784999999999999E-2</v>
      </c>
      <c r="DY26" s="11">
        <v>146316.940183</v>
      </c>
      <c r="DZ26" s="11">
        <v>0.21842500000000001</v>
      </c>
      <c r="EA26" s="11">
        <v>5.3859999999999998E-2</v>
      </c>
      <c r="EB26" s="11">
        <v>4.4728999999999998E-2</v>
      </c>
      <c r="EC26" s="11">
        <v>4.8122999999999999E-2</v>
      </c>
      <c r="ED26" s="17">
        <v>21984.273395</v>
      </c>
      <c r="EE26" s="17">
        <v>3426.0160839999999</v>
      </c>
      <c r="EF26" s="11">
        <v>48271.637027999997</v>
      </c>
      <c r="EG26" s="11">
        <v>4.2755000000000001E-2</v>
      </c>
      <c r="EH26" s="11">
        <v>0.18246699999999999</v>
      </c>
      <c r="EI26" s="11">
        <v>9.7614000000000006E-2</v>
      </c>
      <c r="EJ26" s="11">
        <v>9.8789000000000002E-2</v>
      </c>
      <c r="EK26" s="11">
        <v>0.198797</v>
      </c>
      <c r="EL26" s="11">
        <v>9.2327999999999993E-2</v>
      </c>
      <c r="EM26" s="11">
        <v>5.9885000000000001E-2</v>
      </c>
      <c r="EN26" s="11">
        <v>2.5735000000000001E-2</v>
      </c>
    </row>
    <row r="27" spans="1:144" x14ac:dyDescent="0.3">
      <c r="A27">
        <v>25</v>
      </c>
      <c r="B27" s="6">
        <v>225000</v>
      </c>
      <c r="C27" s="6">
        <v>242858.083128</v>
      </c>
      <c r="D27" s="6">
        <v>242498.28166000001</v>
      </c>
      <c r="E27" s="6">
        <f>(C26-Tableau6[[#This Row],[Total cost (M€/y) HIGH]])/(Tableau6[[#This Row],[Solid biomass availability (GWh/y)]]-B26)*1000</f>
        <v>112.27575879999786</v>
      </c>
      <c r="F27" s="6" t="s">
        <v>33</v>
      </c>
      <c r="G27" s="10">
        <f t="shared" si="6"/>
        <v>99.670582030000205</v>
      </c>
      <c r="H27" s="6" t="s">
        <v>7</v>
      </c>
      <c r="I27" s="11" cm="1">
        <f t="array" ref="I27">INDEX(Tableau3[Production cost (M€/GWh)],
       MATCH(1,
             (Tableau3[Resource]=Tableau6[[#This Row],[Marginal supply commodity HIGH]])*(Tableau3[Scenario]="HIGH_2050"),
             0))*1000</f>
        <v>8.0893504559270504</v>
      </c>
      <c r="J27" s="11" cm="1">
        <f t="array" ref="J27">INDEX(Tableau3[GHG impact (tCO2eq/MWh)],
       MATCH(1,
             (Tableau3[Resource]=Tableau6[[#This Row],[Marginal supply commodity HIGH]])*(Tableau3[Scenario]="HIGH_2050"),
             0))*1000</f>
        <v>24.6344262295082</v>
      </c>
      <c r="K27" s="11">
        <f>(Tableau6[[#This Row],[Total cost (M€/y) HIGH]]-Tableau6[[#This Row],[Total Cost (M€) HIGH +1Mt CO2]])</f>
        <v>359.80146799999056</v>
      </c>
      <c r="L27" s="22">
        <f>Tableau6[[#This Row],[Marginal Carbon cost (€/tCO2) HIGH]]*Tableau6[[#This Row],[Marginal emission factor (kgCO2/MWh) HIGH]]/1000</f>
        <v>8.8635027207145232</v>
      </c>
      <c r="M27" s="22">
        <f>(CS27-CS26)*AVERAGE($E$3,E27)/(B27-B26)</f>
        <v>35.390430192518394</v>
      </c>
      <c r="N27" s="22">
        <f>(CS27-CS26)*Tableau6[[#This Row],[Marginal value of solid biomass (€/MWh) HIGH]]/(B27-B26)</f>
        <v>5.0288577561857322</v>
      </c>
      <c r="O27" s="22">
        <f>(CS27-CS26)*Tableau6[[#This Row],[Marginal supply cost (€/MWh) HIGH]]/(B27-B26)</f>
        <v>0.36232391762552141</v>
      </c>
      <c r="P27" s="22">
        <f>Tableau6[[#This Row],[Marginal supply cost (€/MWh) HIGH]]+Tableau6[[#This Row],[Carbon cost of marginal biomass (€/MWh) HIGH]]</f>
        <v>16.952853176641575</v>
      </c>
      <c r="Q27" s="6">
        <v>245244.949891</v>
      </c>
      <c r="R27" s="6">
        <v>244901.178009</v>
      </c>
      <c r="S27" s="6">
        <f>(Q26-Tableau6[[#This Row],[Total cost (M€/y) MED]])/(Tableau6[[#This Row],[Solid biomass availability (GWh/y)]]-B26)*1000</f>
        <v>100.4113972000021</v>
      </c>
      <c r="T27" s="6" t="s">
        <v>33</v>
      </c>
      <c r="U27" s="6">
        <f t="shared" si="7"/>
        <v>85.883827533333417</v>
      </c>
      <c r="V27" s="19" t="s">
        <v>10</v>
      </c>
      <c r="W27" s="10" cm="1">
        <f t="array" ref="W27">INDEX(Tableau3[Production cost (M€/GWh)],
       MATCH(1,
             (Tableau3[Resource]=Tableau6[[#This Row],[Marginal supply commodity MED]])*(Tableau3[Scenario]="MED_2050"),
             0))*1000</f>
        <v>24.51298899676376</v>
      </c>
      <c r="X27" s="10" cm="1">
        <f t="array" ref="X27">INDEX(Tableau3[GHG impact (tCO2eq/MWh)],
       MATCH(1,
             (Tableau3[Resource]=Tableau6[[#This Row],[Marginal supply commodity MED]])*(Tableau3[Scenario]="MED_2050"),
             0))*1000</f>
        <v>13.917873892652425</v>
      </c>
      <c r="Y27" s="10">
        <f>Tableau6[[#This Row],[Total cost (M€/y) MED]]-Tableau6[[#This Row],[Total cost (M€/y) MED +1Mt CO2]]</f>
        <v>343.77188200000091</v>
      </c>
      <c r="Z27" s="10">
        <f>Tableau6[[#This Row],[Marginal Carbon cost (€/tCO2) MED]]*Tableau6[[#This Row],[Marginal emission factor (kgCO2/MWh)]]/1000</f>
        <v>4.7845737015158027</v>
      </c>
      <c r="AA27" s="10">
        <f>Tableau6[[#This Row],[Carbon cost of marginal biomass (€/MWh) MED]]+Tableau6[[#This Row],[Marginal supply cost (€/MWh) MED]]</f>
        <v>29.297562698279563</v>
      </c>
      <c r="AB27" s="6">
        <v>248323.53390499999</v>
      </c>
      <c r="AC27" s="6">
        <f>(AB26-Tableau6[[#This Row],[Total cost (M€/y) LOW]])/(Tableau6[[#This Row],[Solid biomass availability (GWh/y)]]-B26)*1000</f>
        <v>83.995220600004544</v>
      </c>
      <c r="AD27" s="6" t="s">
        <v>33</v>
      </c>
      <c r="AE27" s="6">
        <f t="shared" si="5"/>
        <v>89.64937771428626</v>
      </c>
      <c r="AF27" s="6" t="s">
        <v>15</v>
      </c>
      <c r="AG27" s="6" cm="1">
        <f t="array" ref="AG27">INDEX(Tableau3[Production cost (M€/GWh)],
       MATCH(1,
             (Tableau3[Resource]=Tableau6[[#This Row],[Marginal supply commodity LOW2]])*(Tableau3[Scenario]="LOW_2050"),
             0))*1000</f>
        <v>18.402520930232555</v>
      </c>
      <c r="AH27" s="15">
        <v>8.7867000000000001E-2</v>
      </c>
      <c r="AI27" s="17">
        <v>41595.944327999998</v>
      </c>
      <c r="AJ27" s="15">
        <v>0.241813</v>
      </c>
      <c r="AK27" s="15">
        <v>0.99186300000000005</v>
      </c>
      <c r="AL27" s="15">
        <v>0.155974</v>
      </c>
      <c r="AM27" s="16">
        <v>34138.872084000002</v>
      </c>
      <c r="AN27" s="16">
        <v>44388.856359999998</v>
      </c>
      <c r="AO27" s="16">
        <v>35431.341866000002</v>
      </c>
      <c r="AP27" s="15">
        <v>72.722200000000001</v>
      </c>
      <c r="AQ27" s="15">
        <v>6.2251000000000001E-2</v>
      </c>
      <c r="AR27" s="16">
        <v>40332.623173</v>
      </c>
      <c r="AS27" s="15">
        <v>5.3310000000000003E-2</v>
      </c>
      <c r="AT27" s="16">
        <v>88.809066999999999</v>
      </c>
      <c r="AU27" s="16">
        <v>8833.3303130000004</v>
      </c>
      <c r="AV27" s="16">
        <v>15166.66611</v>
      </c>
      <c r="AW27" s="15">
        <v>3.8663999999999997E-2</v>
      </c>
      <c r="AX27" s="16">
        <v>504.13194800000002</v>
      </c>
      <c r="AY27" s="16">
        <v>4444.444219</v>
      </c>
      <c r="AZ27" s="15">
        <v>6.4560000000000006E-2</v>
      </c>
      <c r="BA27" s="15">
        <v>0.52582099999999998</v>
      </c>
      <c r="BB27" s="15">
        <v>4.3743999999999998E-2</v>
      </c>
      <c r="BC27" s="11">
        <v>54.987174000000003</v>
      </c>
      <c r="BD27" s="11">
        <v>36555.556385000004</v>
      </c>
      <c r="BE27" s="11">
        <v>194.444883</v>
      </c>
      <c r="BF27" s="11">
        <v>34138.484269</v>
      </c>
      <c r="BG27" s="17">
        <v>47248.635119999999</v>
      </c>
      <c r="BH27" s="11">
        <v>28361.112209999999</v>
      </c>
      <c r="BI27" s="11">
        <v>12555.556645000001</v>
      </c>
      <c r="BJ27" s="11">
        <v>14172.545661</v>
      </c>
      <c r="BK27" s="11">
        <v>6388.8899719999999</v>
      </c>
      <c r="BL27" s="11">
        <v>0.16625699999999999</v>
      </c>
      <c r="BM27" s="11">
        <v>31515.356921999999</v>
      </c>
      <c r="BN27" s="11">
        <v>0.35275600000000001</v>
      </c>
      <c r="BO27" s="11">
        <v>44.417876</v>
      </c>
      <c r="BP27" s="11">
        <v>4222.2233919999999</v>
      </c>
      <c r="BQ27" s="11">
        <v>6055.5568240000002</v>
      </c>
      <c r="BR27" s="11">
        <v>0.444129</v>
      </c>
      <c r="BS27" s="11">
        <v>268.87888800000002</v>
      </c>
      <c r="BT27" s="11">
        <v>1722.223575</v>
      </c>
      <c r="BU27" s="11">
        <v>0.180814</v>
      </c>
      <c r="BV27" s="11">
        <v>1500.0009910000001</v>
      </c>
      <c r="BW27" s="11">
        <v>1.9143E-2</v>
      </c>
      <c r="BX27" s="11">
        <v>13.743385</v>
      </c>
      <c r="BY27" s="11">
        <v>22194.446077000001</v>
      </c>
      <c r="BZ27" s="11">
        <v>194.44573</v>
      </c>
      <c r="CA27" s="11">
        <v>34138.48489</v>
      </c>
      <c r="CB27" s="11">
        <v>77250.001214999997</v>
      </c>
      <c r="CC27" s="11">
        <v>24709.968217000001</v>
      </c>
      <c r="CD27" s="11">
        <v>3166.668028</v>
      </c>
      <c r="CE27" s="11">
        <v>3543.1404240000002</v>
      </c>
      <c r="CF27" s="11">
        <v>1916.668034</v>
      </c>
      <c r="CG27" s="17">
        <v>15153.724453999999</v>
      </c>
      <c r="CH27" s="11">
        <v>18386.157359000001</v>
      </c>
      <c r="CI27" s="11">
        <v>55.556378000000002</v>
      </c>
      <c r="CJ27" s="11">
        <v>8.8907559999999997</v>
      </c>
      <c r="CK27" s="11">
        <v>1277.779256</v>
      </c>
      <c r="CL27" s="11">
        <v>1472.2238</v>
      </c>
      <c r="CM27" s="11">
        <v>0.52034199999999997</v>
      </c>
      <c r="CN27" s="11">
        <v>100.829408</v>
      </c>
      <c r="CO27" s="11">
        <v>388.89063299999998</v>
      </c>
      <c r="CP27" s="11">
        <v>20666.035624</v>
      </c>
      <c r="CQ27" s="11">
        <v>361.11255</v>
      </c>
      <c r="CR27" s="11">
        <v>0.760521</v>
      </c>
      <c r="CS27" s="11">
        <v>147077.64025999999</v>
      </c>
      <c r="CT27" s="11">
        <v>0.111778</v>
      </c>
      <c r="CU27" s="11">
        <v>2.6412000000000001E-2</v>
      </c>
      <c r="CV27" s="11">
        <v>2.1166999999999998E-2</v>
      </c>
      <c r="CW27" s="11">
        <v>2.2210000000000001E-2</v>
      </c>
      <c r="CX27" s="17">
        <v>29650.295526000002</v>
      </c>
      <c r="CY27" s="11">
        <v>2.1260999999999999E-2</v>
      </c>
      <c r="CZ27" s="11">
        <v>48271.501196999998</v>
      </c>
      <c r="DA27" s="11">
        <v>1.9602000000000001E-2</v>
      </c>
      <c r="DB27" s="11">
        <v>9.2793E-2</v>
      </c>
      <c r="DC27" s="11">
        <v>4.5907999999999997E-2</v>
      </c>
      <c r="DD27" s="11">
        <v>3.9600000000000003E-2</v>
      </c>
      <c r="DE27" s="11">
        <v>9.4854999999999995E-2</v>
      </c>
      <c r="DF27" s="11">
        <v>4.4155E-2</v>
      </c>
      <c r="DG27" s="11">
        <v>1.9387999999999999E-2</v>
      </c>
      <c r="DH27" s="11">
        <v>1.1442000000000001E-2</v>
      </c>
      <c r="DI27" s="11">
        <v>144911.10588300001</v>
      </c>
      <c r="DJ27" s="11">
        <v>0.120812</v>
      </c>
      <c r="DK27" s="11">
        <v>3.2418000000000002E-2</v>
      </c>
      <c r="DL27" s="11">
        <v>2.5347999999999999E-2</v>
      </c>
      <c r="DM27" s="11">
        <v>2.6575999999999999E-2</v>
      </c>
      <c r="DN27" s="17">
        <v>31816.756657000002</v>
      </c>
      <c r="DO27" s="11">
        <v>2.9326000000000001E-2</v>
      </c>
      <c r="DP27" s="11">
        <v>48271.510388000002</v>
      </c>
      <c r="DQ27" s="11">
        <v>2.4063000000000001E-2</v>
      </c>
      <c r="DR27" s="11">
        <v>9.7921999999999995E-2</v>
      </c>
      <c r="DS27" s="11">
        <v>5.2603999999999998E-2</v>
      </c>
      <c r="DT27" s="11">
        <v>4.6450999999999999E-2</v>
      </c>
      <c r="DU27" s="11">
        <v>0.115716</v>
      </c>
      <c r="DV27" s="11">
        <v>5.0506000000000002E-2</v>
      </c>
      <c r="DW27" s="11">
        <v>2.4406000000000001E-2</v>
      </c>
      <c r="DX27" s="11">
        <v>1.4824E-2</v>
      </c>
      <c r="DY27" s="11">
        <v>147125.74341699999</v>
      </c>
      <c r="DZ27" s="11">
        <v>0.437863</v>
      </c>
      <c r="EA27" s="11">
        <v>0.10753</v>
      </c>
      <c r="EB27" s="11">
        <v>8.2949999999999996E-2</v>
      </c>
      <c r="EC27" s="11">
        <v>8.9088000000000001E-2</v>
      </c>
      <c r="ED27" s="17">
        <v>25898.875411000001</v>
      </c>
      <c r="EE27" s="17">
        <v>3701.4866339999999</v>
      </c>
      <c r="EF27" s="11">
        <v>48271.711582999997</v>
      </c>
      <c r="EG27" s="11">
        <v>7.5454999999999994E-2</v>
      </c>
      <c r="EH27" s="11">
        <v>0.37616699999999997</v>
      </c>
      <c r="EI27" s="11">
        <v>0.17976600000000001</v>
      </c>
      <c r="EJ27" s="11">
        <v>0.19321199999999999</v>
      </c>
      <c r="EK27" s="11">
        <v>0.37549399999999999</v>
      </c>
      <c r="EL27" s="11">
        <v>0.16672500000000001</v>
      </c>
      <c r="EM27" s="11">
        <v>0.105168</v>
      </c>
      <c r="EN27" s="11">
        <v>4.0646000000000002E-2</v>
      </c>
    </row>
    <row r="28" spans="1:144" x14ac:dyDescent="0.3">
      <c r="A28">
        <v>26</v>
      </c>
      <c r="B28" s="6">
        <v>230000</v>
      </c>
      <c r="C28" s="6">
        <v>242272.691735</v>
      </c>
      <c r="D28" s="6">
        <v>241926.85003599999</v>
      </c>
      <c r="E28" s="6">
        <f>(C27-Tableau6[[#This Row],[Total cost (M€/y) HIGH]])/(Tableau6[[#This Row],[Solid biomass availability (GWh/y)]]-B27)*1000</f>
        <v>117.07827859999961</v>
      </c>
      <c r="F28" s="6" t="s">
        <v>33</v>
      </c>
      <c r="G28" s="10">
        <f t="shared" si="6"/>
        <v>99.670582030000205</v>
      </c>
      <c r="H28" s="6" t="s">
        <v>7</v>
      </c>
      <c r="I28" s="11" cm="1">
        <f t="array" ref="I28">INDEX(Tableau3[Production cost (M€/GWh)],
       MATCH(1,
             (Tableau3[Resource]=Tableau6[[#This Row],[Marginal supply commodity HIGH]])*(Tableau3[Scenario]="HIGH_2050"),
             0))*1000</f>
        <v>8.0893504559270504</v>
      </c>
      <c r="J28" s="11" cm="1">
        <f t="array" ref="J28">INDEX(Tableau3[GHG impact (tCO2eq/MWh)],
       MATCH(1,
             (Tableau3[Resource]=Tableau6[[#This Row],[Marginal supply commodity HIGH]])*(Tableau3[Scenario]="HIGH_2050"),
             0))*1000</f>
        <v>24.6344262295082</v>
      </c>
      <c r="K28" s="11">
        <f>(Tableau6[[#This Row],[Total cost (M€/y) HIGH]]-Tableau6[[#This Row],[Total Cost (M€) HIGH +1Mt CO2]])</f>
        <v>345.84169900001143</v>
      </c>
      <c r="L28" s="22">
        <f>Tableau6[[#This Row],[Marginal Carbon cost (€/tCO2) HIGH]]*Tableau6[[#This Row],[Marginal emission factor (kgCO2/MWh) HIGH]]/1000</f>
        <v>8.5196118211035614</v>
      </c>
      <c r="M28" s="22">
        <f>(CS28-CS27)*AVERAGE($E$3,E28)/(B28-B27)</f>
        <v>36.019438126136443</v>
      </c>
      <c r="N28" s="22">
        <f>(CS28-CS27)*Tableau6[[#This Row],[Marginal value of solid biomass (€/MWh) HIGH]]/(B28-B27)</f>
        <v>5.3209960380111818</v>
      </c>
      <c r="O28" s="22">
        <f>(CS28-CS27)*Tableau6[[#This Row],[Marginal supply cost (€/MWh) HIGH]]/(B28-B27)</f>
        <v>0.3676463494405352</v>
      </c>
      <c r="P28" s="22">
        <f>Tableau6[[#This Row],[Marginal supply cost (€/MWh) HIGH]]+Tableau6[[#This Row],[Carbon cost of marginal biomass (€/MWh) HIGH]]</f>
        <v>16.608962277030614</v>
      </c>
      <c r="Q28" s="6">
        <v>244744.310803</v>
      </c>
      <c r="R28" s="6">
        <v>244399.16235099989</v>
      </c>
      <c r="S28" s="6">
        <f>(Q27-Tableau6[[#This Row],[Total cost (M€/y) MED]])/(Tableau6[[#This Row],[Solid biomass availability (GWh/y)]]-B27)*1000</f>
        <v>100.12781759999925</v>
      </c>
      <c r="T28" s="6" t="s">
        <v>33</v>
      </c>
      <c r="U28" s="6">
        <f t="shared" si="7"/>
        <v>85.883827533333417</v>
      </c>
      <c r="V28" s="19" t="s">
        <v>10</v>
      </c>
      <c r="W28" s="10" cm="1">
        <f t="array" ref="W28">INDEX(Tableau3[Production cost (M€/GWh)],
       MATCH(1,
             (Tableau3[Resource]=Tableau6[[#This Row],[Marginal supply commodity MED]])*(Tableau3[Scenario]="MED_2050"),
             0))*1000</f>
        <v>24.51298899676376</v>
      </c>
      <c r="X28" s="10" cm="1">
        <f t="array" ref="X28">INDEX(Tableau3[GHG impact (tCO2eq/MWh)],
       MATCH(1,
             (Tableau3[Resource]=Tableau6[[#This Row],[Marginal supply commodity MED]])*(Tableau3[Scenario]="MED_2050"),
             0))*1000</f>
        <v>13.917873892652425</v>
      </c>
      <c r="Y28" s="10">
        <f>Tableau6[[#This Row],[Total cost (M€/y) MED]]-Tableau6[[#This Row],[Total cost (M€/y) MED +1Mt CO2]]</f>
        <v>345.14845200011041</v>
      </c>
      <c r="Z28" s="10">
        <f>Tableau6[[#This Row],[Marginal Carbon cost (€/tCO2) MED]]*Tableau6[[#This Row],[Marginal emission factor (kgCO2/MWh)]]/1000</f>
        <v>4.8037326291817353</v>
      </c>
      <c r="AA28" s="10">
        <f>Tableau6[[#This Row],[Carbon cost of marginal biomass (€/MWh) MED]]+Tableau6[[#This Row],[Marginal supply cost (€/MWh) MED]]</f>
        <v>29.316721625945494</v>
      </c>
      <c r="AH28" s="15">
        <v>0.16913700000000001</v>
      </c>
      <c r="AI28" s="17">
        <v>46604.031885999997</v>
      </c>
      <c r="AJ28" s="15">
        <v>0.197827</v>
      </c>
      <c r="AK28" s="15">
        <v>0.76544299999999998</v>
      </c>
      <c r="AL28" s="15">
        <v>0.13972799999999999</v>
      </c>
      <c r="AM28" s="16">
        <v>34138.876636000001</v>
      </c>
      <c r="AN28" s="16">
        <v>44388.834361000001</v>
      </c>
      <c r="AO28" s="16">
        <v>35431.343507999998</v>
      </c>
      <c r="AP28" s="15">
        <v>64.741623000000004</v>
      </c>
      <c r="AQ28" s="15">
        <v>6.0836000000000001E-2</v>
      </c>
      <c r="AR28" s="16">
        <v>40332.838022999997</v>
      </c>
      <c r="AS28" s="15">
        <v>0.13162499999999999</v>
      </c>
      <c r="AT28" s="16">
        <v>88.809741000000002</v>
      </c>
      <c r="AU28" s="16">
        <v>8833.3312260000002</v>
      </c>
      <c r="AV28" s="16">
        <v>15166.666397999999</v>
      </c>
      <c r="AW28" s="15">
        <v>3.1954999999999997E-2</v>
      </c>
      <c r="AX28" s="16">
        <v>504.129456</v>
      </c>
      <c r="AY28" s="16">
        <v>4444.4445480000004</v>
      </c>
      <c r="AZ28" s="15">
        <v>6.2979999999999994E-2</v>
      </c>
      <c r="BA28" s="15">
        <v>0.36346899999999999</v>
      </c>
      <c r="BB28" s="15">
        <v>4.2015999999999998E-2</v>
      </c>
      <c r="BC28" s="11">
        <v>54.986623999999999</v>
      </c>
      <c r="BD28" s="11">
        <v>36555.554566999999</v>
      </c>
      <c r="BE28" s="11">
        <v>194.443431</v>
      </c>
      <c r="BF28" s="11">
        <v>34138.481378999997</v>
      </c>
      <c r="BG28" s="17">
        <v>52247.257019999997</v>
      </c>
      <c r="BH28" s="11">
        <v>28361.110540999998</v>
      </c>
      <c r="BI28" s="11">
        <v>12555.555666</v>
      </c>
      <c r="BJ28" s="11">
        <v>14172.544970000001</v>
      </c>
      <c r="BK28" s="11">
        <v>6388.889201</v>
      </c>
      <c r="BL28" s="11">
        <v>0.56105099999999997</v>
      </c>
      <c r="BM28" s="11">
        <v>31515.325263999999</v>
      </c>
      <c r="BN28" s="11">
        <v>0.94085600000000003</v>
      </c>
      <c r="BO28" s="11">
        <v>44.417589</v>
      </c>
      <c r="BP28" s="11">
        <v>4222.2228619999996</v>
      </c>
      <c r="BQ28" s="11">
        <v>6055.5564530000001</v>
      </c>
      <c r="BR28" s="11">
        <v>0.186165</v>
      </c>
      <c r="BS28" s="11">
        <v>268.87861400000003</v>
      </c>
      <c r="BT28" s="11">
        <v>1722.223428</v>
      </c>
      <c r="BU28" s="11">
        <v>0.61207400000000001</v>
      </c>
      <c r="BV28" s="11">
        <v>1500.00019</v>
      </c>
      <c r="BW28" s="11">
        <v>0.29335299999999997</v>
      </c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>
        <v>147304.88121799999</v>
      </c>
      <c r="CT28" s="11">
        <v>0.11165</v>
      </c>
      <c r="CU28" s="11">
        <v>3.1546999999999999E-2</v>
      </c>
      <c r="CV28" s="11">
        <v>2.1118999999999999E-2</v>
      </c>
      <c r="CW28" s="11">
        <v>2.2331E-2</v>
      </c>
      <c r="CX28" s="17">
        <v>34423.026217999999</v>
      </c>
      <c r="CY28" s="11">
        <v>2.4445999999999999E-2</v>
      </c>
      <c r="CZ28" s="11">
        <v>48271.524445000003</v>
      </c>
      <c r="DA28" s="11">
        <v>1.9816E-2</v>
      </c>
      <c r="DB28" s="11">
        <v>9.2352000000000004E-2</v>
      </c>
      <c r="DC28" s="11">
        <v>4.5192000000000003E-2</v>
      </c>
      <c r="DD28" s="11">
        <v>3.9856000000000003E-2</v>
      </c>
      <c r="DE28" s="11">
        <v>9.6657999999999994E-2</v>
      </c>
      <c r="DF28" s="11">
        <v>4.3944999999999998E-2</v>
      </c>
      <c r="DG28" s="11">
        <v>1.9831000000000001E-2</v>
      </c>
      <c r="DH28" s="11">
        <v>1.1811E-2</v>
      </c>
      <c r="DI28" s="11">
        <v>145004.84427</v>
      </c>
      <c r="DJ28" s="11">
        <v>0.44324400000000003</v>
      </c>
      <c r="DK28" s="11">
        <v>0.114742</v>
      </c>
      <c r="DL28" s="11">
        <v>8.6973999999999996E-2</v>
      </c>
      <c r="DM28" s="11">
        <v>9.1162999999999994E-2</v>
      </c>
      <c r="DN28" s="17">
        <v>36721.980431999997</v>
      </c>
      <c r="DO28" s="11">
        <v>0.10856399999999999</v>
      </c>
      <c r="DP28" s="11">
        <v>48270.893004999998</v>
      </c>
      <c r="DQ28" s="11">
        <v>8.1491999999999995E-2</v>
      </c>
      <c r="DR28" s="11">
        <v>0.36465900000000001</v>
      </c>
      <c r="DS28" s="11">
        <v>0.18113000000000001</v>
      </c>
      <c r="DT28" s="11">
        <v>0.164109</v>
      </c>
      <c r="DU28" s="11">
        <v>0.38104100000000002</v>
      </c>
      <c r="DV28" s="11">
        <v>0.17391599999999999</v>
      </c>
      <c r="DW28" s="11">
        <v>8.3959000000000006E-2</v>
      </c>
      <c r="DX28" s="11">
        <v>4.8647999999999997E-2</v>
      </c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</row>
    <row r="29" spans="1:144" x14ac:dyDescent="0.3">
      <c r="A29">
        <v>27</v>
      </c>
      <c r="B29" s="6">
        <v>235000</v>
      </c>
      <c r="C29" s="6">
        <v>241688.04057099999</v>
      </c>
      <c r="D29" s="6">
        <v>241367.82745000001</v>
      </c>
      <c r="E29" s="6">
        <f>(C28-Tableau6[[#This Row],[Total cost (M€/y) HIGH]])/(Tableau6[[#This Row],[Solid biomass availability (GWh/y)]]-B28)*1000</f>
        <v>116.93023280000197</v>
      </c>
      <c r="F29" s="6" t="s">
        <v>33</v>
      </c>
      <c r="G29" s="10">
        <f t="shared" si="6"/>
        <v>99.670582030000205</v>
      </c>
      <c r="H29" s="6" t="s">
        <v>7</v>
      </c>
      <c r="I29" s="11" cm="1">
        <f t="array" ref="I29">INDEX(Tableau3[Production cost (M€/GWh)],
       MATCH(1,
             (Tableau3[Resource]=Tableau6[[#This Row],[Marginal supply commodity HIGH]])*(Tableau3[Scenario]="HIGH_2050"),
             0))*1000</f>
        <v>8.0893504559270504</v>
      </c>
      <c r="J29" s="11" cm="1">
        <f t="array" ref="J29">INDEX(Tableau3[GHG impact (tCO2eq/MWh)],
       MATCH(1,
             (Tableau3[Resource]=Tableau6[[#This Row],[Marginal supply commodity HIGH]])*(Tableau3[Scenario]="HIGH_2050"),
             0))*1000</f>
        <v>24.6344262295082</v>
      </c>
      <c r="K29" s="11">
        <f>(Tableau6[[#This Row],[Total cost (M€/y) HIGH]]-Tableau6[[#This Row],[Total Cost (M€) HIGH +1Mt CO2]])</f>
        <v>320.21312099997886</v>
      </c>
      <c r="L29" s="22">
        <f>Tableau6[[#This Row],[Marginal Carbon cost (€/tCO2) HIGH]]*Tableau6[[#This Row],[Marginal emission factor (kgCO2/MWh) HIGH]]/1000</f>
        <v>7.8882665069945626</v>
      </c>
      <c r="M29" s="22">
        <f>(CS29-CS28)*AVERAGE($E$3,E29)/(B29-B28)</f>
        <v>32.281229297394582</v>
      </c>
      <c r="N29" s="22">
        <f>(CS29-CS28)*Tableau6[[#This Row],[Marginal value of solid biomass (€/MWh) HIGH]]/(B29-B28)</f>
        <v>4.7631813536107614</v>
      </c>
      <c r="O29" s="22">
        <f>(CS29-CS28)*Tableau6[[#This Row],[Marginal supply cost (€/MWh) HIGH]]/(B29-B28)</f>
        <v>0.32952165006288936</v>
      </c>
      <c r="P29" s="22">
        <f>Tableau6[[#This Row],[Marginal supply cost (€/MWh) HIGH]]+Tableau6[[#This Row],[Carbon cost of marginal biomass (€/MWh) HIGH]]</f>
        <v>15.977616962921612</v>
      </c>
      <c r="Q29" s="6">
        <v>244231.09899599999</v>
      </c>
      <c r="R29" s="6">
        <v>243880.39532099999</v>
      </c>
      <c r="S29" s="6">
        <f>(Q28-Tableau6[[#This Row],[Total cost (M€/y) MED]])/(Tableau6[[#This Row],[Solid biomass availability (GWh/y)]]-B28)*1000</f>
        <v>102.64236140000286</v>
      </c>
      <c r="T29" s="6" t="s">
        <v>33</v>
      </c>
      <c r="U29" s="6">
        <f t="shared" si="7"/>
        <v>85.883827533333417</v>
      </c>
      <c r="V29" s="19" t="s">
        <v>10</v>
      </c>
      <c r="W29" s="10" cm="1">
        <f t="array" ref="W29">INDEX(Tableau3[Production cost (M€/GWh)],
       MATCH(1,
             (Tableau3[Resource]=Tableau6[[#This Row],[Marginal supply commodity MED]])*(Tableau3[Scenario]="MED_2050"),
             0))*1000</f>
        <v>24.51298899676376</v>
      </c>
      <c r="X29" s="10" cm="1">
        <f t="array" ref="X29">INDEX(Tableau3[GHG impact (tCO2eq/MWh)],
       MATCH(1,
             (Tableau3[Resource]=Tableau6[[#This Row],[Marginal supply commodity MED]])*(Tableau3[Scenario]="MED_2050"),
             0))*1000</f>
        <v>13.917873892652425</v>
      </c>
      <c r="Y29" s="10">
        <f>Tableau6[[#This Row],[Total cost (M€/y) MED]]-Tableau6[[#This Row],[Total cost (M€/y) MED +1Mt CO2]]</f>
        <v>350.70367499999702</v>
      </c>
      <c r="Z29" s="10">
        <f>Tableau6[[#This Row],[Marginal Carbon cost (€/tCO2) MED]]*Tableau6[[#This Row],[Marginal emission factor (kgCO2/MWh)]]/1000</f>
        <v>4.881049522339719</v>
      </c>
      <c r="AA29" s="10">
        <f>Tableau6[[#This Row],[Carbon cost of marginal biomass (€/MWh) MED]]+Tableau6[[#This Row],[Marginal supply cost (€/MWh) MED]]</f>
        <v>29.394038519103479</v>
      </c>
      <c r="AH29" s="15">
        <v>0.12637499999999999</v>
      </c>
      <c r="AI29" s="16">
        <v>51614.451211</v>
      </c>
      <c r="AJ29" s="15">
        <v>0.16076499999999999</v>
      </c>
      <c r="AK29" s="15">
        <v>0.64691600000000005</v>
      </c>
      <c r="AL29" s="15">
        <v>0.118446</v>
      </c>
      <c r="AM29" s="16">
        <v>34138.876918000002</v>
      </c>
      <c r="AN29" s="16">
        <v>44388.843589999997</v>
      </c>
      <c r="AO29" s="16">
        <v>35431.343534</v>
      </c>
      <c r="AP29" s="15">
        <v>54.610753000000003</v>
      </c>
      <c r="AQ29" s="15">
        <v>5.1893000000000002E-2</v>
      </c>
      <c r="AR29" s="16">
        <v>40332.839684999999</v>
      </c>
      <c r="AS29" s="15">
        <v>8.2611000000000004E-2</v>
      </c>
      <c r="AT29" s="16">
        <v>88.805644000000001</v>
      </c>
      <c r="AU29" s="16">
        <v>8833.3313920000001</v>
      </c>
      <c r="AV29" s="16">
        <v>15166.666233</v>
      </c>
      <c r="AW29" s="15">
        <v>3.8677999999999997E-2</v>
      </c>
      <c r="AX29" s="16">
        <v>504.136796</v>
      </c>
      <c r="AY29" s="16">
        <v>4444.4443439999995</v>
      </c>
      <c r="AZ29" s="15">
        <v>5.3829000000000002E-2</v>
      </c>
      <c r="BA29" s="15">
        <v>0.34176499999999999</v>
      </c>
      <c r="BB29" s="15" t="e">
        <v>#N/A</v>
      </c>
      <c r="BC29" s="11">
        <v>54.987268999999998</v>
      </c>
      <c r="BD29" s="11">
        <v>36555.551797</v>
      </c>
      <c r="BE29" s="11">
        <v>194.44418300000001</v>
      </c>
      <c r="BF29" s="11">
        <v>34138.483418999997</v>
      </c>
      <c r="BG29" s="17">
        <v>57247.889686000002</v>
      </c>
      <c r="BH29" s="11">
        <v>28361.111950999999</v>
      </c>
      <c r="BI29" s="11">
        <v>12555.556732999999</v>
      </c>
      <c r="BJ29" s="11">
        <v>14172.545923</v>
      </c>
      <c r="BK29" s="11">
        <v>6388.8901679999999</v>
      </c>
      <c r="BL29" s="11">
        <v>0.37895000000000001</v>
      </c>
      <c r="BM29" s="11">
        <v>31515.350828999999</v>
      </c>
      <c r="BN29" s="11">
        <v>0.81089999999999995</v>
      </c>
      <c r="BO29" s="11">
        <v>44.418187000000003</v>
      </c>
      <c r="BP29" s="11">
        <v>4222.2237459999997</v>
      </c>
      <c r="BQ29" s="11">
        <v>6055.5572529999999</v>
      </c>
      <c r="BR29" s="11">
        <v>0.138352</v>
      </c>
      <c r="BS29" s="11">
        <v>268.879255</v>
      </c>
      <c r="BT29" s="11">
        <v>1722.224127</v>
      </c>
      <c r="BU29" s="11">
        <v>0.41463499999999998</v>
      </c>
      <c r="BV29" s="11">
        <v>1500.0011280000001</v>
      </c>
      <c r="BW29" s="11">
        <v>3.5243999999999998E-2</v>
      </c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>
        <v>147508.55742900001</v>
      </c>
      <c r="CT29" s="11">
        <v>8.9593999999999993E-2</v>
      </c>
      <c r="CU29" s="11">
        <v>2.0841999999999999E-2</v>
      </c>
      <c r="CV29" s="11">
        <v>1.7926000000000001E-2</v>
      </c>
      <c r="CW29" s="11">
        <v>1.865E-2</v>
      </c>
      <c r="CX29" s="17">
        <v>39219.451863000002</v>
      </c>
      <c r="CY29" s="11">
        <v>1.8144E-2</v>
      </c>
      <c r="CZ29" s="11">
        <v>48271.534093000002</v>
      </c>
      <c r="DA29" s="11">
        <v>1.6454E-2</v>
      </c>
      <c r="DB29" s="11">
        <v>7.3417999999999997E-2</v>
      </c>
      <c r="DC29" s="11">
        <v>3.7361999999999999E-2</v>
      </c>
      <c r="DD29" s="11">
        <v>3.2952000000000002E-2</v>
      </c>
      <c r="DE29" s="11">
        <v>7.6262999999999997E-2</v>
      </c>
      <c r="DF29" s="11">
        <v>3.5982E-2</v>
      </c>
      <c r="DG29" s="11">
        <v>1.6115000000000001E-2</v>
      </c>
      <c r="DH29" s="11">
        <v>9.5449999999999997E-3</v>
      </c>
      <c r="DI29" s="11">
        <v>145092.58261700001</v>
      </c>
      <c r="DJ29" s="11">
        <v>0.30974600000000002</v>
      </c>
      <c r="DK29" s="11">
        <v>8.1309000000000006E-2</v>
      </c>
      <c r="DL29" s="11">
        <v>6.1162000000000001E-2</v>
      </c>
      <c r="DM29" s="11">
        <v>6.4087000000000005E-2</v>
      </c>
      <c r="DN29" s="17">
        <v>41634.565078</v>
      </c>
      <c r="DO29" s="11">
        <v>7.6887999999999998E-2</v>
      </c>
      <c r="DP29" s="11">
        <v>48271.270697</v>
      </c>
      <c r="DQ29" s="11">
        <v>5.7135999999999999E-2</v>
      </c>
      <c r="DR29" s="11">
        <v>0.256299</v>
      </c>
      <c r="DS29" s="11">
        <v>0.131525</v>
      </c>
      <c r="DT29" s="11">
        <v>0.113508</v>
      </c>
      <c r="DU29" s="11">
        <v>0.26617299999999999</v>
      </c>
      <c r="DV29" s="11">
        <v>0.12196700000000001</v>
      </c>
      <c r="DW29" s="11">
        <v>5.8665000000000002E-2</v>
      </c>
      <c r="DX29" s="11">
        <v>3.4840000000000003E-2</v>
      </c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</row>
    <row r="30" spans="1:144" x14ac:dyDescent="0.3">
      <c r="A30">
        <v>28</v>
      </c>
      <c r="B30" s="6">
        <v>240000</v>
      </c>
      <c r="C30" s="6">
        <v>241130.81185299999</v>
      </c>
      <c r="D30" s="6">
        <v>240802.86943399999</v>
      </c>
      <c r="E30" s="6">
        <f>(C29-Tableau6[[#This Row],[Total cost (M€/y) HIGH]])/(Tableau6[[#This Row],[Solid biomass availability (GWh/y)]]-B29)*1000</f>
        <v>111.4457435999997</v>
      </c>
      <c r="F30" s="6" t="s">
        <v>33</v>
      </c>
      <c r="G30" s="10">
        <f t="shared" si="6"/>
        <v>99.670582030000205</v>
      </c>
      <c r="H30" s="6" t="s">
        <v>14</v>
      </c>
      <c r="I30" s="11" cm="1">
        <f t="array" ref="I30">INDEX(Tableau3[Production cost (M€/GWh)],
       MATCH(1,
             (Tableau3[Resource]=Tableau6[[#This Row],[Marginal supply commodity HIGH]])*(Tableau3[Scenario]="HIGH_2050"),
             0))*1000</f>
        <v>8.1622330434782597</v>
      </c>
      <c r="J30" s="11" cm="1">
        <f t="array" ref="J30">INDEX(Tableau3[GHG impact (tCO2eq/MWh)],
       MATCH(1,
             (Tableau3[Resource]=Tableau6[[#This Row],[Marginal supply commodity HIGH]])*(Tableau3[Scenario]="HIGH_2050"),
             0))*1000</f>
        <v>24.6344262295082</v>
      </c>
      <c r="K30" s="11">
        <f>(Tableau6[[#This Row],[Total cost (M€/y) HIGH]]-Tableau6[[#This Row],[Total Cost (M€) HIGH +1Mt CO2]])</f>
        <v>327.94241899999906</v>
      </c>
      <c r="L30" s="22">
        <f>Tableau6[[#This Row],[Marginal Carbon cost (€/tCO2) HIGH]]*Tableau6[[#This Row],[Marginal emission factor (kgCO2/MWh) HIGH]]/1000</f>
        <v>8.0786733283819441</v>
      </c>
      <c r="M30" s="22">
        <f>(CS30-CS29)*AVERAGE($E$3,E30)/(B30-B29)</f>
        <v>25.649367270528089</v>
      </c>
      <c r="N30" s="22">
        <f>(CS30-CS29)*Tableau6[[#This Row],[Marginal value of solid biomass (€/MWh) HIGH]]/(B30-B29)</f>
        <v>3.6196436762646904</v>
      </c>
      <c r="O30" s="22">
        <f>(CS30-CS29)*Tableau6[[#This Row],[Marginal supply cost (€/MWh) HIGH]]/(B30-B29)</f>
        <v>0.26510097439041952</v>
      </c>
      <c r="P30" s="22">
        <f>Tableau6[[#This Row],[Marginal supply cost (€/MWh) HIGH]]+Tableau6[[#This Row],[Carbon cost of marginal biomass (€/MWh) HIGH]]</f>
        <v>16.240906371860206</v>
      </c>
      <c r="Q30" s="6">
        <v>243726.77122299999</v>
      </c>
      <c r="R30" s="6">
        <v>243418.89832899999</v>
      </c>
      <c r="S30" s="6">
        <f>(Q29-Tableau6[[#This Row],[Total cost (M€/y) MED]])/(Tableau6[[#This Row],[Solid biomass availability (GWh/y)]]-B29)*1000</f>
        <v>100.86555459999946</v>
      </c>
      <c r="T30" s="6" t="s">
        <v>33</v>
      </c>
      <c r="U30" s="6">
        <f t="shared" si="7"/>
        <v>85.883827533333417</v>
      </c>
      <c r="V30" s="19" t="s">
        <v>10</v>
      </c>
      <c r="W30" s="10" cm="1">
        <f t="array" ref="W30">INDEX(Tableau3[Production cost (M€/GWh)],
       MATCH(1,
             (Tableau3[Resource]=Tableau6[[#This Row],[Marginal supply commodity MED]])*(Tableau3[Scenario]="MED_2050"),
             0))*1000</f>
        <v>24.51298899676376</v>
      </c>
      <c r="X30" s="10" cm="1">
        <f t="array" ref="X30">INDEX(Tableau3[GHG impact (tCO2eq/MWh)],
       MATCH(1,
             (Tableau3[Resource]=Tableau6[[#This Row],[Marginal supply commodity MED]])*(Tableau3[Scenario]="MED_2050"),
             0))*1000</f>
        <v>13.917873892652425</v>
      </c>
      <c r="Y30" s="10">
        <f>Tableau6[[#This Row],[Total cost (M€/y) MED]]-Tableau6[[#This Row],[Total cost (M€/y) MED +1Mt CO2]]</f>
        <v>307.87289400000009</v>
      </c>
      <c r="Z30" s="10">
        <f>Tableau6[[#This Row],[Marginal Carbon cost (€/tCO2) MED]]*Tableau6[[#This Row],[Marginal emission factor (kgCO2/MWh)]]/1000</f>
        <v>4.284936113657948</v>
      </c>
      <c r="AA30" s="10">
        <f>Tableau6[[#This Row],[Carbon cost of marginal biomass (€/MWh) MED]]+Tableau6[[#This Row],[Marginal supply cost (€/MWh) MED]]</f>
        <v>28.797925110421708</v>
      </c>
      <c r="AH30" s="15">
        <v>0.33161400000000002</v>
      </c>
      <c r="AI30" s="16">
        <v>52982.055588000003</v>
      </c>
      <c r="AJ30" s="15">
        <v>0.45291100000000001</v>
      </c>
      <c r="AK30" s="15">
        <v>1.3080529999999999</v>
      </c>
      <c r="AL30" s="15">
        <v>0.25179200000000002</v>
      </c>
      <c r="AM30" s="16">
        <v>34138.858257</v>
      </c>
      <c r="AN30" s="16">
        <v>44388.842320999996</v>
      </c>
      <c r="AO30" s="16">
        <v>35431.342768000002</v>
      </c>
      <c r="AP30" s="17">
        <v>3684.7199989999999</v>
      </c>
      <c r="AQ30" s="15">
        <v>0.114674</v>
      </c>
      <c r="AR30" s="16">
        <v>40332.927445000001</v>
      </c>
      <c r="AS30" s="15">
        <v>0.204766</v>
      </c>
      <c r="AT30" s="16">
        <v>88.758332999999993</v>
      </c>
      <c r="AU30" s="16">
        <v>8833.3298360000008</v>
      </c>
      <c r="AV30" s="16">
        <v>15166.666359000001</v>
      </c>
      <c r="AW30" s="15">
        <v>0.11757099999999999</v>
      </c>
      <c r="AX30" s="16">
        <v>504.12266699999998</v>
      </c>
      <c r="AY30" s="16">
        <v>4444.4448640000001</v>
      </c>
      <c r="AZ30" s="15">
        <v>0.118922</v>
      </c>
      <c r="BA30" s="15">
        <v>0.97912699999999997</v>
      </c>
      <c r="BB30" s="15" t="e">
        <v>#N/A</v>
      </c>
      <c r="BC30" s="11">
        <v>54.986699000000002</v>
      </c>
      <c r="BD30" s="11">
        <v>36555.551678000003</v>
      </c>
      <c r="BE30" s="11">
        <v>194.443546</v>
      </c>
      <c r="BF30" s="11">
        <v>34138.483712000001</v>
      </c>
      <c r="BG30" s="17">
        <v>62247.772078000002</v>
      </c>
      <c r="BH30" s="11">
        <v>28361.111936000001</v>
      </c>
      <c r="BI30" s="11">
        <v>12555.556409000001</v>
      </c>
      <c r="BJ30" s="11">
        <v>14172.545568</v>
      </c>
      <c r="BK30" s="11">
        <v>6388.8898140000001</v>
      </c>
      <c r="BL30" s="11">
        <v>0.39327099999999998</v>
      </c>
      <c r="BM30" s="11">
        <v>31515.353456000001</v>
      </c>
      <c r="BN30" s="11">
        <v>0.913636</v>
      </c>
      <c r="BO30" s="11">
        <v>44.417634</v>
      </c>
      <c r="BP30" s="11">
        <v>4222.2233230000002</v>
      </c>
      <c r="BQ30" s="11">
        <v>6055.5568030000004</v>
      </c>
      <c r="BR30" s="11">
        <v>0.125671</v>
      </c>
      <c r="BS30" s="11">
        <v>268.87865699999998</v>
      </c>
      <c r="BT30" s="11">
        <v>1722.223675</v>
      </c>
      <c r="BU30" s="11">
        <v>0.43114799999999998</v>
      </c>
      <c r="BV30" s="11">
        <v>1500.0006920000001</v>
      </c>
      <c r="BW30" s="11">
        <v>7.9231999999999997E-2</v>
      </c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>
        <v>147670.952311</v>
      </c>
      <c r="CT30" s="11">
        <v>0.18882099999999999</v>
      </c>
      <c r="CU30" s="11">
        <v>5.0798000000000003E-2</v>
      </c>
      <c r="CV30" s="11">
        <v>3.9130999999999999E-2</v>
      </c>
      <c r="CW30" s="11">
        <v>4.0663999999999999E-2</v>
      </c>
      <c r="CX30" s="17">
        <v>44056.700919000003</v>
      </c>
      <c r="CY30" s="11">
        <v>3.9217000000000002E-2</v>
      </c>
      <c r="CZ30" s="11">
        <v>48271.373889000002</v>
      </c>
      <c r="DA30" s="11">
        <v>3.5820999999999999E-2</v>
      </c>
      <c r="DB30" s="11">
        <v>0.15202099999999999</v>
      </c>
      <c r="DC30" s="11">
        <v>7.9021999999999995E-2</v>
      </c>
      <c r="DD30" s="11">
        <v>7.1593000000000004E-2</v>
      </c>
      <c r="DE30" s="11">
        <v>0.17132800000000001</v>
      </c>
      <c r="DF30" s="11">
        <v>7.5539999999999996E-2</v>
      </c>
      <c r="DG30" s="11">
        <v>3.5055000000000003E-2</v>
      </c>
      <c r="DH30" s="11">
        <v>2.0990000000000002E-2</v>
      </c>
      <c r="DI30" s="11">
        <v>145186.368949</v>
      </c>
      <c r="DJ30" s="11">
        <v>0.29530699999999999</v>
      </c>
      <c r="DK30" s="11">
        <v>7.8810000000000005E-2</v>
      </c>
      <c r="DL30" s="11">
        <v>5.7348999999999997E-2</v>
      </c>
      <c r="DM30" s="11">
        <v>6.0689E-2</v>
      </c>
      <c r="DN30" s="17">
        <v>46540.795149999998</v>
      </c>
      <c r="DO30" s="11">
        <v>6.1284999999999999E-2</v>
      </c>
      <c r="DP30" s="11">
        <v>48271.319468000002</v>
      </c>
      <c r="DQ30" s="11">
        <v>5.2429999999999997E-2</v>
      </c>
      <c r="DR30" s="11">
        <v>0.252965</v>
      </c>
      <c r="DS30" s="11">
        <v>0.122373</v>
      </c>
      <c r="DT30" s="11">
        <v>0.109759</v>
      </c>
      <c r="DU30" s="11">
        <v>0.26961200000000002</v>
      </c>
      <c r="DV30" s="11">
        <v>0.11364299999999999</v>
      </c>
      <c r="DW30" s="11">
        <v>5.3325999999999998E-2</v>
      </c>
      <c r="DX30" s="11">
        <v>3.0661000000000001E-2</v>
      </c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</row>
    <row r="31" spans="1:144" x14ac:dyDescent="0.3">
      <c r="A31">
        <v>29</v>
      </c>
      <c r="B31" s="6">
        <v>245000</v>
      </c>
      <c r="C31" s="6">
        <v>240590.65342700001</v>
      </c>
      <c r="D31" s="6">
        <v>240260.33567100001</v>
      </c>
      <c r="E31" s="6">
        <f>(C30-Tableau6[[#This Row],[Total cost (M€/y) HIGH]])/(Tableau6[[#This Row],[Solid biomass availability (GWh/y)]]-B30)*1000</f>
        <v>108.03168519999599</v>
      </c>
      <c r="F31" s="6" t="s">
        <v>33</v>
      </c>
      <c r="G31" s="10">
        <f t="shared" si="6"/>
        <v>99.670582030000205</v>
      </c>
      <c r="H31" s="6" t="s">
        <v>14</v>
      </c>
      <c r="I31" s="11" cm="1">
        <f t="array" ref="I31">INDEX(Tableau3[Production cost (M€/GWh)],
       MATCH(1,
             (Tableau3[Resource]=Tableau6[[#This Row],[Marginal supply commodity HIGH]])*(Tableau3[Scenario]="HIGH_2050"),
             0))*1000</f>
        <v>8.1622330434782597</v>
      </c>
      <c r="J31" s="11" cm="1">
        <f t="array" ref="J31">INDEX(Tableau3[GHG impact (tCO2eq/MWh)],
       MATCH(1,
             (Tableau3[Resource]=Tableau6[[#This Row],[Marginal supply commodity HIGH]])*(Tableau3[Scenario]="HIGH_2050"),
             0))*1000</f>
        <v>24.6344262295082</v>
      </c>
      <c r="K31" s="11">
        <f>(Tableau6[[#This Row],[Total cost (M€/y) HIGH]]-Tableau6[[#This Row],[Total Cost (M€) HIGH +1Mt CO2]])</f>
        <v>330.31775600000401</v>
      </c>
      <c r="L31" s="22">
        <f>Tableau6[[#This Row],[Marginal Carbon cost (€/tCO2) HIGH]]*Tableau6[[#This Row],[Marginal emission factor (kgCO2/MWh) HIGH]]/1000</f>
        <v>8.1371883924787891</v>
      </c>
      <c r="M31" s="22">
        <f>(CS31-CS30)*AVERAGE($E$3,E31)/(B31-B30)</f>
        <v>-19.217460753520289</v>
      </c>
      <c r="N31" s="22">
        <f>(CS31-CS30)*Tableau6[[#This Row],[Marginal value of solid biomass (€/MWh) HIGH]]/(B31-B30)</f>
        <v>-2.6345873316351116</v>
      </c>
      <c r="O31" s="22">
        <f>(CS31-CS30)*Tableau6[[#This Row],[Marginal supply cost (€/MWh) HIGH]]/(B31-B30)</f>
        <v>-0.19905378440030225</v>
      </c>
      <c r="P31" s="22">
        <f>Tableau6[[#This Row],[Marginal supply cost (€/MWh) HIGH]]+Tableau6[[#This Row],[Carbon cost of marginal biomass (€/MWh) HIGH]]</f>
        <v>16.299421435957051</v>
      </c>
      <c r="Q31" s="6">
        <v>243233.22068999999</v>
      </c>
      <c r="R31" s="6">
        <v>242906.24168000001</v>
      </c>
      <c r="S31" s="6">
        <f>(Q30-Tableau6[[#This Row],[Total cost (M€/y) MED]])/(Tableau6[[#This Row],[Solid biomass availability (GWh/y)]]-B30)*1000</f>
        <v>98.710106600000287</v>
      </c>
      <c r="T31" s="6" t="s">
        <v>33</v>
      </c>
      <c r="U31" s="6">
        <f t="shared" si="7"/>
        <v>85.883827533333417</v>
      </c>
      <c r="V31" s="19" t="s">
        <v>10</v>
      </c>
      <c r="W31" s="10" cm="1">
        <f t="array" ref="W31">INDEX(Tableau3[Production cost (M€/GWh)],
       MATCH(1,
             (Tableau3[Resource]=Tableau6[[#This Row],[Marginal supply commodity MED]])*(Tableau3[Scenario]="MED_2050"),
             0))*1000</f>
        <v>24.51298899676376</v>
      </c>
      <c r="X31" s="10" cm="1">
        <f t="array" ref="X31">INDEX(Tableau3[GHG impact (tCO2eq/MWh)],
       MATCH(1,
             (Tableau3[Resource]=Tableau6[[#This Row],[Marginal supply commodity MED]])*(Tableau3[Scenario]="MED_2050"),
             0))*1000</f>
        <v>13.917873892652425</v>
      </c>
      <c r="Y31" s="10">
        <f>Tableau6[[#This Row],[Total cost (M€/y) MED]]-Tableau6[[#This Row],[Total cost (M€/y) MED +1Mt CO2]]</f>
        <v>326.97900999998092</v>
      </c>
      <c r="Z31" s="10">
        <f>Tableau6[[#This Row],[Marginal Carbon cost (€/tCO2) MED]]*Tableau6[[#This Row],[Marginal emission factor (kgCO2/MWh)]]/1000</f>
        <v>4.5508526267240708</v>
      </c>
      <c r="AA31" s="10">
        <f>Tableau6[[#This Row],[Carbon cost of marginal biomass (€/MWh) MED]]+Tableau6[[#This Row],[Marginal supply cost (€/MWh) MED]]</f>
        <v>29.063841623487832</v>
      </c>
      <c r="AH31" s="15">
        <v>0.24038799999999999</v>
      </c>
      <c r="AI31" s="16">
        <v>52912.180875999999</v>
      </c>
      <c r="AJ31" s="15">
        <v>0.39993699999999999</v>
      </c>
      <c r="AK31" s="15">
        <v>1.469295</v>
      </c>
      <c r="AL31" s="15">
        <v>0.29245700000000002</v>
      </c>
      <c r="AM31" s="16">
        <v>34138.854566000002</v>
      </c>
      <c r="AN31" s="16">
        <v>44388.735731000001</v>
      </c>
      <c r="AO31" s="16">
        <v>35431.341408</v>
      </c>
      <c r="AP31" s="17">
        <v>8754.9424099999997</v>
      </c>
      <c r="AQ31" s="15">
        <v>0.119536</v>
      </c>
      <c r="AR31" s="16">
        <v>40332.962205999997</v>
      </c>
      <c r="AS31" s="15">
        <v>0.207451</v>
      </c>
      <c r="AT31" s="16">
        <v>88.667475999999994</v>
      </c>
      <c r="AU31" s="16">
        <v>8833.3286059999991</v>
      </c>
      <c r="AV31" s="16">
        <v>15166.666531999999</v>
      </c>
      <c r="AW31" s="15">
        <v>5.1767000000000001E-2</v>
      </c>
      <c r="AX31" s="16">
        <v>504.076436</v>
      </c>
      <c r="AY31" s="16">
        <v>4444.4450450000004</v>
      </c>
      <c r="AZ31" s="15">
        <v>0.12384000000000001</v>
      </c>
      <c r="BA31" s="15">
        <v>0.84866900000000001</v>
      </c>
      <c r="BB31" s="15" t="e">
        <v>#N/A</v>
      </c>
      <c r="BC31" s="11">
        <v>54.986134999999997</v>
      </c>
      <c r="BD31" s="11">
        <v>36555.555621</v>
      </c>
      <c r="BE31" s="11">
        <v>194.444287</v>
      </c>
      <c r="BF31" s="11">
        <v>34138.483339999999</v>
      </c>
      <c r="BG31" s="17">
        <v>67249.470377999998</v>
      </c>
      <c r="BH31" s="11">
        <v>28361.111166999999</v>
      </c>
      <c r="BI31" s="11">
        <v>12555.555616</v>
      </c>
      <c r="BJ31" s="11">
        <v>14172.544537</v>
      </c>
      <c r="BK31" s="11">
        <v>6388.8889520000002</v>
      </c>
      <c r="BL31" s="11">
        <v>3.9827000000000001E-2</v>
      </c>
      <c r="BM31" s="11">
        <v>31515.360218000002</v>
      </c>
      <c r="BN31" s="11">
        <v>0.18873999999999999</v>
      </c>
      <c r="BO31" s="11">
        <v>44.416738000000002</v>
      </c>
      <c r="BP31" s="11">
        <v>4222.2223080000003</v>
      </c>
      <c r="BQ31" s="11">
        <v>6055.5556640000004</v>
      </c>
      <c r="BR31" s="11">
        <v>1.5688000000000001E-2</v>
      </c>
      <c r="BS31" s="11">
        <v>268.87784099999999</v>
      </c>
      <c r="BT31" s="11">
        <v>1722.2223509999999</v>
      </c>
      <c r="BU31" s="11">
        <v>4.3430000000000003E-2</v>
      </c>
      <c r="BV31" s="11">
        <v>1500.000033</v>
      </c>
      <c r="BW31" s="11">
        <v>8.0365000000000006E-2</v>
      </c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>
        <v>147549.01644899999</v>
      </c>
      <c r="CT31" s="11">
        <v>0.190522</v>
      </c>
      <c r="CU31" s="11">
        <v>5.1732E-2</v>
      </c>
      <c r="CV31" s="11">
        <v>3.9469999999999998E-2</v>
      </c>
      <c r="CW31" s="11">
        <v>4.1732999999999999E-2</v>
      </c>
      <c r="CX31" s="17">
        <v>49178.709727000001</v>
      </c>
      <c r="CY31" s="11">
        <v>3.9393999999999998E-2</v>
      </c>
      <c r="CZ31" s="11">
        <v>48271.288411000001</v>
      </c>
      <c r="DA31" s="11">
        <v>3.6034999999999998E-2</v>
      </c>
      <c r="DB31" s="11">
        <v>0.14918799999999999</v>
      </c>
      <c r="DC31" s="11">
        <v>7.9047000000000006E-2</v>
      </c>
      <c r="DD31" s="11">
        <v>7.3750999999999997E-2</v>
      </c>
      <c r="DE31" s="11">
        <v>0.188195</v>
      </c>
      <c r="DF31" s="11">
        <v>7.3704000000000006E-2</v>
      </c>
      <c r="DG31" s="11">
        <v>3.6072E-2</v>
      </c>
      <c r="DH31" s="11">
        <v>2.1586000000000001E-2</v>
      </c>
      <c r="DI31" s="11">
        <v>145310.510733</v>
      </c>
      <c r="DJ31" s="11">
        <v>3.2328000000000003E-2</v>
      </c>
      <c r="DK31" s="11">
        <v>7.9030000000000003E-3</v>
      </c>
      <c r="DL31" s="11">
        <v>6.1520000000000004E-3</v>
      </c>
      <c r="DM31" s="11">
        <v>6.5630000000000003E-3</v>
      </c>
      <c r="DN31" s="17">
        <v>51417.715913</v>
      </c>
      <c r="DO31" s="11">
        <v>7.2909999999999997E-3</v>
      </c>
      <c r="DP31" s="11">
        <v>48271.61045</v>
      </c>
      <c r="DQ31" s="11">
        <v>5.7629999999999999E-3</v>
      </c>
      <c r="DR31" s="11">
        <v>2.5897E-2</v>
      </c>
      <c r="DS31" s="11">
        <v>1.2997999999999999E-2</v>
      </c>
      <c r="DT31" s="11">
        <v>1.2174000000000001E-2</v>
      </c>
      <c r="DU31" s="11">
        <v>2.7784E-2</v>
      </c>
      <c r="DV31" s="11">
        <v>1.2659999999999999E-2</v>
      </c>
      <c r="DW31" s="11">
        <v>5.9309999999999996E-3</v>
      </c>
      <c r="DX31" s="11">
        <v>3.5170000000000002E-3</v>
      </c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</row>
    <row r="32" spans="1:144" x14ac:dyDescent="0.3">
      <c r="A32">
        <v>30</v>
      </c>
      <c r="B32" s="6">
        <v>250000</v>
      </c>
      <c r="C32" s="6">
        <v>240047.69926699999</v>
      </c>
      <c r="D32" s="6">
        <v>239731.48535100001</v>
      </c>
      <c r="E32" s="6">
        <f>(C31-Tableau6[[#This Row],[Total cost (M€/y) HIGH]])/(Tableau6[[#This Row],[Solid biomass availability (GWh/y)]]-B31)*1000</f>
        <v>108.5908320000046</v>
      </c>
      <c r="F32" s="6" t="s">
        <v>33</v>
      </c>
      <c r="G32" s="10">
        <f t="shared" si="6"/>
        <v>99.670582030000205</v>
      </c>
      <c r="H32" s="6" t="s">
        <v>14</v>
      </c>
      <c r="I32" s="11" cm="1">
        <f t="array" ref="I32">INDEX(Tableau3[Production cost (M€/GWh)],
       MATCH(1,
             (Tableau3[Resource]=Tableau6[[#This Row],[Marginal supply commodity HIGH]])*(Tableau3[Scenario]="HIGH_2050"),
             0))*1000</f>
        <v>8.1622330434782597</v>
      </c>
      <c r="J32" s="11" cm="1">
        <f t="array" ref="J32">INDEX(Tableau3[GHG impact (tCO2eq/MWh)],
       MATCH(1,
             (Tableau3[Resource]=Tableau6[[#This Row],[Marginal supply commodity HIGH]])*(Tableau3[Scenario]="HIGH_2050"),
             0))*1000</f>
        <v>24.6344262295082</v>
      </c>
      <c r="K32" s="11">
        <f>(Tableau6[[#This Row],[Total cost (M€/y) HIGH]]-Tableau6[[#This Row],[Total Cost (M€) HIGH +1Mt CO2]])</f>
        <v>316.21391599997878</v>
      </c>
      <c r="L32" s="22">
        <f>Tableau6[[#This Row],[Marginal Carbon cost (€/tCO2) HIGH]]*Tableau6[[#This Row],[Marginal emission factor (kgCO2/MWh) HIGH]]/1000</f>
        <v>7.78974838644538</v>
      </c>
      <c r="M32" s="22">
        <f>(CS32-CS31)*AVERAGE($E$3,E32)/(B32-B31)</f>
        <v>-36.887198757748997</v>
      </c>
      <c r="N32" s="22">
        <f>(CS32-CS31)*Tableau6[[#This Row],[Marginal value of solid biomass (€/MWh) HIGH]]/(B32-B31)</f>
        <v>-5.0813631015520677</v>
      </c>
      <c r="O32" s="22">
        <f>(CS32-CS31)*Tableau6[[#This Row],[Marginal supply cost (€/MWh) HIGH]]/(B32-B31)</f>
        <v>-0.38194080521823159</v>
      </c>
      <c r="P32" s="22">
        <f>Tableau6[[#This Row],[Marginal supply cost (€/MWh) HIGH]]+Tableau6[[#This Row],[Carbon cost of marginal biomass (€/MWh) HIGH]]</f>
        <v>15.95198142992364</v>
      </c>
      <c r="Q32" s="6">
        <v>242746.538463</v>
      </c>
      <c r="R32" s="6">
        <v>242368.75253500001</v>
      </c>
      <c r="S32" s="6">
        <f>(Q31-Tableau6[[#This Row],[Total cost (M€/y) MED]])/(Tableau6[[#This Row],[Solid biomass availability (GWh/y)]]-B31)*1000</f>
        <v>97.336445399996592</v>
      </c>
      <c r="T32" s="6" t="s">
        <v>33</v>
      </c>
      <c r="U32" s="6">
        <f t="shared" si="7"/>
        <v>85.883827533333417</v>
      </c>
      <c r="V32" s="19" t="s">
        <v>10</v>
      </c>
      <c r="W32" s="10" cm="1">
        <f t="array" ref="W32">INDEX(Tableau3[Production cost (M€/GWh)],
       MATCH(1,
             (Tableau3[Resource]=Tableau6[[#This Row],[Marginal supply commodity MED]])*(Tableau3[Scenario]="MED_2050"),
             0))*1000</f>
        <v>24.51298899676376</v>
      </c>
      <c r="X32" s="10" cm="1">
        <f t="array" ref="X32">INDEX(Tableau3[GHG impact (tCO2eq/MWh)],
       MATCH(1,
             (Tableau3[Resource]=Tableau6[[#This Row],[Marginal supply commodity MED]])*(Tableau3[Scenario]="MED_2050"),
             0))*1000</f>
        <v>13.917873892652425</v>
      </c>
      <c r="Y32" s="10">
        <f>Tableau6[[#This Row],[Total cost (M€/y) MED]]-Tableau6[[#This Row],[Total cost (M€/y) MED +1Mt CO2]]</f>
        <v>377.78592799999751</v>
      </c>
      <c r="Z32" s="10">
        <f>Tableau6[[#This Row],[Marginal Carbon cost (€/tCO2) MED]]*Tableau6[[#This Row],[Marginal emission factor (kgCO2/MWh)]]/1000</f>
        <v>5.2579769043226339</v>
      </c>
      <c r="AA32" s="10">
        <f>Tableau6[[#This Row],[Carbon cost of marginal biomass (€/MWh) MED]]+Tableau6[[#This Row],[Marginal supply cost (€/MWh) MED]]</f>
        <v>29.770965901086392</v>
      </c>
      <c r="AH32" s="15">
        <v>0.214091</v>
      </c>
      <c r="AI32" s="16">
        <v>52999.999614</v>
      </c>
      <c r="AJ32" s="15">
        <v>0.380747</v>
      </c>
      <c r="AK32" s="17">
        <v>1196.1852590000001</v>
      </c>
      <c r="AL32" s="15">
        <v>0.199346</v>
      </c>
      <c r="AM32" s="16">
        <v>34138.877922</v>
      </c>
      <c r="AN32" s="16">
        <v>44388.864863000003</v>
      </c>
      <c r="AO32" s="16">
        <v>35431.342709999997</v>
      </c>
      <c r="AP32" s="16">
        <v>12472.183144000001</v>
      </c>
      <c r="AQ32" s="15">
        <v>7.6282000000000003E-2</v>
      </c>
      <c r="AR32" s="16">
        <v>40332.936195000002</v>
      </c>
      <c r="AS32" s="15">
        <v>0.16084999999999999</v>
      </c>
      <c r="AT32" s="16">
        <v>88.828137999999996</v>
      </c>
      <c r="AU32" s="16">
        <v>8833.3310089999995</v>
      </c>
      <c r="AV32" s="16">
        <v>15166.666033</v>
      </c>
      <c r="AW32" s="15">
        <v>3.3887E-2</v>
      </c>
      <c r="AX32" s="16">
        <v>504.14156800000001</v>
      </c>
      <c r="AY32" s="16">
        <v>4444.4441280000001</v>
      </c>
      <c r="AZ32" s="15">
        <v>7.9620999999999997E-2</v>
      </c>
      <c r="BA32" s="15">
        <v>1.0114620000000001</v>
      </c>
      <c r="BB32" s="15" t="e">
        <v>#N/A</v>
      </c>
      <c r="BC32" s="11">
        <v>54.986573999999997</v>
      </c>
      <c r="BD32" s="11">
        <v>36555.556664999996</v>
      </c>
      <c r="BE32" s="11">
        <v>194.44365999999999</v>
      </c>
      <c r="BF32" s="11">
        <v>34138.483995000002</v>
      </c>
      <c r="BG32" s="17">
        <v>72247.827973000007</v>
      </c>
      <c r="BH32" s="11">
        <v>28361.112028</v>
      </c>
      <c r="BI32" s="11">
        <v>12555.556431999999</v>
      </c>
      <c r="BJ32" s="11">
        <v>14172.545537</v>
      </c>
      <c r="BK32" s="11">
        <v>6388.8897829999996</v>
      </c>
      <c r="BL32" s="11">
        <v>0.297734</v>
      </c>
      <c r="BM32" s="11">
        <v>31515.362121999999</v>
      </c>
      <c r="BN32" s="11">
        <v>1.0903259999999999</v>
      </c>
      <c r="BO32" s="11">
        <v>44.417498000000002</v>
      </c>
      <c r="BP32" s="11">
        <v>4222.2232750000003</v>
      </c>
      <c r="BQ32" s="11">
        <v>6055.5567460000002</v>
      </c>
      <c r="BR32" s="11">
        <v>0.105971</v>
      </c>
      <c r="BS32" s="11">
        <v>268.87869999999998</v>
      </c>
      <c r="BT32" s="11">
        <v>1722.2235679999999</v>
      </c>
      <c r="BU32" s="11">
        <v>0.32626899999999998</v>
      </c>
      <c r="BV32" s="11">
        <v>1500.0007559999999</v>
      </c>
      <c r="BW32" s="11">
        <v>4.9013000000000001E-2</v>
      </c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>
        <v>147315.04811999999</v>
      </c>
      <c r="CT32" s="11">
        <v>0.13213</v>
      </c>
      <c r="CU32" s="11">
        <v>3.2903000000000002E-2</v>
      </c>
      <c r="CV32" s="11">
        <v>2.4731E-2</v>
      </c>
      <c r="CW32" s="11">
        <v>2.5700000000000001E-2</v>
      </c>
      <c r="CX32" s="17">
        <v>54412.847414999997</v>
      </c>
      <c r="CY32" s="11">
        <v>2.4659E-2</v>
      </c>
      <c r="CZ32" s="11">
        <v>48271.441650000001</v>
      </c>
      <c r="DA32" s="11">
        <v>2.1946E-2</v>
      </c>
      <c r="DB32" s="11">
        <v>0.11708</v>
      </c>
      <c r="DC32" s="11">
        <v>5.1644000000000002E-2</v>
      </c>
      <c r="DD32" s="11">
        <v>4.5969000000000003E-2</v>
      </c>
      <c r="DE32" s="11">
        <v>0.111216</v>
      </c>
      <c r="DF32" s="11">
        <v>4.6935999999999999E-2</v>
      </c>
      <c r="DG32" s="11">
        <v>2.1552000000000002E-2</v>
      </c>
      <c r="DH32" s="11">
        <v>1.225E-2</v>
      </c>
      <c r="DI32" s="11">
        <v>145397.24836900001</v>
      </c>
      <c r="DJ32" s="11">
        <v>0.227685</v>
      </c>
      <c r="DK32" s="11">
        <v>6.7475999999999994E-2</v>
      </c>
      <c r="DL32" s="11">
        <v>4.4323000000000001E-2</v>
      </c>
      <c r="DM32" s="11">
        <v>4.6976999999999998E-2</v>
      </c>
      <c r="DN32" s="17">
        <v>56330.165648000002</v>
      </c>
      <c r="DO32" s="11">
        <v>3.6693000000000003E-2</v>
      </c>
      <c r="DP32" s="11">
        <v>48271.421513000001</v>
      </c>
      <c r="DQ32" s="11">
        <v>4.1769000000000001E-2</v>
      </c>
      <c r="DR32" s="11">
        <v>0.196964</v>
      </c>
      <c r="DS32" s="11">
        <v>9.7161999999999998E-2</v>
      </c>
      <c r="DT32" s="11">
        <v>8.2921999999999996E-2</v>
      </c>
      <c r="DU32" s="11">
        <v>0.20180999999999999</v>
      </c>
      <c r="DV32" s="11">
        <v>9.1552999999999995E-2</v>
      </c>
      <c r="DW32" s="11">
        <v>4.1502999999999998E-2</v>
      </c>
      <c r="DX32" s="11">
        <v>2.4705000000000001E-2</v>
      </c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</row>
    <row r="33" spans="1:144" x14ac:dyDescent="0.3">
      <c r="A33">
        <v>31</v>
      </c>
      <c r="B33" s="6">
        <v>255000</v>
      </c>
      <c r="C33" s="6">
        <v>239531.499755</v>
      </c>
      <c r="D33" s="6">
        <v>239208.33141799999</v>
      </c>
      <c r="E33" s="6">
        <f>(C32-Tableau6[[#This Row],[Total cost (M€/y) HIGH]])/(Tableau6[[#This Row],[Solid biomass availability (GWh/y)]]-B32)*1000</f>
        <v>103.23990239999839</v>
      </c>
      <c r="F33" s="6" t="s">
        <v>33</v>
      </c>
      <c r="G33" s="10">
        <f>AVERAGE($E$22:$E$41)</f>
        <v>99.670582030000205</v>
      </c>
      <c r="H33" s="6" t="s">
        <v>9</v>
      </c>
      <c r="I33" s="11" cm="1">
        <f t="array" ref="I33">INDEX(Tableau3[Production cost (M€/GWh)],
       MATCH(1,
             (Tableau3[Resource]=Tableau6[[#This Row],[Marginal supply commodity HIGH]])*(Tableau3[Scenario]="HIGH_2050"),
             0))*1000</f>
        <v>14.876070726438199</v>
      </c>
      <c r="J33" s="11" cm="1">
        <f t="array" ref="J33">INDEX(Tableau3[GHG impact (tCO2eq/MWh)],
       MATCH(1,
             (Tableau3[Resource]=Tableau6[[#This Row],[Marginal supply commodity HIGH]])*(Tableau3[Scenario]="HIGH_2050"),
             0))*1000</f>
        <v>13.9178738926524</v>
      </c>
      <c r="K33" s="11">
        <f>(Tableau6[[#This Row],[Total cost (M€/y) HIGH]]-Tableau6[[#This Row],[Total Cost (M€) HIGH +1Mt CO2]])</f>
        <v>323.16833700001007</v>
      </c>
      <c r="L33" s="22">
        <f>Tableau6[[#This Row],[Marginal Carbon cost (€/tCO2) HIGH]]*Tableau6[[#This Row],[Marginal emission factor (kgCO2/MWh) HIGH]]/1000</f>
        <v>4.4978161604643327</v>
      </c>
      <c r="M33" s="22">
        <f>(CS33-CS32)*AVERAGE($E$3,E33)/(B33-B32)</f>
        <v>18.284066068350519</v>
      </c>
      <c r="N33" s="22">
        <f>(CS33-CS32)*Tableau6[[#This Row],[Marginal value of solid biomass (€/MWh) HIGH]]/(B33-B32)</f>
        <v>2.402748190311617</v>
      </c>
      <c r="O33" s="22">
        <f>(CS33-CS32)*Tableau6[[#This Row],[Marginal supply cost (€/MWh) HIGH]]/(B33-B32)</f>
        <v>0.3462174138678531</v>
      </c>
      <c r="P33" s="22">
        <f>Tableau6[[#This Row],[Marginal supply cost (€/MWh) HIGH]]+Tableau6[[#This Row],[Carbon cost of marginal biomass (€/MWh) HIGH]]</f>
        <v>19.373886886902532</v>
      </c>
      <c r="Q33" s="6">
        <v>242220.05739500001</v>
      </c>
      <c r="R33" s="6">
        <v>241886.63239700001</v>
      </c>
      <c r="S33" s="6">
        <f>(Q32-Tableau6[[#This Row],[Total cost (M€/y) MED]])/(Tableau6[[#This Row],[Solid biomass availability (GWh/y)]]-B32)*1000</f>
        <v>105.29621359999874</v>
      </c>
      <c r="T33" s="6" t="s">
        <v>33</v>
      </c>
      <c r="U33" s="6">
        <f t="shared" si="7"/>
        <v>85.883827533333417</v>
      </c>
      <c r="V33" s="19" t="s">
        <v>10</v>
      </c>
      <c r="W33" s="10" cm="1">
        <f t="array" ref="W33">INDEX(Tableau3[Production cost (M€/GWh)],
       MATCH(1,
             (Tableau3[Resource]=Tableau6[[#This Row],[Marginal supply commodity MED]])*(Tableau3[Scenario]="MED_2050"),
             0))*1000</f>
        <v>24.51298899676376</v>
      </c>
      <c r="X33" s="10" cm="1">
        <f t="array" ref="X33">INDEX(Tableau3[GHG impact (tCO2eq/MWh)],
       MATCH(1,
             (Tableau3[Resource]=Tableau6[[#This Row],[Marginal supply commodity MED]])*(Tableau3[Scenario]="MED_2050"),
             0))*1000</f>
        <v>13.917873892652425</v>
      </c>
      <c r="Y33" s="10">
        <f>Tableau6[[#This Row],[Total cost (M€/y) MED]]-Tableau6[[#This Row],[Total cost (M€/y) MED +1Mt CO2]]</f>
        <v>333.42499800000223</v>
      </c>
      <c r="Z33" s="10">
        <f>Tableau6[[#This Row],[Marginal Carbon cost (€/tCO2) MED]]*Tableau6[[#This Row],[Marginal emission factor (kgCO2/MWh)]]/1000</f>
        <v>4.6405670748219183</v>
      </c>
      <c r="AA33" s="10">
        <f>Tableau6[[#This Row],[Carbon cost of marginal biomass (€/MWh) MED]]+Tableau6[[#This Row],[Marginal supply cost (€/MWh) MED]]</f>
        <v>29.153556071585676</v>
      </c>
      <c r="AH33" s="15">
        <v>0.33855800000000003</v>
      </c>
      <c r="AI33" s="16">
        <v>52999.774495999998</v>
      </c>
      <c r="AJ33" s="15">
        <v>0.85427200000000003</v>
      </c>
      <c r="AK33" s="17">
        <v>6193.3226379999996</v>
      </c>
      <c r="AL33" s="15">
        <v>0.58094199999999996</v>
      </c>
      <c r="AM33" s="16">
        <v>34138.889981</v>
      </c>
      <c r="AN33" s="16">
        <v>44388.889337000001</v>
      </c>
      <c r="AO33" s="16">
        <v>35431.343944</v>
      </c>
      <c r="AP33" s="16">
        <v>12472.212012</v>
      </c>
      <c r="AQ33" s="15">
        <v>0.22182399999999999</v>
      </c>
      <c r="AR33" s="16">
        <v>40332.869882999999</v>
      </c>
      <c r="AS33" s="15">
        <v>0.36439500000000002</v>
      </c>
      <c r="AT33" s="16">
        <v>88.826448999999997</v>
      </c>
      <c r="AU33" s="16">
        <v>8833.3320000000003</v>
      </c>
      <c r="AV33" s="16">
        <v>15166.667038</v>
      </c>
      <c r="AW33" s="15">
        <v>5.237E-2</v>
      </c>
      <c r="AX33" s="16">
        <v>504.13998199999997</v>
      </c>
      <c r="AY33" s="16">
        <v>4444.4455580000003</v>
      </c>
      <c r="AZ33" s="15">
        <v>0.23091400000000001</v>
      </c>
      <c r="BA33" s="15">
        <v>2.5441750000000001</v>
      </c>
      <c r="BB33" s="15" t="e">
        <v>#N/A</v>
      </c>
      <c r="BC33" s="11">
        <v>54.986029000000002</v>
      </c>
      <c r="BD33" s="11">
        <v>36555.554634</v>
      </c>
      <c r="BE33" s="11">
        <v>194.44385500000001</v>
      </c>
      <c r="BF33" s="11">
        <v>34138.483084</v>
      </c>
      <c r="BG33" s="17">
        <v>77249.033160999999</v>
      </c>
      <c r="BH33" s="11">
        <v>28361.111025999999</v>
      </c>
      <c r="BI33" s="11">
        <v>12555.555521</v>
      </c>
      <c r="BJ33" s="11">
        <v>14172.544497000001</v>
      </c>
      <c r="BK33" s="11">
        <v>6388.8888660000002</v>
      </c>
      <c r="BL33" s="11">
        <v>0.119182</v>
      </c>
      <c r="BM33" s="11">
        <v>31515.356747000002</v>
      </c>
      <c r="BN33" s="11">
        <v>0.39645000000000002</v>
      </c>
      <c r="BO33" s="11">
        <v>44.416708</v>
      </c>
      <c r="BP33" s="11">
        <v>4222.2222650000003</v>
      </c>
      <c r="BQ33" s="11">
        <v>6055.5556530000003</v>
      </c>
      <c r="BR33" s="11">
        <v>4.8631000000000001E-2</v>
      </c>
      <c r="BS33" s="11">
        <v>268.87779</v>
      </c>
      <c r="BT33" s="11">
        <v>1722.2223770000001</v>
      </c>
      <c r="BU33" s="11">
        <v>0.130658</v>
      </c>
      <c r="BV33" s="11">
        <v>1499.999892</v>
      </c>
      <c r="BW33" s="11">
        <v>0.14686199999999999</v>
      </c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>
        <v>147431.41534499999</v>
      </c>
      <c r="CT33" s="11">
        <v>0.31922200000000001</v>
      </c>
      <c r="CU33" s="11">
        <v>9.3359999999999999E-2</v>
      </c>
      <c r="CV33" s="11">
        <v>6.7912E-2</v>
      </c>
      <c r="CW33" s="11">
        <v>7.1026000000000006E-2</v>
      </c>
      <c r="CX33" s="17">
        <v>59295.651285</v>
      </c>
      <c r="CY33" s="11">
        <v>7.4918999999999999E-2</v>
      </c>
      <c r="CZ33" s="11">
        <v>48271.212479000002</v>
      </c>
      <c r="DA33" s="11">
        <v>6.2003000000000003E-2</v>
      </c>
      <c r="DB33" s="11">
        <v>0.28453400000000001</v>
      </c>
      <c r="DC33" s="11">
        <v>0.13966899999999999</v>
      </c>
      <c r="DD33" s="11">
        <v>0.12507199999999999</v>
      </c>
      <c r="DE33" s="11">
        <v>0.30587199999999998</v>
      </c>
      <c r="DF33" s="11">
        <v>0.12751399999999999</v>
      </c>
      <c r="DG33" s="11">
        <v>6.1101999999999997E-2</v>
      </c>
      <c r="DH33" s="11">
        <v>3.6341999999999999E-2</v>
      </c>
      <c r="DI33" s="11">
        <v>145445.35357199999</v>
      </c>
      <c r="DJ33" s="11">
        <v>9.7570000000000004E-2</v>
      </c>
      <c r="DK33" s="11">
        <v>2.3720999999999999E-2</v>
      </c>
      <c r="DL33" s="11">
        <v>1.8121000000000002E-2</v>
      </c>
      <c r="DM33" s="11">
        <v>1.9032E-2</v>
      </c>
      <c r="DN33" s="17">
        <v>61282.613140000001</v>
      </c>
      <c r="DO33" s="11">
        <v>2.0962999999999999E-2</v>
      </c>
      <c r="DP33" s="11">
        <v>48271.542081</v>
      </c>
      <c r="DQ33" s="11">
        <v>1.7127E-2</v>
      </c>
      <c r="DR33" s="11">
        <v>8.3509E-2</v>
      </c>
      <c r="DS33" s="11">
        <v>3.9704000000000003E-2</v>
      </c>
      <c r="DT33" s="11">
        <v>3.5295E-2</v>
      </c>
      <c r="DU33" s="11">
        <v>7.7697000000000002E-2</v>
      </c>
      <c r="DV33" s="11">
        <v>3.8039999999999997E-2</v>
      </c>
      <c r="DW33" s="11">
        <v>1.7038999999999999E-2</v>
      </c>
      <c r="DX33" s="11">
        <v>1.0376E-2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</row>
    <row r="34" spans="1:144" x14ac:dyDescent="0.3">
      <c r="A34">
        <v>32</v>
      </c>
      <c r="B34" s="6">
        <v>260000</v>
      </c>
      <c r="C34" s="6">
        <v>239010.57830699999</v>
      </c>
      <c r="D34" s="6">
        <v>238702.61491900001</v>
      </c>
      <c r="E34" s="6">
        <f>(C33-Tableau6[[#This Row],[Total cost (M€/y) HIGH]])/(Tableau6[[#This Row],[Solid biomass availability (GWh/y)]]-B33)*1000</f>
        <v>104.18428960000165</v>
      </c>
      <c r="F34" s="6" t="s">
        <v>33</v>
      </c>
      <c r="G34" s="10">
        <f t="shared" si="6"/>
        <v>99.670582030000205</v>
      </c>
      <c r="H34" s="6" t="s">
        <v>9</v>
      </c>
      <c r="I34" s="11" cm="1">
        <f t="array" ref="I34">INDEX(Tableau3[Production cost (M€/GWh)],
       MATCH(1,
             (Tableau3[Resource]=Tableau6[[#This Row],[Marginal supply commodity HIGH]])*(Tableau3[Scenario]="HIGH_2050"),
             0))*1000</f>
        <v>14.876070726438199</v>
      </c>
      <c r="J34" s="11" cm="1">
        <f t="array" ref="J34">INDEX(Tableau3[GHG impact (tCO2eq/MWh)],
       MATCH(1,
             (Tableau3[Resource]=Tableau6[[#This Row],[Marginal supply commodity HIGH]])*(Tableau3[Scenario]="HIGH_2050"),
             0))*1000</f>
        <v>13.9178738926524</v>
      </c>
      <c r="K34" s="11">
        <f>(Tableau6[[#This Row],[Total cost (M€/y) HIGH]]-Tableau6[[#This Row],[Total Cost (M€) HIGH +1Mt CO2]])</f>
        <v>307.96338799997466</v>
      </c>
      <c r="L34" s="22">
        <f>Tableau6[[#This Row],[Marginal Carbon cost (€/tCO2) HIGH]]*Tableau6[[#This Row],[Marginal emission factor (kgCO2/MWh) HIGH]]/1000</f>
        <v>4.2861955977376285</v>
      </c>
      <c r="M34" s="22">
        <f>(CS34-CS33)*AVERAGE($E$3,E34)/(B34-B33)</f>
        <v>-212.53588823870459</v>
      </c>
      <c r="N34" s="22">
        <f>(CS34-CS33)*Tableau6[[#This Row],[Marginal value of solid biomass (€/MWh) HIGH]]/(B34-B33)</f>
        <v>-28.168352574465995</v>
      </c>
      <c r="O34" s="22">
        <f>(CS34-CS33)*Tableau6[[#This Row],[Marginal supply cost (€/MWh) HIGH]]/(B34-B33)</f>
        <v>-4.0220498383567902</v>
      </c>
      <c r="P34" s="22">
        <f>Tableau6[[#This Row],[Marginal supply cost (€/MWh) HIGH]]+Tableau6[[#This Row],[Carbon cost of marginal biomass (€/MWh) HIGH]]</f>
        <v>19.162266324175828</v>
      </c>
      <c r="Q34" s="6">
        <v>241784.29868199999</v>
      </c>
      <c r="R34" s="6">
        <v>241426.64338600001</v>
      </c>
      <c r="S34" s="6">
        <f>(Q33-Tableau6[[#This Row],[Total cost (M€/y) MED]])/(Tableau6[[#This Row],[Solid biomass availability (GWh/y)]]-B33)*1000</f>
        <v>87.151742600003502</v>
      </c>
      <c r="T34" s="6" t="s">
        <v>33</v>
      </c>
      <c r="U34" s="6">
        <f t="shared" si="7"/>
        <v>85.883827533333417</v>
      </c>
      <c r="V34" s="6" t="s">
        <v>24</v>
      </c>
      <c r="W34" s="10" cm="1">
        <f t="array" ref="W34">INDEX(Tableau3[Production cost (M€/GWh)],
       MATCH(1,
             (Tableau3[Resource]=Tableau6[[#This Row],[Marginal supply commodity MED]])*(Tableau3[Scenario]="MED_2050"),
             0))*1000</f>
        <v>16.663244636678197</v>
      </c>
      <c r="X34" s="10" cm="1">
        <f t="array" ref="X34">INDEX(Tableau3[GHG impact (tCO2eq/MWh)],
       MATCH(1,
             (Tableau3[Resource]=Tableau6[[#This Row],[Marginal supply commodity MED]])*(Tableau3[Scenario]="MED_2050"),
             0))*1000</f>
        <v>66.960000000000008</v>
      </c>
      <c r="Y34" s="10">
        <f>Tableau6[[#This Row],[Total cost (M€/y) MED]]-Tableau6[[#This Row],[Total cost (M€/y) MED +1Mt CO2]]</f>
        <v>357.65529599998263</v>
      </c>
      <c r="Z34" s="10">
        <f>Tableau6[[#This Row],[Marginal Carbon cost (€/tCO2) MED]]*Tableau6[[#This Row],[Marginal emission factor (kgCO2/MWh)]]/1000</f>
        <v>23.948598620158837</v>
      </c>
      <c r="AA34" s="10">
        <f>Tableau6[[#This Row],[Carbon cost of marginal biomass (€/MWh) MED]]+Tableau6[[#This Row],[Marginal supply cost (€/MWh) MED]]</f>
        <v>40.611843256837034</v>
      </c>
      <c r="AH34" s="15">
        <v>0.23705899999999999</v>
      </c>
      <c r="AI34" s="16">
        <v>52999.371002</v>
      </c>
      <c r="AJ34" s="15">
        <v>0.48535400000000001</v>
      </c>
      <c r="AK34" s="17">
        <v>11195.693729000001</v>
      </c>
      <c r="AL34" s="15">
        <v>0.41903000000000001</v>
      </c>
      <c r="AM34" s="16">
        <v>34138.876075</v>
      </c>
      <c r="AN34" s="16">
        <v>44387.870218999997</v>
      </c>
      <c r="AO34" s="16">
        <v>35431.334868999998</v>
      </c>
      <c r="AP34" s="16">
        <v>12472.209795000001</v>
      </c>
      <c r="AQ34" s="15">
        <v>0.16730200000000001</v>
      </c>
      <c r="AR34" s="16">
        <v>40332.986196999998</v>
      </c>
      <c r="AS34" s="15">
        <v>0.20444799999999999</v>
      </c>
      <c r="AT34" s="16">
        <v>88.830494000000002</v>
      </c>
      <c r="AU34" s="16">
        <v>8833.3315939999993</v>
      </c>
      <c r="AV34" s="16">
        <v>15166.666305000001</v>
      </c>
      <c r="AW34" s="15">
        <v>6.8625000000000005E-2</v>
      </c>
      <c r="AX34" s="16">
        <v>504.14093700000001</v>
      </c>
      <c r="AY34" s="16">
        <v>4444.444829</v>
      </c>
      <c r="AZ34" s="15">
        <v>0.173958</v>
      </c>
      <c r="BA34" s="15">
        <v>2.4051360000000002</v>
      </c>
      <c r="BB34" s="15" t="e">
        <v>#N/A</v>
      </c>
      <c r="BC34" s="11">
        <v>54.986750000000001</v>
      </c>
      <c r="BD34" s="11">
        <v>36555.554894000001</v>
      </c>
      <c r="BE34" s="11">
        <v>194.44487699999999</v>
      </c>
      <c r="BF34" s="11">
        <v>34138.483608000002</v>
      </c>
      <c r="BG34" s="11">
        <v>77249.999660999994</v>
      </c>
      <c r="BH34" s="11">
        <v>28361.111567</v>
      </c>
      <c r="BI34" s="11">
        <v>12555.556119999999</v>
      </c>
      <c r="BJ34" s="11">
        <v>14172.545072999999</v>
      </c>
      <c r="BK34" s="11">
        <v>6388.8894810000002</v>
      </c>
      <c r="BL34" s="11">
        <v>2.5565389999999999</v>
      </c>
      <c r="BM34" s="11">
        <v>31515.350299000002</v>
      </c>
      <c r="BN34" s="17">
        <v>55.555557999999998</v>
      </c>
      <c r="BO34" s="11">
        <v>44.417368000000003</v>
      </c>
      <c r="BP34" s="11">
        <v>4222.2228580000001</v>
      </c>
      <c r="BQ34" s="11">
        <v>6055.5562360000004</v>
      </c>
      <c r="BR34" s="11">
        <v>0.13070799999999999</v>
      </c>
      <c r="BS34" s="11">
        <v>268.878401</v>
      </c>
      <c r="BT34" s="11">
        <v>1722.222957</v>
      </c>
      <c r="BU34" s="17">
        <v>4941.324791</v>
      </c>
      <c r="BV34" s="11">
        <v>1500.0005269999999</v>
      </c>
      <c r="BW34" s="11">
        <v>0.11303199999999999</v>
      </c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>
        <v>146079.56312800001</v>
      </c>
      <c r="CT34" s="11">
        <v>0.28097499999999997</v>
      </c>
      <c r="CU34" s="11">
        <v>9.2553999999999997E-2</v>
      </c>
      <c r="CV34" s="11">
        <v>5.5070000000000001E-2</v>
      </c>
      <c r="CW34" s="11">
        <v>5.8335999999999999E-2</v>
      </c>
      <c r="CX34" s="17">
        <v>65647.719737000007</v>
      </c>
      <c r="CY34" s="11">
        <v>6.1488000000000001E-2</v>
      </c>
      <c r="CZ34" s="11">
        <v>48271.230515000003</v>
      </c>
      <c r="DA34" s="11">
        <v>4.9762000000000001E-2</v>
      </c>
      <c r="DB34" s="11">
        <v>0.25461</v>
      </c>
      <c r="DC34" s="11">
        <v>0.114551</v>
      </c>
      <c r="DD34" s="11">
        <v>0.10702100000000001</v>
      </c>
      <c r="DE34" s="11">
        <v>0.26041999999999998</v>
      </c>
      <c r="DF34" s="11">
        <v>0.103144</v>
      </c>
      <c r="DG34" s="11">
        <v>4.9303E-2</v>
      </c>
      <c r="DH34" s="11">
        <v>2.9392999999999999E-2</v>
      </c>
      <c r="DI34" s="11">
        <v>146215.12648599999</v>
      </c>
      <c r="DJ34" s="11">
        <v>0.192269</v>
      </c>
      <c r="DK34" s="11">
        <v>4.6708E-2</v>
      </c>
      <c r="DL34" s="11">
        <v>3.5625999999999998E-2</v>
      </c>
      <c r="DM34" s="11">
        <v>3.7548999999999999E-2</v>
      </c>
      <c r="DN34" s="17">
        <v>65512.494634000002</v>
      </c>
      <c r="DO34" s="11">
        <v>5.3495000000000001E-2</v>
      </c>
      <c r="DP34" s="11">
        <v>48271.411104999999</v>
      </c>
      <c r="DQ34" s="11">
        <v>3.3916000000000002E-2</v>
      </c>
      <c r="DR34" s="11">
        <v>0.158413</v>
      </c>
      <c r="DS34" s="11">
        <v>7.5721999999999998E-2</v>
      </c>
      <c r="DT34" s="11">
        <v>6.8517999999999996E-2</v>
      </c>
      <c r="DU34" s="11">
        <v>0.15759699999999999</v>
      </c>
      <c r="DV34" s="11">
        <v>7.3418999999999998E-2</v>
      </c>
      <c r="DW34" s="11">
        <v>3.4202000000000003E-2</v>
      </c>
      <c r="DX34" s="11">
        <v>2.1212000000000002E-2</v>
      </c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</row>
    <row r="35" spans="1:144" x14ac:dyDescent="0.3">
      <c r="A35">
        <v>33</v>
      </c>
      <c r="B35" s="6">
        <v>265000</v>
      </c>
      <c r="C35" s="6">
        <v>238524.96465099999</v>
      </c>
      <c r="D35" s="6">
        <v>238210.19295900001</v>
      </c>
      <c r="E35" s="6">
        <f>(C34-Tableau6[[#This Row],[Total cost (M€/y) HIGH]])/(Tableau6[[#This Row],[Solid biomass availability (GWh/y)]]-B34)*1000</f>
        <v>97.122731200000274</v>
      </c>
      <c r="F35" s="6" t="s">
        <v>33</v>
      </c>
      <c r="G35" s="10">
        <f t="shared" si="6"/>
        <v>99.670582030000205</v>
      </c>
      <c r="H35" s="6" t="s">
        <v>9</v>
      </c>
      <c r="I35" s="11" cm="1">
        <f t="array" ref="I35">INDEX(Tableau3[Production cost (M€/GWh)],
       MATCH(1,
             (Tableau3[Resource]=Tableau6[[#This Row],[Marginal supply commodity HIGH]])*(Tableau3[Scenario]="HIGH_2050"),
             0))*1000</f>
        <v>14.876070726438199</v>
      </c>
      <c r="J35" s="11" cm="1">
        <f t="array" ref="J35">INDEX(Tableau3[GHG impact (tCO2eq/MWh)],
       MATCH(1,
             (Tableau3[Resource]=Tableau6[[#This Row],[Marginal supply commodity HIGH]])*(Tableau3[Scenario]="HIGH_2050"),
             0))*1000</f>
        <v>13.9178738926524</v>
      </c>
      <c r="K35" s="11">
        <f>(Tableau6[[#This Row],[Total cost (M€/y) HIGH]]-Tableau6[[#This Row],[Total Cost (M€) HIGH +1Mt CO2]])</f>
        <v>314.77169199998025</v>
      </c>
      <c r="L35" s="22">
        <f>Tableau6[[#This Row],[Marginal Carbon cost (€/tCO2) HIGH]]*Tableau6[[#This Row],[Marginal emission factor (kgCO2/MWh) HIGH]]/1000</f>
        <v>4.3809527142325475</v>
      </c>
      <c r="M35" s="22">
        <f>(CS35-CS34)*AVERAGE($E$3,E35)/(B35-B34)</f>
        <v>20.378818865712283</v>
      </c>
      <c r="N35" s="22">
        <f>(CS35-CS34)*Tableau6[[#This Row],[Marginal value of solid biomass (€/MWh) HIGH]]/(B35-B34)</f>
        <v>2.5291925259990728</v>
      </c>
      <c r="O35" s="22">
        <f>(CS35-CS34)*Tableau6[[#This Row],[Marginal supply cost (€/MWh) HIGH]]/(B35-B34)</f>
        <v>0.38739074192696282</v>
      </c>
      <c r="P35" s="22">
        <f>Tableau6[[#This Row],[Marginal supply cost (€/MWh) HIGH]]+Tableau6[[#This Row],[Carbon cost of marginal biomass (€/MWh) HIGH]]</f>
        <v>19.257023440670746</v>
      </c>
      <c r="Q35" s="6">
        <v>241340.080342</v>
      </c>
      <c r="R35" s="6">
        <v>241057.531754</v>
      </c>
      <c r="S35" s="6">
        <f>(Q34-Tableau6[[#This Row],[Total cost (M€/y) MED]])/(Tableau6[[#This Row],[Solid biomass availability (GWh/y)]]-B34)*1000</f>
        <v>88.843667999998431</v>
      </c>
      <c r="T35" s="6" t="s">
        <v>33</v>
      </c>
      <c r="U35" s="6">
        <f t="shared" si="7"/>
        <v>85.883827533333417</v>
      </c>
      <c r="V35" s="6" t="s">
        <v>24</v>
      </c>
      <c r="W35" s="10" cm="1">
        <f t="array" ref="W35">INDEX(Tableau3[Production cost (M€/GWh)],
       MATCH(1,
             (Tableau3[Resource]=Tableau6[[#This Row],[Marginal supply commodity MED]])*(Tableau3[Scenario]="MED_2050"),
             0))*1000</f>
        <v>16.663244636678197</v>
      </c>
      <c r="X35" s="10" cm="1">
        <f t="array" ref="X35">INDEX(Tableau3[GHG impact (tCO2eq/MWh)],
       MATCH(1,
             (Tableau3[Resource]=Tableau6[[#This Row],[Marginal supply commodity MED]])*(Tableau3[Scenario]="MED_2050"),
             0))*1000</f>
        <v>66.960000000000008</v>
      </c>
      <c r="Y35" s="10">
        <f>Tableau6[[#This Row],[Total cost (M€/y) MED]]-Tableau6[[#This Row],[Total cost (M€/y) MED +1Mt CO2]]</f>
        <v>282.54858800000511</v>
      </c>
      <c r="Z35" s="10">
        <f>Tableau6[[#This Row],[Marginal Carbon cost (€/tCO2) MED]]*Tableau6[[#This Row],[Marginal emission factor (kgCO2/MWh)]]/1000</f>
        <v>18.919453452480347</v>
      </c>
      <c r="AA35" s="10">
        <f>Tableau6[[#This Row],[Carbon cost of marginal biomass (€/MWh) MED]]+Tableau6[[#This Row],[Marginal supply cost (€/MWh) MED]]</f>
        <v>35.582698089158541</v>
      </c>
      <c r="AH35" s="15">
        <v>2.7347E-2</v>
      </c>
      <c r="AI35" s="16">
        <v>52999.995576000001</v>
      </c>
      <c r="AJ35" s="15">
        <v>5.7029999999999997E-2</v>
      </c>
      <c r="AK35" s="17">
        <v>16197.879499999999</v>
      </c>
      <c r="AL35" s="15">
        <v>4.4588999999999997E-2</v>
      </c>
      <c r="AM35" s="16">
        <v>34138.888727999998</v>
      </c>
      <c r="AN35" s="16">
        <v>44388.867750999998</v>
      </c>
      <c r="AO35" s="16">
        <v>35431.343329000003</v>
      </c>
      <c r="AP35" s="16">
        <v>12472.221797</v>
      </c>
      <c r="AQ35" s="15">
        <v>1.8808999999999999E-2</v>
      </c>
      <c r="AR35" s="16">
        <v>40332.979556999999</v>
      </c>
      <c r="AS35" s="15">
        <v>2.8458000000000001E-2</v>
      </c>
      <c r="AT35" s="16">
        <v>88.832955999999996</v>
      </c>
      <c r="AU35" s="16">
        <v>8833.3331390000003</v>
      </c>
      <c r="AV35" s="16">
        <v>15166.666637</v>
      </c>
      <c r="AW35" s="15">
        <v>8.6020000000000003E-3</v>
      </c>
      <c r="AX35" s="16">
        <v>504.14687300000003</v>
      </c>
      <c r="AY35" s="16">
        <v>4444.4444800000001</v>
      </c>
      <c r="AZ35" s="15">
        <v>1.9585999999999999E-2</v>
      </c>
      <c r="BA35" s="15">
        <v>0.185725</v>
      </c>
      <c r="BB35" s="15" t="e">
        <v>#N/A</v>
      </c>
      <c r="BC35" s="11">
        <v>54.989240000000002</v>
      </c>
      <c r="BD35" s="11">
        <v>36555.558561999998</v>
      </c>
      <c r="BE35" s="11">
        <v>194.447114</v>
      </c>
      <c r="BF35" s="11">
        <v>34138.486283999999</v>
      </c>
      <c r="BG35" s="11">
        <v>77249.907768000005</v>
      </c>
      <c r="BH35" s="11">
        <v>28361.114223</v>
      </c>
      <c r="BI35" s="11">
        <v>12555.558623999999</v>
      </c>
      <c r="BJ35" s="11">
        <v>14172.547683000001</v>
      </c>
      <c r="BK35" s="11">
        <v>6388.8919910000004</v>
      </c>
      <c r="BL35" s="11">
        <v>7.4589129999999999</v>
      </c>
      <c r="BM35" s="11">
        <v>31515.363465999999</v>
      </c>
      <c r="BN35" s="11">
        <v>55.556367999999999</v>
      </c>
      <c r="BO35" s="11">
        <v>44.419966000000002</v>
      </c>
      <c r="BP35" s="11">
        <v>4222.2254480000001</v>
      </c>
      <c r="BQ35" s="11">
        <v>6055.5588770000004</v>
      </c>
      <c r="BR35" s="11">
        <v>0.350051</v>
      </c>
      <c r="BS35" s="11">
        <v>268.88097499999998</v>
      </c>
      <c r="BT35" s="11">
        <v>1722.2257099999999</v>
      </c>
      <c r="BU35" s="17">
        <v>9935.9238280000009</v>
      </c>
      <c r="BV35" s="11">
        <v>1500.003007</v>
      </c>
      <c r="BW35" s="11">
        <v>1.2272999999999999E-2</v>
      </c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>
        <v>146209.76913100001</v>
      </c>
      <c r="CT35" s="11">
        <v>2.9706E-2</v>
      </c>
      <c r="CU35" s="11">
        <v>8.633E-3</v>
      </c>
      <c r="CV35" s="11">
        <v>5.8900000000000003E-3</v>
      </c>
      <c r="CW35" s="11">
        <v>6.1770000000000002E-3</v>
      </c>
      <c r="CX35" s="17">
        <v>70518.455499999996</v>
      </c>
      <c r="CY35" s="11">
        <v>6.1190000000000003E-3</v>
      </c>
      <c r="CZ35" s="11">
        <v>48271.611831000002</v>
      </c>
      <c r="DA35" s="11">
        <v>5.3740000000000003E-3</v>
      </c>
      <c r="DB35" s="11">
        <v>3.3628999999999999E-2</v>
      </c>
      <c r="DC35" s="11">
        <v>1.2713E-2</v>
      </c>
      <c r="DD35" s="11">
        <v>1.1157E-2</v>
      </c>
      <c r="DE35" s="11">
        <v>2.7067999999999998E-2</v>
      </c>
      <c r="DF35" s="11">
        <v>1.1454000000000001E-2</v>
      </c>
      <c r="DG35" s="11">
        <v>5.2449999999999997E-3</v>
      </c>
      <c r="DH35" s="11">
        <v>3.1180000000000001E-3</v>
      </c>
      <c r="DI35" s="11">
        <v>147001.70608800001</v>
      </c>
      <c r="DJ35" s="11">
        <v>0.50137900000000002</v>
      </c>
      <c r="DK35" s="11">
        <v>0.15581800000000001</v>
      </c>
      <c r="DL35" s="11">
        <v>9.8345000000000002E-2</v>
      </c>
      <c r="DM35" s="11">
        <v>0.10385800000000001</v>
      </c>
      <c r="DN35" s="17">
        <v>69724.496320000006</v>
      </c>
      <c r="DO35" s="11">
        <v>0.11536100000000001</v>
      </c>
      <c r="DP35" s="11">
        <v>48271.186113000003</v>
      </c>
      <c r="DQ35" s="11">
        <v>9.0698000000000001E-2</v>
      </c>
      <c r="DR35" s="11">
        <v>0.44486300000000001</v>
      </c>
      <c r="DS35" s="11">
        <v>0.21244499999999999</v>
      </c>
      <c r="DT35" s="11">
        <v>0.186616</v>
      </c>
      <c r="DU35" s="11">
        <v>0.44691399999999998</v>
      </c>
      <c r="DV35" s="11">
        <v>0.19669300000000001</v>
      </c>
      <c r="DW35" s="11">
        <v>9.2351000000000003E-2</v>
      </c>
      <c r="DX35" s="11">
        <v>5.2413000000000001E-2</v>
      </c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</row>
    <row r="36" spans="1:144" x14ac:dyDescent="0.3">
      <c r="A36">
        <v>34</v>
      </c>
      <c r="B36" s="6">
        <v>270000</v>
      </c>
      <c r="C36" s="6">
        <v>238054.143495</v>
      </c>
      <c r="D36" s="6">
        <v>237830.289357</v>
      </c>
      <c r="E36" s="6">
        <f>(C35-Tableau6[[#This Row],[Total cost (M€/y) HIGH]])/(Tableau6[[#This Row],[Solid biomass availability (GWh/y)]]-B35)*1000</f>
        <v>94.16423119999817</v>
      </c>
      <c r="F36" s="6" t="s">
        <v>33</v>
      </c>
      <c r="G36" s="10">
        <f t="shared" si="6"/>
        <v>99.670582030000205</v>
      </c>
      <c r="H36" s="6" t="s">
        <v>9</v>
      </c>
      <c r="I36" s="11" cm="1">
        <f t="array" ref="I36">INDEX(Tableau3[Production cost (M€/GWh)],
       MATCH(1,
             (Tableau3[Resource]=Tableau6[[#This Row],[Marginal supply commodity HIGH]])*(Tableau3[Scenario]="HIGH_2050"),
             0))*1000</f>
        <v>14.876070726438199</v>
      </c>
      <c r="J36" s="11" cm="1">
        <f t="array" ref="J36">INDEX(Tableau3[GHG impact (tCO2eq/MWh)],
       MATCH(1,
             (Tableau3[Resource]=Tableau6[[#This Row],[Marginal supply commodity HIGH]])*(Tableau3[Scenario]="HIGH_2050"),
             0))*1000</f>
        <v>13.9178738926524</v>
      </c>
      <c r="K36" s="11">
        <f>(Tableau6[[#This Row],[Total cost (M€/y) HIGH]]-Tableau6[[#This Row],[Total Cost (M€) HIGH +1Mt CO2]])</f>
        <v>223.85413799999515</v>
      </c>
      <c r="L36" s="22">
        <f>Tableau6[[#This Row],[Marginal Carbon cost (€/tCO2) HIGH]]*Tableau6[[#This Row],[Marginal emission factor (kgCO2/MWh) HIGH]]/1000</f>
        <v>3.1155736630323401</v>
      </c>
      <c r="M36" s="22">
        <f>(CS36-CS35)*AVERAGE($E$3,E36)/(B36-B35)</f>
        <v>340.85880214670237</v>
      </c>
      <c r="N36" s="22">
        <f>(CS36-CS35)*Tableau6[[#This Row],[Marginal value of solid biomass (€/MWh) HIGH]]/(B36-B35)</f>
        <v>41.092653154979288</v>
      </c>
      <c r="O36" s="22">
        <f>(CS36-CS35)*Tableau6[[#This Row],[Marginal supply cost (€/MWh) HIGH]]/(B36-B35)</f>
        <v>6.4918197374979218</v>
      </c>
      <c r="P36" s="22">
        <f>Tableau6[[#This Row],[Marginal supply cost (€/MWh) HIGH]]+Tableau6[[#This Row],[Carbon cost of marginal biomass (€/MWh) HIGH]]</f>
        <v>17.99164438947054</v>
      </c>
      <c r="Q36" s="6">
        <v>240994.98097400001</v>
      </c>
      <c r="R36" s="6">
        <v>240731.81739800001</v>
      </c>
      <c r="S36" s="6">
        <f>(Q35-Tableau6[[#This Row],[Total cost (M€/y) MED]])/(Tableau6[[#This Row],[Solid biomass availability (GWh/y)]]-B35)*1000</f>
        <v>69.019873599999116</v>
      </c>
      <c r="T36" s="6" t="s">
        <v>33</v>
      </c>
      <c r="U36" s="6">
        <f t="shared" si="7"/>
        <v>85.883827533333417</v>
      </c>
      <c r="V36" s="6" t="s">
        <v>24</v>
      </c>
      <c r="W36" s="10" cm="1">
        <f t="array" ref="W36">INDEX(Tableau3[Production cost (M€/GWh)],
       MATCH(1,
             (Tableau3[Resource]=Tableau6[[#This Row],[Marginal supply commodity MED]])*(Tableau3[Scenario]="MED_2050"),
             0))*1000</f>
        <v>16.663244636678197</v>
      </c>
      <c r="X36" s="10" cm="1">
        <f t="array" ref="X36">INDEX(Tableau3[GHG impact (tCO2eq/MWh)],
       MATCH(1,
             (Tableau3[Resource]=Tableau6[[#This Row],[Marginal supply commodity MED]])*(Tableau3[Scenario]="MED_2050"),
             0))*1000</f>
        <v>66.960000000000008</v>
      </c>
      <c r="Y36" s="10">
        <f>Tableau6[[#This Row],[Total cost (M€/y) MED]]-Tableau6[[#This Row],[Total cost (M€/y) MED +1Mt CO2]]</f>
        <v>263.16357599999174</v>
      </c>
      <c r="Z36" s="10">
        <f>Tableau6[[#This Row],[Marginal Carbon cost (€/tCO2) MED]]*Tableau6[[#This Row],[Marginal emission factor (kgCO2/MWh)]]/1000</f>
        <v>17.62143304895945</v>
      </c>
      <c r="AA36" s="10">
        <f>Tableau6[[#This Row],[Carbon cost of marginal biomass (€/MWh) MED]]+Tableau6[[#This Row],[Marginal supply cost (€/MWh) MED]]</f>
        <v>34.284677685637647</v>
      </c>
      <c r="AH36" s="15">
        <v>0.73558900000000005</v>
      </c>
      <c r="AI36" s="16">
        <v>52999.969881999998</v>
      </c>
      <c r="AJ36" s="15">
        <v>0.88483900000000004</v>
      </c>
      <c r="AK36" s="17">
        <v>21193.297724</v>
      </c>
      <c r="AL36" s="15">
        <v>0.44604199999999999</v>
      </c>
      <c r="AM36" s="16">
        <v>34138.887799999997</v>
      </c>
      <c r="AN36" s="16">
        <v>44388.892139000003</v>
      </c>
      <c r="AO36" s="16">
        <v>35431.343317999999</v>
      </c>
      <c r="AP36" s="16">
        <v>12472.222054</v>
      </c>
      <c r="AQ36" s="15">
        <v>0.21352499999999999</v>
      </c>
      <c r="AR36" s="16">
        <v>40332.822592999997</v>
      </c>
      <c r="AS36" s="15">
        <v>0.36694500000000002</v>
      </c>
      <c r="AT36" s="16">
        <v>88.831179000000006</v>
      </c>
      <c r="AU36" s="16">
        <v>8833.3350040000005</v>
      </c>
      <c r="AV36" s="16">
        <v>15166.669275</v>
      </c>
      <c r="AW36" s="15">
        <v>9.5204999999999998E-2</v>
      </c>
      <c r="AX36" s="16">
        <v>504.14500900000002</v>
      </c>
      <c r="AY36" s="16">
        <v>4444.4476500000001</v>
      </c>
      <c r="AZ36" s="15">
        <v>0.22391900000000001</v>
      </c>
      <c r="BA36" s="15">
        <v>2.1285660000000002</v>
      </c>
      <c r="BB36" s="15" t="e">
        <v>#N/A</v>
      </c>
      <c r="BC36" s="11">
        <v>54.986860999999998</v>
      </c>
      <c r="BD36" s="11">
        <v>36555.556303999998</v>
      </c>
      <c r="BE36" s="11">
        <v>194.44502</v>
      </c>
      <c r="BF36" s="11">
        <v>34138.483953000003</v>
      </c>
      <c r="BG36" s="11">
        <v>77249.963864999998</v>
      </c>
      <c r="BH36" s="11">
        <v>28361.111810999999</v>
      </c>
      <c r="BI36" s="11">
        <v>12555.556264999999</v>
      </c>
      <c r="BJ36" s="11">
        <v>14172.545211000001</v>
      </c>
      <c r="BK36" s="11">
        <v>6388.8896379999996</v>
      </c>
      <c r="BL36" s="11">
        <v>1.816948</v>
      </c>
      <c r="BM36" s="11">
        <v>31515.348643000001</v>
      </c>
      <c r="BN36" s="11">
        <v>55.554340000000003</v>
      </c>
      <c r="BO36" s="11">
        <v>44.417479999999998</v>
      </c>
      <c r="BP36" s="11">
        <v>4222.2230170000003</v>
      </c>
      <c r="BQ36" s="11">
        <v>6055.5563709999997</v>
      </c>
      <c r="BR36" s="11">
        <v>8.2882999999999998E-2</v>
      </c>
      <c r="BS36" s="11">
        <v>268.87857400000001</v>
      </c>
      <c r="BT36" s="11">
        <v>1722.223101</v>
      </c>
      <c r="BU36" s="17">
        <v>14942.233989</v>
      </c>
      <c r="BV36" s="11">
        <v>1500.0007169999999</v>
      </c>
      <c r="BW36" s="11">
        <v>0.12850200000000001</v>
      </c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>
        <v>148391.736351</v>
      </c>
      <c r="CT36" s="11">
        <v>0.28432299999999999</v>
      </c>
      <c r="CU36" s="11">
        <v>0.116246</v>
      </c>
      <c r="CV36" s="11">
        <v>5.8741000000000002E-2</v>
      </c>
      <c r="CW36" s="11">
        <v>6.6489000000000006E-2</v>
      </c>
      <c r="CX36" s="17">
        <v>73335.229017999998</v>
      </c>
      <c r="CY36" s="11">
        <v>7.7731999999999996E-2</v>
      </c>
      <c r="CZ36" s="11">
        <v>48271.471487000003</v>
      </c>
      <c r="DA36" s="11">
        <v>5.1406E-2</v>
      </c>
      <c r="DB36" s="11">
        <v>0.28195100000000001</v>
      </c>
      <c r="DC36" s="11">
        <v>0.130248</v>
      </c>
      <c r="DD36" s="11">
        <v>0.11208600000000001</v>
      </c>
      <c r="DE36" s="11">
        <v>0.27629199999999998</v>
      </c>
      <c r="DF36" s="11">
        <v>0.109768</v>
      </c>
      <c r="DG36" s="11">
        <v>5.4771E-2</v>
      </c>
      <c r="DH36" s="11">
        <v>2.9874999999999999E-2</v>
      </c>
      <c r="DI36" s="11">
        <v>147854.46044200001</v>
      </c>
      <c r="DJ36" s="11">
        <v>0.136714</v>
      </c>
      <c r="DK36" s="11">
        <v>5.7595E-2</v>
      </c>
      <c r="DL36" s="11">
        <v>2.7147999999999999E-2</v>
      </c>
      <c r="DM36" s="11">
        <v>3.0779999999999998E-2</v>
      </c>
      <c r="DN36" s="17">
        <v>73873.206739999994</v>
      </c>
      <c r="DO36" s="11">
        <v>5.8858000000000001E-2</v>
      </c>
      <c r="DP36" s="11">
        <v>48271.552581000004</v>
      </c>
      <c r="DQ36" s="11">
        <v>2.4868999999999999E-2</v>
      </c>
      <c r="DR36" s="11">
        <v>0.126828</v>
      </c>
      <c r="DS36" s="11">
        <v>5.8921000000000001E-2</v>
      </c>
      <c r="DT36" s="11">
        <v>5.5488999999999997E-2</v>
      </c>
      <c r="DU36" s="11">
        <v>0.12785199999999999</v>
      </c>
      <c r="DV36" s="11">
        <v>5.4031000000000003E-2</v>
      </c>
      <c r="DW36" s="11">
        <v>2.8459999999999999E-2</v>
      </c>
      <c r="DX36" s="11">
        <v>1.4938E-2</v>
      </c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</row>
    <row r="37" spans="1:144" x14ac:dyDescent="0.3">
      <c r="A37">
        <v>35</v>
      </c>
      <c r="B37" s="6">
        <v>275000</v>
      </c>
      <c r="C37" s="6">
        <v>237682.53136600001</v>
      </c>
      <c r="D37" s="6">
        <v>237453.23801599999</v>
      </c>
      <c r="E37" s="6">
        <f>(C36-Tableau6[[#This Row],[Total cost (M€/y) HIGH]])/(Tableau6[[#This Row],[Solid biomass availability (GWh/y)]]-B36)*1000</f>
        <v>74.322425799997291</v>
      </c>
      <c r="F37" s="6" t="s">
        <v>33</v>
      </c>
      <c r="G37" s="10">
        <f t="shared" si="6"/>
        <v>99.670582030000205</v>
      </c>
      <c r="H37" s="6" t="s">
        <v>9</v>
      </c>
      <c r="I37" s="11" cm="1">
        <f t="array" ref="I37">INDEX(Tableau3[Production cost (M€/GWh)],
       MATCH(1,
             (Tableau3[Resource]=Tableau6[[#This Row],[Marginal supply commodity HIGH]])*(Tableau3[Scenario]="HIGH_2050"),
             0))*1000</f>
        <v>14.876070726438199</v>
      </c>
      <c r="J37" s="11" cm="1">
        <f t="array" ref="J37">INDEX(Tableau3[GHG impact (tCO2eq/MWh)],
       MATCH(1,
             (Tableau3[Resource]=Tableau6[[#This Row],[Marginal supply commodity HIGH]])*(Tableau3[Scenario]="HIGH_2050"),
             0))*1000</f>
        <v>13.9178738926524</v>
      </c>
      <c r="K37" s="11">
        <f>(Tableau6[[#This Row],[Total cost (M€/y) HIGH]]-Tableau6[[#This Row],[Total Cost (M€) HIGH +1Mt CO2]])</f>
        <v>229.29335000002175</v>
      </c>
      <c r="L37" s="22">
        <f>Tableau6[[#This Row],[Marginal Carbon cost (€/tCO2) HIGH]]*Tableau6[[#This Row],[Marginal emission factor (kgCO2/MWh) HIGH]]/1000</f>
        <v>3.191275929724112</v>
      </c>
      <c r="M37" s="22">
        <f>(CS37-CS36)*AVERAGE($E$3,E37)/(B37-B36)</f>
        <v>10.993866863294034</v>
      </c>
      <c r="N37" s="22">
        <f>(CS37-CS36)*Tableau6[[#This Row],[Marginal value of solid biomass (€/MWh) HIGH]]/(B37-B36)</f>
        <v>1.0595600490027495</v>
      </c>
      <c r="O37" s="22">
        <f>(CS37-CS36)*Tableau6[[#This Row],[Marginal supply cost (€/MWh) HIGH]]/(B37-B36)</f>
        <v>0.21207717668270451</v>
      </c>
      <c r="P37" s="22">
        <f>Tableau6[[#This Row],[Marginal supply cost (€/MWh) HIGH]]+Tableau6[[#This Row],[Carbon cost of marginal biomass (€/MWh) HIGH]]</f>
        <v>18.067346656162311</v>
      </c>
      <c r="Q37" s="6">
        <v>240667.05547799999</v>
      </c>
      <c r="R37" s="6">
        <v>240431.98778200001</v>
      </c>
      <c r="S37" s="6">
        <f>(Q36-Tableau6[[#This Row],[Total cost (M€/y) MED]])/(Tableau6[[#This Row],[Solid biomass availability (GWh/y)]]-B36)*1000</f>
        <v>65.585099200002148</v>
      </c>
      <c r="T37" s="6" t="s">
        <v>33</v>
      </c>
      <c r="U37" s="6">
        <f t="shared" si="7"/>
        <v>85.883827533333417</v>
      </c>
      <c r="V37" s="6" t="s">
        <v>24</v>
      </c>
      <c r="W37" s="10" cm="1">
        <f t="array" ref="W37">INDEX(Tableau3[Production cost (M€/GWh)],
       MATCH(1,
             (Tableau3[Resource]=Tableau6[[#This Row],[Marginal supply commodity MED]])*(Tableau3[Scenario]="MED_2050"),
             0))*1000</f>
        <v>16.663244636678197</v>
      </c>
      <c r="X37" s="10" cm="1">
        <f t="array" ref="X37">INDEX(Tableau3[GHG impact (tCO2eq/MWh)],
       MATCH(1,
             (Tableau3[Resource]=Tableau6[[#This Row],[Marginal supply commodity MED]])*(Tableau3[Scenario]="MED_2050"),
             0))*1000</f>
        <v>66.960000000000008</v>
      </c>
      <c r="Y37" s="10">
        <f>Tableau6[[#This Row],[Total cost (M€/y) MED]]-Tableau6[[#This Row],[Total cost (M€/y) MED +1Mt CO2]]</f>
        <v>235.0676959999837</v>
      </c>
      <c r="Z37" s="10">
        <f>Tableau6[[#This Row],[Marginal Carbon cost (€/tCO2) MED]]*Tableau6[[#This Row],[Marginal emission factor (kgCO2/MWh)]]/1000</f>
        <v>15.74013292415891</v>
      </c>
      <c r="AA37" s="10">
        <f>Tableau6[[#This Row],[Carbon cost of marginal biomass (€/MWh) MED]]+Tableau6[[#This Row],[Marginal supply cost (€/MWh) MED]]</f>
        <v>32.403377560837107</v>
      </c>
      <c r="AH37" s="15">
        <v>0.44879599999999997</v>
      </c>
      <c r="AI37" s="16">
        <v>52999.976079</v>
      </c>
      <c r="AJ37" s="15">
        <v>0.69214200000000003</v>
      </c>
      <c r="AK37" s="17">
        <v>26193.932697</v>
      </c>
      <c r="AL37" s="15">
        <v>0.493952</v>
      </c>
      <c r="AM37" s="16">
        <v>34138.887149000002</v>
      </c>
      <c r="AN37" s="16">
        <v>44388.816771999998</v>
      </c>
      <c r="AO37" s="16">
        <v>35431.348019999998</v>
      </c>
      <c r="AP37" s="16">
        <v>12472.222239999999</v>
      </c>
      <c r="AQ37" s="15">
        <v>0.26386199999999999</v>
      </c>
      <c r="AR37" s="16">
        <v>40332.763068</v>
      </c>
      <c r="AS37" s="15">
        <v>0.32470900000000003</v>
      </c>
      <c r="AT37" s="16">
        <v>88.831029999999998</v>
      </c>
      <c r="AU37" s="16">
        <v>8833.335094</v>
      </c>
      <c r="AV37" s="16">
        <v>15166.669265</v>
      </c>
      <c r="AW37" s="15">
        <v>0.118781</v>
      </c>
      <c r="AX37" s="16">
        <v>504.14735300000001</v>
      </c>
      <c r="AY37" s="16">
        <v>4444.4477230000002</v>
      </c>
      <c r="AZ37" s="15">
        <v>0.278007</v>
      </c>
      <c r="BA37" s="15">
        <v>1.940442</v>
      </c>
      <c r="BB37" s="15" t="e">
        <v>#N/A</v>
      </c>
      <c r="BC37" s="11">
        <v>54.987130000000001</v>
      </c>
      <c r="BD37" s="11">
        <v>36555.556604999998</v>
      </c>
      <c r="BE37" s="11">
        <v>194.445143</v>
      </c>
      <c r="BF37" s="11">
        <v>34138.484203</v>
      </c>
      <c r="BG37" s="11">
        <v>77248.177127999996</v>
      </c>
      <c r="BH37" s="11">
        <v>28361.112147</v>
      </c>
      <c r="BI37" s="11">
        <v>12555.556602000001</v>
      </c>
      <c r="BJ37" s="11">
        <v>14172.545584</v>
      </c>
      <c r="BK37" s="11">
        <v>6388.8899879999999</v>
      </c>
      <c r="BL37" s="11">
        <v>10.326622</v>
      </c>
      <c r="BM37" s="11">
        <v>31515.362563999999</v>
      </c>
      <c r="BN37" s="11">
        <v>55.552954</v>
      </c>
      <c r="BO37" s="11">
        <v>44.417803999999997</v>
      </c>
      <c r="BP37" s="11">
        <v>4222.2233889999998</v>
      </c>
      <c r="BQ37" s="11">
        <v>6055.5567579999997</v>
      </c>
      <c r="BR37" s="11">
        <v>0.14954000000000001</v>
      </c>
      <c r="BS37" s="11">
        <v>268.87889300000001</v>
      </c>
      <c r="BT37" s="11">
        <v>1722.223504</v>
      </c>
      <c r="BU37" s="17">
        <v>19935.305566999999</v>
      </c>
      <c r="BV37" s="11">
        <v>1500.001019</v>
      </c>
      <c r="BW37" s="11">
        <v>0.15298</v>
      </c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>
        <v>148463.017666</v>
      </c>
      <c r="CT37" s="11">
        <v>0.38752999999999999</v>
      </c>
      <c r="CU37" s="11">
        <v>0.18731600000000001</v>
      </c>
      <c r="CV37" s="11">
        <v>7.4908000000000002E-2</v>
      </c>
      <c r="CW37" s="11">
        <v>8.6613999999999997E-2</v>
      </c>
      <c r="CX37" s="17">
        <v>78263.363479000007</v>
      </c>
      <c r="CY37" s="11">
        <v>0.12391000000000001</v>
      </c>
      <c r="CZ37" s="11">
        <v>48271.464252999998</v>
      </c>
      <c r="DA37" s="11">
        <v>6.2600000000000003E-2</v>
      </c>
      <c r="DB37" s="11">
        <v>0.41236200000000001</v>
      </c>
      <c r="DC37" s="11">
        <v>0.17316500000000001</v>
      </c>
      <c r="DD37" s="11">
        <v>0.14567099999999999</v>
      </c>
      <c r="DE37" s="11">
        <v>0.34827000000000002</v>
      </c>
      <c r="DF37" s="11">
        <v>0.138711</v>
      </c>
      <c r="DG37" s="11">
        <v>6.9074999999999998E-2</v>
      </c>
      <c r="DH37" s="11">
        <v>3.4658000000000001E-2</v>
      </c>
      <c r="DI37" s="11">
        <v>148628.59445100001</v>
      </c>
      <c r="DJ37" s="11">
        <v>0.23947099999999999</v>
      </c>
      <c r="DK37" s="11">
        <v>0.105</v>
      </c>
      <c r="DL37" s="11">
        <v>4.8446000000000003E-2</v>
      </c>
      <c r="DM37" s="11">
        <v>5.4679999999999999E-2</v>
      </c>
      <c r="DN37" s="17">
        <v>78098.555993999995</v>
      </c>
      <c r="DO37" s="11">
        <v>9.8707000000000003E-2</v>
      </c>
      <c r="DP37" s="11">
        <v>48271.480559000003</v>
      </c>
      <c r="DQ37" s="11">
        <v>4.3279999999999999E-2</v>
      </c>
      <c r="DR37" s="11">
        <v>0.21799299999999999</v>
      </c>
      <c r="DS37" s="11">
        <v>0.103195</v>
      </c>
      <c r="DT37" s="11">
        <v>9.6644999999999995E-2</v>
      </c>
      <c r="DU37" s="11">
        <v>0.22923099999999999</v>
      </c>
      <c r="DV37" s="11">
        <v>9.1162999999999994E-2</v>
      </c>
      <c r="DW37" s="11">
        <v>4.9068000000000001E-2</v>
      </c>
      <c r="DX37" s="11">
        <v>2.5489000000000001E-2</v>
      </c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</row>
    <row r="38" spans="1:144" x14ac:dyDescent="0.3">
      <c r="A38">
        <v>36</v>
      </c>
      <c r="B38" s="6">
        <v>280000</v>
      </c>
      <c r="C38" s="6">
        <v>237344.923351</v>
      </c>
      <c r="D38" s="6">
        <v>237119.60598399999</v>
      </c>
      <c r="E38" s="6">
        <f>(C37-Tableau6[[#This Row],[Total cost (M€/y) HIGH]])/(Tableau6[[#This Row],[Solid biomass availability (GWh/y)]]-B37)*1000</f>
        <v>67.521603000001051</v>
      </c>
      <c r="F38" s="6" t="s">
        <v>33</v>
      </c>
      <c r="G38" s="10">
        <f t="shared" si="6"/>
        <v>99.670582030000205</v>
      </c>
      <c r="H38" s="6" t="s">
        <v>9</v>
      </c>
      <c r="I38" s="11" cm="1">
        <f t="array" ref="I38">INDEX(Tableau3[Production cost (M€/GWh)],
       MATCH(1,
             (Tableau3[Resource]=Tableau6[[#This Row],[Marginal supply commodity HIGH]])*(Tableau3[Scenario]="HIGH_2050"),
             0))*1000</f>
        <v>14.876070726438199</v>
      </c>
      <c r="J38" s="11" cm="1">
        <f t="array" ref="J38">INDEX(Tableau3[GHG impact (tCO2eq/MWh)],
       MATCH(1,
             (Tableau3[Resource]=Tableau6[[#This Row],[Marginal supply commodity HIGH]])*(Tableau3[Scenario]="HIGH_2050"),
             0))*1000</f>
        <v>13.9178738926524</v>
      </c>
      <c r="K38" s="11">
        <f>(Tableau6[[#This Row],[Total cost (M€/y) HIGH]]-Tableau6[[#This Row],[Total Cost (M€) HIGH +1Mt CO2]])</f>
        <v>225.31736700001056</v>
      </c>
      <c r="L38" s="22">
        <f>Tableau6[[#This Row],[Marginal Carbon cost (€/tCO2) HIGH]]*Tableau6[[#This Row],[Marginal emission factor (kgCO2/MWh) HIGH]]/1000</f>
        <v>3.1359386997306267</v>
      </c>
      <c r="M38" s="22">
        <f>(CS38-CS37)*AVERAGE($E$3,E38)/(B38-B37)</f>
        <v>11.260738406843974</v>
      </c>
      <c r="N38" s="22">
        <f>(CS38-CS37)*Tableau6[[#This Row],[Marginal value of solid biomass (€/MWh) HIGH]]/(B38-B37)</f>
        <v>0.9903394592355067</v>
      </c>
      <c r="O38" s="22">
        <f>(CS38-CS37)*Tableau6[[#This Row],[Marginal supply cost (€/MWh) HIGH]]/(B38-B37)</f>
        <v>0.21818735314636606</v>
      </c>
      <c r="P38" s="22">
        <f>Tableau6[[#This Row],[Marginal supply cost (€/MWh) HIGH]]+Tableau6[[#This Row],[Carbon cost of marginal biomass (€/MWh) HIGH]]</f>
        <v>18.012009426168824</v>
      </c>
      <c r="Q38" s="6">
        <v>240371.70606500001</v>
      </c>
      <c r="R38" s="6">
        <v>240105.55745499989</v>
      </c>
      <c r="S38" s="6">
        <f>(Q37-Tableau6[[#This Row],[Total cost (M€/y) MED]])/(Tableau6[[#This Row],[Solid biomass availability (GWh/y)]]-B37)*1000</f>
        <v>59.069882599997797</v>
      </c>
      <c r="T38" s="6" t="s">
        <v>33</v>
      </c>
      <c r="U38" s="6">
        <f t="shared" si="7"/>
        <v>85.883827533333417</v>
      </c>
      <c r="V38" s="6" t="s">
        <v>24</v>
      </c>
      <c r="W38" s="10" cm="1">
        <f t="array" ref="W38">INDEX(Tableau3[Production cost (M€/GWh)],
       MATCH(1,
             (Tableau3[Resource]=Tableau6[[#This Row],[Marginal supply commodity MED]])*(Tableau3[Scenario]="MED_2050"),
             0))*1000</f>
        <v>16.663244636678197</v>
      </c>
      <c r="X38" s="10" cm="1">
        <f t="array" ref="X38">INDEX(Tableau3[GHG impact (tCO2eq/MWh)],
       MATCH(1,
             (Tableau3[Resource]=Tableau6[[#This Row],[Marginal supply commodity MED]])*(Tableau3[Scenario]="MED_2050"),
             0))*1000</f>
        <v>66.960000000000008</v>
      </c>
      <c r="Y38" s="10">
        <f>Tableau6[[#This Row],[Total cost (M€/y) MED]]-Tableau6[[#This Row],[Total cost (M€/y) MED +1Mt CO2]]</f>
        <v>266.14861000012024</v>
      </c>
      <c r="Z38" s="10">
        <f>Tableau6[[#This Row],[Marginal Carbon cost (€/tCO2) MED]]*Tableau6[[#This Row],[Marginal emission factor (kgCO2/MWh)]]/1000</f>
        <v>17.821310925608053</v>
      </c>
      <c r="AA38" s="10">
        <f>Tableau6[[#This Row],[Carbon cost of marginal biomass (€/MWh) MED]]+Tableau6[[#This Row],[Marginal supply cost (€/MWh) MED]]</f>
        <v>34.484555562286246</v>
      </c>
      <c r="AH38" s="15">
        <v>0.92388800000000004</v>
      </c>
      <c r="AI38" s="16">
        <v>52999.983785999997</v>
      </c>
      <c r="AJ38" s="15">
        <v>1.272573</v>
      </c>
      <c r="AK38" s="17">
        <v>31190.602489000001</v>
      </c>
      <c r="AL38" s="15">
        <v>0.79528900000000002</v>
      </c>
      <c r="AM38" s="16">
        <v>34138.878644999997</v>
      </c>
      <c r="AN38" s="16">
        <v>44388.786426999999</v>
      </c>
      <c r="AO38" s="16">
        <v>35431.344963000003</v>
      </c>
      <c r="AP38" s="16">
        <v>12472.219553999999</v>
      </c>
      <c r="AQ38" s="15">
        <v>0.43164000000000002</v>
      </c>
      <c r="AR38" s="16">
        <v>40332.579636000002</v>
      </c>
      <c r="AS38" s="15">
        <v>0.64488100000000004</v>
      </c>
      <c r="AT38" s="16">
        <v>88.826582999999999</v>
      </c>
      <c r="AU38" s="16">
        <v>8833.3330800000003</v>
      </c>
      <c r="AV38" s="16">
        <v>15166.668011</v>
      </c>
      <c r="AW38" s="15">
        <v>0.17502699999999999</v>
      </c>
      <c r="AX38" s="16">
        <v>504.14291200000002</v>
      </c>
      <c r="AY38" s="16">
        <v>4444.4467969999996</v>
      </c>
      <c r="AZ38" s="15">
        <v>0.45575300000000002</v>
      </c>
      <c r="BA38" s="15">
        <v>3.323388</v>
      </c>
      <c r="BB38" s="15" t="e">
        <v>#N/A</v>
      </c>
      <c r="BC38" s="11">
        <v>54.989372000000003</v>
      </c>
      <c r="BD38" s="11">
        <v>36555.558588</v>
      </c>
      <c r="BE38" s="11">
        <v>194.44712699999999</v>
      </c>
      <c r="BF38" s="11">
        <v>34138.486041999997</v>
      </c>
      <c r="BG38" s="11">
        <v>77249.961387000003</v>
      </c>
      <c r="BH38" s="11">
        <v>28361.114084000001</v>
      </c>
      <c r="BI38" s="11">
        <v>12555.558594</v>
      </c>
      <c r="BJ38" s="11">
        <v>14172.547671</v>
      </c>
      <c r="BK38" s="11">
        <v>6388.8920699999999</v>
      </c>
      <c r="BL38" s="11">
        <v>6.3129249999999999</v>
      </c>
      <c r="BM38" s="11">
        <v>31515.314525999998</v>
      </c>
      <c r="BN38" s="11">
        <v>55.553116000000003</v>
      </c>
      <c r="BO38" s="11">
        <v>44.420129000000003</v>
      </c>
      <c r="BP38" s="11">
        <v>4222.2255439999999</v>
      </c>
      <c r="BQ38" s="11">
        <v>6055.5589440000003</v>
      </c>
      <c r="BR38" s="11">
        <v>0.29880800000000002</v>
      </c>
      <c r="BS38" s="11">
        <v>268.881146</v>
      </c>
      <c r="BT38" s="11">
        <v>1722.225835</v>
      </c>
      <c r="BU38" s="17">
        <v>24937.244686999999</v>
      </c>
      <c r="BV38" s="11">
        <v>1500.0030770000001</v>
      </c>
      <c r="BW38" s="11">
        <v>0.24965799999999999</v>
      </c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>
        <v>148536.35267399999</v>
      </c>
      <c r="CT38" s="11">
        <v>0.62271799999999999</v>
      </c>
      <c r="CU38" s="11">
        <v>0.33239999999999997</v>
      </c>
      <c r="CV38" s="11">
        <v>0.122097</v>
      </c>
      <c r="CW38" s="11">
        <v>0.140461</v>
      </c>
      <c r="CX38" s="17">
        <v>83188.711496000004</v>
      </c>
      <c r="CY38" s="11">
        <v>0.21821299999999999</v>
      </c>
      <c r="CZ38" s="11">
        <v>48271.373395000002</v>
      </c>
      <c r="DA38" s="11">
        <v>9.6298999999999996E-2</v>
      </c>
      <c r="DB38" s="11">
        <v>0.62965800000000005</v>
      </c>
      <c r="DC38" s="11">
        <v>0.26947900000000002</v>
      </c>
      <c r="DD38" s="11">
        <v>0.23674899999999999</v>
      </c>
      <c r="DE38" s="11">
        <v>0.61328899999999997</v>
      </c>
      <c r="DF38" s="11">
        <v>0.203098</v>
      </c>
      <c r="DG38" s="11">
        <v>0.111317</v>
      </c>
      <c r="DH38" s="11">
        <v>5.1679000000000003E-2</v>
      </c>
      <c r="DI38" s="11">
        <v>149431.60159100001</v>
      </c>
      <c r="DJ38" s="11">
        <v>0.47680099999999997</v>
      </c>
      <c r="DK38" s="11">
        <v>0.20268800000000001</v>
      </c>
      <c r="DL38" s="11">
        <v>9.8937999999999998E-2</v>
      </c>
      <c r="DM38" s="11">
        <v>0.113455</v>
      </c>
      <c r="DN38" s="17">
        <v>82294.262294</v>
      </c>
      <c r="DO38" s="11">
        <v>0.20593600000000001</v>
      </c>
      <c r="DP38" s="11">
        <v>48271.352061999998</v>
      </c>
      <c r="DQ38" s="11">
        <v>9.0031E-2</v>
      </c>
      <c r="DR38" s="11">
        <v>0.43745200000000001</v>
      </c>
      <c r="DS38" s="11">
        <v>0.21152499999999999</v>
      </c>
      <c r="DT38" s="11">
        <v>0.20369000000000001</v>
      </c>
      <c r="DU38" s="11">
        <v>0.480078</v>
      </c>
      <c r="DV38" s="11">
        <v>0.192743</v>
      </c>
      <c r="DW38" s="11">
        <v>0.105045</v>
      </c>
      <c r="DX38" s="11">
        <v>5.4328000000000001E-2</v>
      </c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</row>
    <row r="39" spans="1:144" x14ac:dyDescent="0.3">
      <c r="A39">
        <v>37</v>
      </c>
      <c r="B39" s="6">
        <v>285000</v>
      </c>
      <c r="C39" s="6">
        <v>236995.70568700001</v>
      </c>
      <c r="D39" s="6">
        <v>236797.94739700001</v>
      </c>
      <c r="E39" s="6">
        <f>(C38-Tableau6[[#This Row],[Total cost (M€/y) HIGH]])/(Tableau6[[#This Row],[Solid biomass availability (GWh/y)]]-B38)*1000</f>
        <v>69.843532799999238</v>
      </c>
      <c r="F39" s="6" t="s">
        <v>33</v>
      </c>
      <c r="G39" s="10">
        <f t="shared" si="6"/>
        <v>99.670582030000205</v>
      </c>
      <c r="H39" s="6" t="s">
        <v>9</v>
      </c>
      <c r="I39" s="11" cm="1">
        <f t="array" ref="I39">INDEX(Tableau3[Production cost (M€/GWh)],
       MATCH(1,
             (Tableau3[Resource]=Tableau6[[#This Row],[Marginal supply commodity HIGH]])*(Tableau3[Scenario]="HIGH_2050"),
             0))*1000</f>
        <v>14.876070726438199</v>
      </c>
      <c r="J39" s="11" cm="1">
        <f t="array" ref="J39">INDEX(Tableau3[GHG impact (tCO2eq/MWh)],
       MATCH(1,
             (Tableau3[Resource]=Tableau6[[#This Row],[Marginal supply commodity HIGH]])*(Tableau3[Scenario]="HIGH_2050"),
             0))*1000</f>
        <v>13.9178738926524</v>
      </c>
      <c r="K39" s="11">
        <f>(Tableau6[[#This Row],[Total cost (M€/y) HIGH]]-Tableau6[[#This Row],[Total Cost (M€) HIGH +1Mt CO2]])</f>
        <v>197.75828999999794</v>
      </c>
      <c r="L39" s="22">
        <f>Tableau6[[#This Row],[Marginal Carbon cost (€/tCO2) HIGH]]*Tableau6[[#This Row],[Marginal emission factor (kgCO2/MWh) HIGH]]/1000</f>
        <v>2.7523749414465537</v>
      </c>
      <c r="M39" s="22">
        <f>(CS39-CS38)*AVERAGE($E$3,E39)/(B39-B38)</f>
        <v>12.511675882093575</v>
      </c>
      <c r="N39" s="22">
        <f>(CS39-CS38)*Tableau6[[#This Row],[Marginal value of solid biomass (€/MWh) HIGH]]/(B39-B38)</f>
        <v>1.1364751219366733</v>
      </c>
      <c r="O39" s="22">
        <f>(CS39-CS38)*Tableau6[[#This Row],[Marginal supply cost (€/MWh) HIGH]]/(B39-B38)</f>
        <v>0.24205940929677044</v>
      </c>
      <c r="P39" s="22">
        <f>Tableau6[[#This Row],[Marginal supply cost (€/MWh) HIGH]]+Tableau6[[#This Row],[Carbon cost of marginal biomass (€/MWh) HIGH]]</f>
        <v>17.628445667884751</v>
      </c>
      <c r="Q39" s="6">
        <v>240084.69772200001</v>
      </c>
      <c r="R39" s="6">
        <v>239807.15726000001</v>
      </c>
      <c r="S39" s="6">
        <f>(Q38-Tableau6[[#This Row],[Total cost (M€/y) MED]])/(Tableau6[[#This Row],[Solid biomass availability (GWh/y)]]-B38)*1000</f>
        <v>57.401668599998807</v>
      </c>
      <c r="T39" s="6" t="s">
        <v>33</v>
      </c>
      <c r="U39" s="6">
        <f t="shared" si="7"/>
        <v>85.883827533333417</v>
      </c>
      <c r="V39" s="6" t="s">
        <v>24</v>
      </c>
      <c r="W39" s="10" cm="1">
        <f t="array" ref="W39">INDEX(Tableau3[Production cost (M€/GWh)],
       MATCH(1,
             (Tableau3[Resource]=Tableau6[[#This Row],[Marginal supply commodity MED]])*(Tableau3[Scenario]="MED_2050"),
             0))*1000</f>
        <v>16.663244636678197</v>
      </c>
      <c r="X39" s="10" cm="1">
        <f t="array" ref="X39">INDEX(Tableau3[GHG impact (tCO2eq/MWh)],
       MATCH(1,
             (Tableau3[Resource]=Tableau6[[#This Row],[Marginal supply commodity MED]])*(Tableau3[Scenario]="MED_2050"),
             0))*1000</f>
        <v>66.960000000000008</v>
      </c>
      <c r="Y39" s="10">
        <f>Tableau6[[#This Row],[Total cost (M€/y) MED]]-Tableau6[[#This Row],[Total cost (M€/y) MED +1Mt CO2]]</f>
        <v>277.54046200000448</v>
      </c>
      <c r="Z39" s="10">
        <f>Tableau6[[#This Row],[Marginal Carbon cost (€/tCO2) MED]]*Tableau6[[#This Row],[Marginal emission factor (kgCO2/MWh)]]/1000</f>
        <v>18.584109335520303</v>
      </c>
      <c r="AA39" s="10">
        <f>Tableau6[[#This Row],[Carbon cost of marginal biomass (€/MWh) MED]]+Tableau6[[#This Row],[Marginal supply cost (€/MWh) MED]]</f>
        <v>35.247353972198496</v>
      </c>
      <c r="AH39" s="15">
        <v>0.22839000000000001</v>
      </c>
      <c r="AI39" s="16">
        <v>52999.998273999998</v>
      </c>
      <c r="AJ39" s="15">
        <v>0.54885899999999999</v>
      </c>
      <c r="AK39" s="17">
        <v>36194.345610999997</v>
      </c>
      <c r="AL39" s="15">
        <v>0.45624599999999998</v>
      </c>
      <c r="AM39" s="16">
        <v>34138.888014999997</v>
      </c>
      <c r="AN39" s="16">
        <v>44388.891402000001</v>
      </c>
      <c r="AO39" s="16">
        <v>35431.345769</v>
      </c>
      <c r="AP39" s="16">
        <v>12472.222111999999</v>
      </c>
      <c r="AQ39" s="15">
        <v>0.25592599999999999</v>
      </c>
      <c r="AR39" s="16">
        <v>40333.001747000002</v>
      </c>
      <c r="AS39" s="15">
        <v>0.24456900000000001</v>
      </c>
      <c r="AT39" s="16">
        <v>88.832555999999997</v>
      </c>
      <c r="AU39" s="16">
        <v>8833.3347439999998</v>
      </c>
      <c r="AV39" s="16">
        <v>15166.668745000001</v>
      </c>
      <c r="AW39" s="15">
        <v>0.108276</v>
      </c>
      <c r="AX39" s="16">
        <v>504.14779199999998</v>
      </c>
      <c r="AY39" s="16">
        <v>4444.4471830000002</v>
      </c>
      <c r="AZ39" s="15">
        <v>0.27038200000000001</v>
      </c>
      <c r="BA39" s="15">
        <v>1.695827</v>
      </c>
      <c r="BB39" s="15" t="e">
        <v>#N/A</v>
      </c>
      <c r="BC39" s="11">
        <v>54.990890999999998</v>
      </c>
      <c r="BD39" s="11">
        <v>36555.560104999997</v>
      </c>
      <c r="BE39" s="11">
        <v>194.44862499999999</v>
      </c>
      <c r="BF39" s="11">
        <v>34138.486920000003</v>
      </c>
      <c r="BG39" s="11">
        <v>77244.493912999998</v>
      </c>
      <c r="BH39" s="11">
        <v>28361.115307</v>
      </c>
      <c r="BI39" s="11">
        <v>12555.559732</v>
      </c>
      <c r="BJ39" s="11">
        <v>14172.548930999999</v>
      </c>
      <c r="BK39" s="11">
        <v>6388.893352</v>
      </c>
      <c r="BL39" s="11">
        <v>5.1070039999999999</v>
      </c>
      <c r="BM39" s="11">
        <v>31515.366496999999</v>
      </c>
      <c r="BN39" s="11">
        <v>55.552844</v>
      </c>
      <c r="BO39" s="11">
        <v>44.421616</v>
      </c>
      <c r="BP39" s="11">
        <v>4222.2268919999997</v>
      </c>
      <c r="BQ39" s="11">
        <v>6055.5602680000002</v>
      </c>
      <c r="BR39" s="11">
        <v>0.252133</v>
      </c>
      <c r="BS39" s="11">
        <v>268.88259099999999</v>
      </c>
      <c r="BT39" s="11">
        <v>1722.2271929999999</v>
      </c>
      <c r="BU39" s="17">
        <v>29943.983949000001</v>
      </c>
      <c r="BV39" s="11">
        <v>1500.0044270000001</v>
      </c>
      <c r="BW39" s="11">
        <v>0.144508</v>
      </c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>
        <v>148617.71132500001</v>
      </c>
      <c r="CT39" s="11">
        <v>0.37981500000000001</v>
      </c>
      <c r="CU39" s="11">
        <v>0.21448200000000001</v>
      </c>
      <c r="CV39" s="11">
        <v>7.4360999999999997E-2</v>
      </c>
      <c r="CW39" s="11">
        <v>8.7543999999999997E-2</v>
      </c>
      <c r="CX39" s="17">
        <v>88108.591476999994</v>
      </c>
      <c r="CY39" s="11">
        <v>0.156108</v>
      </c>
      <c r="CZ39" s="11">
        <v>48271.499499999998</v>
      </c>
      <c r="DA39" s="11">
        <v>5.9658000000000003E-2</v>
      </c>
      <c r="DB39" s="11">
        <v>0.40166800000000003</v>
      </c>
      <c r="DC39" s="11">
        <v>0.17616899999999999</v>
      </c>
      <c r="DD39" s="11">
        <v>0.14222099999999999</v>
      </c>
      <c r="DE39" s="11">
        <v>0.35042099999999998</v>
      </c>
      <c r="DF39" s="11">
        <v>0.13007099999999999</v>
      </c>
      <c r="DG39" s="11">
        <v>6.9314000000000001E-2</v>
      </c>
      <c r="DH39" s="11">
        <v>3.2821999999999997E-2</v>
      </c>
      <c r="DI39" s="11">
        <v>150224.324957</v>
      </c>
      <c r="DJ39" s="11">
        <v>0.50142299999999995</v>
      </c>
      <c r="DK39" s="11">
        <v>0.40688299999999999</v>
      </c>
      <c r="DL39" s="11">
        <v>0.110425</v>
      </c>
      <c r="DM39" s="11">
        <v>0.12823200000000001</v>
      </c>
      <c r="DN39" s="17">
        <v>86500.990430999998</v>
      </c>
      <c r="DO39" s="11">
        <v>0.24143800000000001</v>
      </c>
      <c r="DP39" s="11">
        <v>48271.461081000001</v>
      </c>
      <c r="DQ39" s="11">
        <v>8.2536999999999999E-2</v>
      </c>
      <c r="DR39" s="11">
        <v>0.482902</v>
      </c>
      <c r="DS39" s="11">
        <v>0.228162</v>
      </c>
      <c r="DT39" s="11">
        <v>0.222881</v>
      </c>
      <c r="DU39" s="11">
        <v>0.61810299999999996</v>
      </c>
      <c r="DV39" s="11">
        <v>0.172571</v>
      </c>
      <c r="DW39" s="11">
        <v>9.8693000000000003E-2</v>
      </c>
      <c r="DX39" s="11">
        <v>4.4354999999999999E-2</v>
      </c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</row>
    <row r="40" spans="1:144" x14ac:dyDescent="0.3">
      <c r="A40">
        <v>38</v>
      </c>
      <c r="B40" s="6">
        <v>290000</v>
      </c>
      <c r="C40" s="6">
        <v>236686.08374999999</v>
      </c>
      <c r="D40" s="6">
        <v>236489.290064</v>
      </c>
      <c r="E40" s="6">
        <f>(C39-Tableau6[[#This Row],[Total cost (M€/y) HIGH]])/(Tableau6[[#This Row],[Solid biomass availability (GWh/y)]]-B39)*1000</f>
        <v>61.924387400003617</v>
      </c>
      <c r="F40" s="6" t="s">
        <v>33</v>
      </c>
      <c r="G40" s="10">
        <f t="shared" si="6"/>
        <v>99.670582030000205</v>
      </c>
      <c r="H40" s="6" t="s">
        <v>9</v>
      </c>
      <c r="I40" s="11" cm="1">
        <f t="array" ref="I40">INDEX(Tableau3[Production cost (M€/GWh)],
       MATCH(1,
             (Tableau3[Resource]=Tableau6[[#This Row],[Marginal supply commodity HIGH]])*(Tableau3[Scenario]="HIGH_2050"),
             0))*1000</f>
        <v>14.876070726438199</v>
      </c>
      <c r="J40" s="11" cm="1">
        <f t="array" ref="J40">INDEX(Tableau3[GHG impact (tCO2eq/MWh)],
       MATCH(1,
             (Tableau3[Resource]=Tableau6[[#This Row],[Marginal supply commodity HIGH]])*(Tableau3[Scenario]="HIGH_2050"),
             0))*1000</f>
        <v>13.9178738926524</v>
      </c>
      <c r="K40" s="11">
        <f>(Tableau6[[#This Row],[Total cost (M€/y) HIGH]]-Tableau6[[#This Row],[Total Cost (M€) HIGH +1Mt CO2]])</f>
        <v>196.79368599998998</v>
      </c>
      <c r="L40" s="22">
        <f>Tableau6[[#This Row],[Marginal Carbon cost (€/tCO2) HIGH]]*Tableau6[[#This Row],[Marginal emission factor (kgCO2/MWh) HIGH]]/1000</f>
        <v>2.7389497046180944</v>
      </c>
      <c r="M40" s="22">
        <f>(CS40-CS39)*AVERAGE($E$3,E40)/(B40-B39)</f>
        <v>10.589711633330705</v>
      </c>
      <c r="N40" s="22">
        <f>(CS40-CS39)*Tableau6[[#This Row],[Marginal value of solid biomass (€/MWh) HIGH]]/(B40-B39)</f>
        <v>0.85724761899277013</v>
      </c>
      <c r="O40" s="22">
        <f>(CS40-CS39)*Tableau6[[#This Row],[Marginal supply cost (€/MWh) HIGH]]/(B40-B39)</f>
        <v>0.20593625138076777</v>
      </c>
      <c r="P40" s="22">
        <f>Tableau6[[#This Row],[Marginal supply cost (€/MWh) HIGH]]+Tableau6[[#This Row],[Carbon cost of marginal biomass (€/MWh) HIGH]]</f>
        <v>17.615020431056294</v>
      </c>
      <c r="Q40" s="6">
        <v>239809.19821599999</v>
      </c>
      <c r="R40" s="6">
        <v>239572.741966</v>
      </c>
      <c r="S40" s="6">
        <f>(Q39-Tableau6[[#This Row],[Total cost (M€/y) MED]])/(Tableau6[[#This Row],[Solid biomass availability (GWh/y)]]-B39)*1000</f>
        <v>55.099901200004389</v>
      </c>
      <c r="T40" s="6" t="s">
        <v>33</v>
      </c>
      <c r="U40" s="6">
        <f t="shared" si="7"/>
        <v>85.883827533333417</v>
      </c>
      <c r="V40" s="6" t="s">
        <v>15</v>
      </c>
      <c r="W40" s="10" cm="1">
        <f t="array" ref="W40">INDEX(Tableau3[Production cost (M€/GWh)],
       MATCH(1,
             (Tableau3[Resource]=Tableau6[[#This Row],[Marginal supply commodity MED]])*(Tableau3[Scenario]="MED_2050"),
             0))*1000</f>
        <v>17.576198730734365</v>
      </c>
      <c r="X40" s="10" cm="1">
        <f t="array" ref="X40">INDEX(Tableau3[GHG impact (tCO2eq/MWh)],
       MATCH(1,
             (Tableau3[Resource]=Tableau6[[#This Row],[Marginal supply commodity MED]])*(Tableau3[Scenario]="MED_2050"),
             0))*1000</f>
        <v>66.960000000000008</v>
      </c>
      <c r="Y40" s="10">
        <f>Tableau6[[#This Row],[Total cost (M€/y) MED]]-Tableau6[[#This Row],[Total cost (M€/y) MED +1Mt CO2]]</f>
        <v>236.45624999998836</v>
      </c>
      <c r="Z40" s="10">
        <f>Tableau6[[#This Row],[Marginal Carbon cost (€/tCO2) MED]]*Tableau6[[#This Row],[Marginal emission factor (kgCO2/MWh)]]/1000</f>
        <v>15.833110499999222</v>
      </c>
      <c r="AA40" s="10">
        <f>Tableau6[[#This Row],[Carbon cost of marginal biomass (€/MWh) MED]]+Tableau6[[#This Row],[Marginal supply cost (€/MWh) MED]]</f>
        <v>33.409309230733584</v>
      </c>
      <c r="AH40" s="15">
        <v>0.37628400000000001</v>
      </c>
      <c r="AI40" s="16">
        <v>52999.944302999997</v>
      </c>
      <c r="AJ40" s="15">
        <v>0.40855599999999997</v>
      </c>
      <c r="AK40" s="17">
        <v>41195.708959000003</v>
      </c>
      <c r="AL40" s="15">
        <v>0.28640399999999999</v>
      </c>
      <c r="AM40" s="16">
        <v>34138.887339000001</v>
      </c>
      <c r="AN40" s="16">
        <v>44388.825553000002</v>
      </c>
      <c r="AO40" s="16">
        <v>35431.34489</v>
      </c>
      <c r="AP40" s="16">
        <v>12472.221944000001</v>
      </c>
      <c r="AQ40" s="15">
        <v>0.167848</v>
      </c>
      <c r="AR40" s="16">
        <v>40332.997689999997</v>
      </c>
      <c r="AS40" s="15">
        <v>0.192993</v>
      </c>
      <c r="AT40" s="16">
        <v>88.830646000000002</v>
      </c>
      <c r="AU40" s="16">
        <v>8833.3337960000008</v>
      </c>
      <c r="AV40" s="16">
        <v>15166.667613</v>
      </c>
      <c r="AW40" s="15">
        <v>6.0544000000000001E-2</v>
      </c>
      <c r="AX40" s="16">
        <v>504.14602600000001</v>
      </c>
      <c r="AY40" s="16">
        <v>4444.4457689999999</v>
      </c>
      <c r="AZ40" s="15">
        <v>0.177672</v>
      </c>
      <c r="BA40" s="15">
        <v>0.92080200000000001</v>
      </c>
      <c r="BB40" s="15" t="e">
        <v>#N/A</v>
      </c>
      <c r="BC40" s="11">
        <v>54.986761999999999</v>
      </c>
      <c r="BD40" s="11">
        <v>36555.556346999998</v>
      </c>
      <c r="BE40" s="11">
        <v>194.444941</v>
      </c>
      <c r="BF40" s="11">
        <v>34138.484047999998</v>
      </c>
      <c r="BG40" s="11">
        <v>77249.987901999993</v>
      </c>
      <c r="BH40" s="11">
        <v>28361.111869</v>
      </c>
      <c r="BI40" s="11">
        <v>12555.556307000001</v>
      </c>
      <c r="BJ40" s="11">
        <v>14172.545233999999</v>
      </c>
      <c r="BK40" s="11">
        <v>6388.8896590000004</v>
      </c>
      <c r="BL40" s="17">
        <v>2833.0487280000002</v>
      </c>
      <c r="BM40" s="11">
        <v>31515.361905999998</v>
      </c>
      <c r="BN40" s="11">
        <v>55.533835000000003</v>
      </c>
      <c r="BO40" s="11">
        <v>44.417394000000002</v>
      </c>
      <c r="BP40" s="11">
        <v>4222.2230179999997</v>
      </c>
      <c r="BQ40" s="11">
        <v>6055.5563679999996</v>
      </c>
      <c r="BR40" s="11">
        <v>6.5554000000000001E-2</v>
      </c>
      <c r="BS40" s="11">
        <v>268.87853899999999</v>
      </c>
      <c r="BT40" s="11">
        <v>1722.22307</v>
      </c>
      <c r="BU40" s="18">
        <v>32111.038177999999</v>
      </c>
      <c r="BV40" s="11">
        <v>1500.000716</v>
      </c>
      <c r="BW40" s="11">
        <v>9.5184000000000005E-2</v>
      </c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>
        <v>148686.92861199999</v>
      </c>
      <c r="CT40" s="11">
        <v>0.25424999999999998</v>
      </c>
      <c r="CU40" s="11">
        <v>0.14827099999999999</v>
      </c>
      <c r="CV40" s="11">
        <v>4.9411999999999998E-2</v>
      </c>
      <c r="CW40" s="11">
        <v>5.7345E-2</v>
      </c>
      <c r="CX40" s="17">
        <v>93040.074254000006</v>
      </c>
      <c r="CY40" s="11">
        <v>9.8549999999999999E-2</v>
      </c>
      <c r="CZ40" s="11">
        <v>48271.564969999999</v>
      </c>
      <c r="DA40" s="11">
        <v>3.8186999999999999E-2</v>
      </c>
      <c r="DB40" s="11">
        <v>0.241281</v>
      </c>
      <c r="DC40" s="11">
        <v>0.110431</v>
      </c>
      <c r="DD40" s="11">
        <v>9.5573000000000005E-2</v>
      </c>
      <c r="DE40" s="11">
        <v>0.231159</v>
      </c>
      <c r="DF40" s="11">
        <v>8.4127999999999994E-2</v>
      </c>
      <c r="DG40" s="11">
        <v>4.4505000000000003E-2</v>
      </c>
      <c r="DH40" s="11">
        <v>1.9900000000000001E-2</v>
      </c>
      <c r="DI40" s="11">
        <v>151025.71116800001</v>
      </c>
      <c r="DJ40" s="11">
        <v>0.114048</v>
      </c>
      <c r="DK40" s="11">
        <v>6.0768000000000003E-2</v>
      </c>
      <c r="DL40" s="11">
        <v>2.2931E-2</v>
      </c>
      <c r="DM40" s="11">
        <v>2.6629E-2</v>
      </c>
      <c r="DN40" s="17">
        <v>90702.018416999999</v>
      </c>
      <c r="DO40" s="11">
        <v>5.2087000000000001E-2</v>
      </c>
      <c r="DP40" s="11">
        <v>48271.616301000002</v>
      </c>
      <c r="DQ40" s="11">
        <v>1.8744E-2</v>
      </c>
      <c r="DR40" s="11">
        <v>0.107377</v>
      </c>
      <c r="DS40" s="11">
        <v>4.9935E-2</v>
      </c>
      <c r="DT40" s="11">
        <v>4.3956000000000002E-2</v>
      </c>
      <c r="DU40" s="11">
        <v>0.105479</v>
      </c>
      <c r="DV40" s="11">
        <v>4.0697999999999998E-2</v>
      </c>
      <c r="DW40" s="11">
        <v>2.1763000000000001E-2</v>
      </c>
      <c r="DX40" s="11">
        <v>1.021E-2</v>
      </c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</row>
    <row r="41" spans="1:144" x14ac:dyDescent="0.3">
      <c r="A41">
        <v>39</v>
      </c>
      <c r="B41" s="6">
        <v>295000</v>
      </c>
      <c r="C41" s="6">
        <v>236396.12483399999</v>
      </c>
      <c r="D41" s="6">
        <v>236207.571769</v>
      </c>
      <c r="E41" s="6">
        <f>(C40-Tableau6[[#This Row],[Total cost (M€/y) HIGH]])/(Tableau6[[#This Row],[Solid biomass availability (GWh/y)]]-B40)*1000</f>
        <v>57.991783200000647</v>
      </c>
      <c r="F41" s="6" t="s">
        <v>33</v>
      </c>
      <c r="G41" s="10">
        <f t="shared" si="6"/>
        <v>99.670582030000205</v>
      </c>
      <c r="H41" s="6" t="s">
        <v>9</v>
      </c>
      <c r="I41" s="11" cm="1">
        <f t="array" ref="I41">INDEX(Tableau3[Production cost (M€/GWh)],
       MATCH(1,
             (Tableau3[Resource]=Tableau6[[#This Row],[Marginal supply commodity HIGH]])*(Tableau3[Scenario]="HIGH_2050"),
             0))*1000</f>
        <v>14.876070726438199</v>
      </c>
      <c r="J41" s="11" cm="1">
        <f t="array" ref="J41">INDEX(Tableau3[GHG impact (tCO2eq/MWh)],
       MATCH(1,
             (Tableau3[Resource]=Tableau6[[#This Row],[Marginal supply commodity HIGH]])*(Tableau3[Scenario]="HIGH_2050"),
             0))*1000</f>
        <v>13.9178738926524</v>
      </c>
      <c r="K41" s="11">
        <f>(Tableau6[[#This Row],[Total cost (M€/y) HIGH]]-Tableau6[[#This Row],[Total Cost (M€) HIGH +1Mt CO2]])</f>
        <v>188.55306499998551</v>
      </c>
      <c r="L41" s="22">
        <f>Tableau6[[#This Row],[Marginal Carbon cost (€/tCO2) HIGH]]*Tableau6[[#This Row],[Marginal emission factor (kgCO2/MWh) HIGH]]/1000</f>
        <v>2.6242577807428891</v>
      </c>
      <c r="M41" s="22">
        <f>(CS41-CS40)*AVERAGE($E$3,E41)/(B41-B40)</f>
        <v>18.069158975450737</v>
      </c>
      <c r="N41" s="22">
        <f>(CS41-CS40)*Tableau6[[#This Row],[Marginal value of solid biomass (€/MWh) HIGH]]/(B41-B40)</f>
        <v>1.3733543579415943</v>
      </c>
      <c r="O41" s="22">
        <f>(CS41-CS40)*Tableau6[[#This Row],[Marginal supply cost (€/MWh) HIGH]]/(B41-B40)</f>
        <v>0.35229329801331322</v>
      </c>
      <c r="P41" s="22">
        <f>Tableau6[[#This Row],[Marginal supply cost (€/MWh) HIGH]]+Tableau6[[#This Row],[Carbon cost of marginal biomass (€/MWh) HIGH]]</f>
        <v>17.500328507181088</v>
      </c>
      <c r="Q41" s="6">
        <v>239541.22274100001</v>
      </c>
      <c r="R41" s="6">
        <v>239304.600347</v>
      </c>
      <c r="S41" s="6">
        <f>(Q40-Tableau6[[#This Row],[Total cost (M€/y) MED]])/(Tableau6[[#This Row],[Solid biomass availability (GWh/y)]]-B40)*1000</f>
        <v>53.595094999996945</v>
      </c>
      <c r="T41" s="6" t="s">
        <v>33</v>
      </c>
      <c r="U41" s="6">
        <f t="shared" si="7"/>
        <v>85.883827533333417</v>
      </c>
      <c r="V41" s="6" t="s">
        <v>15</v>
      </c>
      <c r="W41" s="10" cm="1">
        <f t="array" ref="W41">INDEX(Tableau3[Production cost (M€/GWh)],
       MATCH(1,
             (Tableau3[Resource]=Tableau6[[#This Row],[Marginal supply commodity MED]])*(Tableau3[Scenario]="MED_2050"),
             0))*1000</f>
        <v>17.576198730734365</v>
      </c>
      <c r="X41" s="10" cm="1">
        <f t="array" ref="X41">INDEX(Tableau3[GHG impact (tCO2eq/MWh)],
       MATCH(1,
             (Tableau3[Resource]=Tableau6[[#This Row],[Marginal supply commodity MED]])*(Tableau3[Scenario]="MED_2050"),
             0))*1000</f>
        <v>66.960000000000008</v>
      </c>
      <c r="Y41" s="10">
        <f>Tableau6[[#This Row],[Total cost (M€/y) MED]]-Tableau6[[#This Row],[Total cost (M€/y) MED +1Mt CO2]]</f>
        <v>236.62239400000544</v>
      </c>
      <c r="Z41" s="10">
        <f>Tableau6[[#This Row],[Marginal Carbon cost (€/tCO2) MED]]*Tableau6[[#This Row],[Marginal emission factor (kgCO2/MWh)]]/1000</f>
        <v>15.844235502240366</v>
      </c>
      <c r="AA41" s="10">
        <f>Tableau6[[#This Row],[Carbon cost of marginal biomass (€/MWh) MED]]+Tableau6[[#This Row],[Marginal supply cost (€/MWh) MED]]</f>
        <v>33.420434232974728</v>
      </c>
      <c r="AH41" s="15">
        <v>0.34114</v>
      </c>
      <c r="AI41" s="16">
        <v>52999.926003</v>
      </c>
      <c r="AJ41" s="15">
        <v>0.821044</v>
      </c>
      <c r="AK41" s="17">
        <v>46192.941531999997</v>
      </c>
      <c r="AL41" s="15">
        <v>0.65652500000000003</v>
      </c>
      <c r="AM41" s="16">
        <v>34138.879717999997</v>
      </c>
      <c r="AN41" s="16">
        <v>44388.753167000003</v>
      </c>
      <c r="AO41" s="16">
        <v>35431.342151999997</v>
      </c>
      <c r="AP41" s="16">
        <v>12472.222158</v>
      </c>
      <c r="AQ41" s="15">
        <v>0.38603900000000002</v>
      </c>
      <c r="AR41" s="16">
        <v>40333.004183999998</v>
      </c>
      <c r="AS41" s="15">
        <v>0.365423</v>
      </c>
      <c r="AT41" s="16">
        <v>88.831084000000004</v>
      </c>
      <c r="AU41" s="16">
        <v>8833.3352340000001</v>
      </c>
      <c r="AV41" s="16">
        <v>15166.669492000001</v>
      </c>
      <c r="AW41" s="15">
        <v>0.14791599999999999</v>
      </c>
      <c r="AX41" s="16">
        <v>504.14736599999998</v>
      </c>
      <c r="AY41" s="16">
        <v>4444.4481910000004</v>
      </c>
      <c r="AZ41" s="15">
        <v>0.40865299999999999</v>
      </c>
      <c r="BA41" s="15">
        <v>2.2681840000000002</v>
      </c>
      <c r="BB41" s="15" t="e">
        <v>#N/A</v>
      </c>
      <c r="BC41" s="11">
        <v>54.986303999999997</v>
      </c>
      <c r="BD41" s="11">
        <v>36555.555879</v>
      </c>
      <c r="BE41" s="11">
        <v>194.44433599999999</v>
      </c>
      <c r="BF41" s="11">
        <v>34138.483514</v>
      </c>
      <c r="BG41" s="11">
        <v>77249.998086000007</v>
      </c>
      <c r="BH41" s="11">
        <v>28361.111363</v>
      </c>
      <c r="BI41" s="11">
        <v>12555.555784</v>
      </c>
      <c r="BJ41" s="11">
        <v>14172.544742</v>
      </c>
      <c r="BK41" s="11">
        <v>6388.8891439999998</v>
      </c>
      <c r="BL41" s="17">
        <v>7833.6007719999998</v>
      </c>
      <c r="BM41" s="11">
        <v>31515.361489999999</v>
      </c>
      <c r="BN41" s="11">
        <v>55.264743000000003</v>
      </c>
      <c r="BO41" s="11">
        <v>44.416958000000001</v>
      </c>
      <c r="BP41" s="11">
        <v>4222.2225239999998</v>
      </c>
      <c r="BQ41" s="11">
        <v>6055.5558840000003</v>
      </c>
      <c r="BR41" s="11">
        <v>0.104648</v>
      </c>
      <c r="BS41" s="11">
        <v>268.87805400000002</v>
      </c>
      <c r="BT41" s="11">
        <v>1722.222612</v>
      </c>
      <c r="BU41" s="11">
        <v>32110.637638</v>
      </c>
      <c r="BV41" s="11">
        <v>1500.000164</v>
      </c>
      <c r="BW41" s="11">
        <v>0.21115900000000001</v>
      </c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>
        <v>148805.33800399999</v>
      </c>
      <c r="CT41" s="11">
        <v>0.56091599999999997</v>
      </c>
      <c r="CU41" s="11">
        <v>0.37642399999999998</v>
      </c>
      <c r="CV41" s="11">
        <v>0.11303000000000001</v>
      </c>
      <c r="CW41" s="11">
        <v>0.133909</v>
      </c>
      <c r="CX41" s="17">
        <v>97919.889290000006</v>
      </c>
      <c r="CY41" s="11">
        <v>0.26241599999999998</v>
      </c>
      <c r="CZ41" s="11">
        <v>48271.444303999997</v>
      </c>
      <c r="DA41" s="11">
        <v>8.7839E-2</v>
      </c>
      <c r="DB41" s="11">
        <v>0.54878800000000005</v>
      </c>
      <c r="DC41" s="11">
        <v>0.25514100000000001</v>
      </c>
      <c r="DD41" s="11">
        <v>0.213868</v>
      </c>
      <c r="DE41" s="11">
        <v>0.541269</v>
      </c>
      <c r="DF41" s="11">
        <v>0.19056300000000001</v>
      </c>
      <c r="DG41" s="11">
        <v>0.103075</v>
      </c>
      <c r="DH41" s="11">
        <v>4.7558999999999997E-2</v>
      </c>
      <c r="DI41" s="11">
        <v>151834.98724399999</v>
      </c>
      <c r="DJ41" s="11">
        <v>0.179395</v>
      </c>
      <c r="DK41" s="11">
        <v>0.116776</v>
      </c>
      <c r="DL41" s="11">
        <v>3.5513999999999997E-2</v>
      </c>
      <c r="DM41" s="11">
        <v>4.0617E-2</v>
      </c>
      <c r="DN41" s="17">
        <v>94892.376036999995</v>
      </c>
      <c r="DO41" s="11">
        <v>7.9237000000000002E-2</v>
      </c>
      <c r="DP41" s="11">
        <v>48271.587356000004</v>
      </c>
      <c r="DQ41" s="11">
        <v>2.8018000000000001E-2</v>
      </c>
      <c r="DR41" s="11">
        <v>0.15815199999999999</v>
      </c>
      <c r="DS41" s="11">
        <v>7.4454000000000006E-2</v>
      </c>
      <c r="DT41" s="11">
        <v>7.0524000000000003E-2</v>
      </c>
      <c r="DU41" s="11">
        <v>0.171456</v>
      </c>
      <c r="DV41" s="11">
        <v>5.9859999999999997E-2</v>
      </c>
      <c r="DW41" s="11">
        <v>3.2851999999999999E-2</v>
      </c>
      <c r="DX41" s="11">
        <v>1.502E-2</v>
      </c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</row>
    <row r="42" spans="1:144" x14ac:dyDescent="0.3">
      <c r="A42">
        <v>40</v>
      </c>
      <c r="B42" s="6">
        <v>300000</v>
      </c>
      <c r="C42" s="6">
        <v>236123.035179</v>
      </c>
      <c r="D42" s="6">
        <v>235945.37110300001</v>
      </c>
      <c r="E42" s="6">
        <f>(C41-Tableau6[[#This Row],[Total cost (M€/y) HIGH]])/(Tableau6[[#This Row],[Solid biomass availability (GWh/y)]]-B41)*1000</f>
        <v>54.617930999997768</v>
      </c>
      <c r="F42" s="6" t="s">
        <v>37</v>
      </c>
      <c r="G42" s="10">
        <f>AVERAGE($E$42:$E$54)</f>
        <v>48.851065692307351</v>
      </c>
      <c r="H42" s="6" t="s">
        <v>9</v>
      </c>
      <c r="I42" s="11" cm="1">
        <f t="array" ref="I42">INDEX(Tableau3[Production cost (M€/GWh)],
       MATCH(1,
             (Tableau3[Resource]=Tableau6[[#This Row],[Marginal supply commodity HIGH]])*(Tableau3[Scenario]="HIGH_2050"),
             0))*1000</f>
        <v>14.876070726438199</v>
      </c>
      <c r="J42" s="11" cm="1">
        <f t="array" ref="J42">INDEX(Tableau3[GHG impact (tCO2eq/MWh)],
       MATCH(1,
             (Tableau3[Resource]=Tableau6[[#This Row],[Marginal supply commodity HIGH]])*(Tableau3[Scenario]="HIGH_2050"),
             0))*1000</f>
        <v>13.9178738926524</v>
      </c>
      <c r="K42" s="11">
        <f>(Tableau6[[#This Row],[Total cost (M€/y) HIGH]]-Tableau6[[#This Row],[Total Cost (M€) HIGH +1Mt CO2]])</f>
        <v>177.66407599998638</v>
      </c>
      <c r="L42" s="22">
        <f>Tableau6[[#This Row],[Marginal Carbon cost (€/tCO2) HIGH]]*Tableau6[[#This Row],[Marginal emission factor (kgCO2/MWh) HIGH]]/1000</f>
        <v>2.4727062050224222</v>
      </c>
      <c r="M42" s="22">
        <f>(CS42-CS41)*AVERAGE($E$3,E42)/(B42-B41)</f>
        <v>29.749492804233423</v>
      </c>
      <c r="N42" s="22">
        <f>(CS42-CS41)*Tableau6[[#This Row],[Marginal value of solid biomass (€/MWh) HIGH]]/(B42-B41)</f>
        <v>2.1342941518017216</v>
      </c>
      <c r="O42" s="22">
        <f>(CS42-CS41)*Tableau6[[#This Row],[Marginal supply cost (€/MWh) HIGH]]/(B42-B41)</f>
        <v>0.5813092911415324</v>
      </c>
      <c r="P42" s="22">
        <f>Tableau6[[#This Row],[Marginal supply cost (€/MWh) HIGH]]+Tableau6[[#This Row],[Carbon cost of marginal biomass (€/MWh) HIGH]]</f>
        <v>17.34877693146062</v>
      </c>
      <c r="Q42" s="6">
        <v>239333.179878</v>
      </c>
      <c r="R42" s="6">
        <v>239134.118816</v>
      </c>
      <c r="S42" s="6">
        <f>(Q41-Tableau6[[#This Row],[Total cost (M€/y) MED]])/(Tableau6[[#This Row],[Solid biomass availability (GWh/y)]]-B41)*1000</f>
        <v>41.608572600001935</v>
      </c>
      <c r="T42" s="6" t="s">
        <v>33</v>
      </c>
      <c r="U42" s="6">
        <f t="shared" si="7"/>
        <v>85.883827533333417</v>
      </c>
      <c r="V42" s="6" t="s">
        <v>15</v>
      </c>
      <c r="W42" s="10" cm="1">
        <f t="array" ref="W42">INDEX(Tableau3[Production cost (M€/GWh)],
       MATCH(1,
             (Tableau3[Resource]=Tableau6[[#This Row],[Marginal supply commodity MED]])*(Tableau3[Scenario]="MED_2050"),
             0))*1000</f>
        <v>17.576198730734365</v>
      </c>
      <c r="X42" s="10" cm="1">
        <f t="array" ref="X42">INDEX(Tableau3[GHG impact (tCO2eq/MWh)],
       MATCH(1,
             (Tableau3[Resource]=Tableau6[[#This Row],[Marginal supply commodity MED]])*(Tableau3[Scenario]="MED_2050"),
             0))*1000</f>
        <v>66.960000000000008</v>
      </c>
      <c r="Y42" s="10">
        <f>Tableau6[[#This Row],[Total cost (M€/y) MED]]-Tableau6[[#This Row],[Total cost (M€/y) MED +1Mt CO2]]</f>
        <v>199.0610619999934</v>
      </c>
      <c r="Z42" s="10">
        <f>Tableau6[[#This Row],[Marginal Carbon cost (€/tCO2) MED]]*Tableau6[[#This Row],[Marginal emission factor (kgCO2/MWh)]]/1000</f>
        <v>13.329128711519559</v>
      </c>
      <c r="AA42" s="10">
        <f>Tableau6[[#This Row],[Carbon cost of marginal biomass (€/MWh) MED]]+Tableau6[[#This Row],[Marginal supply cost (€/MWh) MED]]</f>
        <v>30.905327442253924</v>
      </c>
      <c r="AH42" s="15">
        <v>0.47214299999999998</v>
      </c>
      <c r="AI42" s="16">
        <v>53000.000126999999</v>
      </c>
      <c r="AJ42" s="15">
        <v>0.59633800000000003</v>
      </c>
      <c r="AK42" s="17">
        <v>51194.808508000002</v>
      </c>
      <c r="AL42" s="15">
        <v>0.42292099999999999</v>
      </c>
      <c r="AM42" s="16">
        <v>34138.879308000003</v>
      </c>
      <c r="AN42" s="16">
        <v>44388.879150000001</v>
      </c>
      <c r="AO42" s="16">
        <v>35431.337019999999</v>
      </c>
      <c r="AP42" s="16">
        <v>12472.220216</v>
      </c>
      <c r="AQ42" s="15">
        <v>0.308284</v>
      </c>
      <c r="AR42" s="16">
        <v>40332.676495</v>
      </c>
      <c r="AS42" s="15">
        <v>0.21235599999999999</v>
      </c>
      <c r="AT42" s="16">
        <v>88.827976000000007</v>
      </c>
      <c r="AU42" s="16">
        <v>8833.3324260000009</v>
      </c>
      <c r="AV42" s="16">
        <v>15166.666594</v>
      </c>
      <c r="AW42" s="15">
        <v>0.116267</v>
      </c>
      <c r="AX42" s="16">
        <v>504.144699</v>
      </c>
      <c r="AY42" s="16">
        <v>4444.4448499999999</v>
      </c>
      <c r="AZ42" s="15">
        <v>0.331401</v>
      </c>
      <c r="BA42" s="15">
        <v>1.205152</v>
      </c>
      <c r="BB42" s="15" t="e">
        <v>#N/A</v>
      </c>
      <c r="BC42" s="11">
        <v>54.986711999999997</v>
      </c>
      <c r="BD42" s="11">
        <v>36555.556192999997</v>
      </c>
      <c r="BE42" s="11">
        <v>194.44488100000001</v>
      </c>
      <c r="BF42" s="11">
        <v>34138.483896999998</v>
      </c>
      <c r="BG42" s="11">
        <v>77249.999752999996</v>
      </c>
      <c r="BH42" s="11">
        <v>28361.111724999999</v>
      </c>
      <c r="BI42" s="11">
        <v>12555.556173000001</v>
      </c>
      <c r="BJ42" s="11">
        <v>14172.545099000001</v>
      </c>
      <c r="BK42" s="11">
        <v>6388.889529</v>
      </c>
      <c r="BL42" s="17">
        <v>12887.540825</v>
      </c>
      <c r="BM42" s="11">
        <v>31515.361793</v>
      </c>
      <c r="BN42" s="11">
        <v>1.040392</v>
      </c>
      <c r="BO42" s="11">
        <v>44.417323000000003</v>
      </c>
      <c r="BP42" s="11">
        <v>4222.2228889999997</v>
      </c>
      <c r="BQ42" s="11">
        <v>6055.556235</v>
      </c>
      <c r="BR42" s="11">
        <v>5.1830000000000001E-2</v>
      </c>
      <c r="BS42" s="11">
        <v>268.87843099999998</v>
      </c>
      <c r="BT42" s="11">
        <v>1722.2229380000001</v>
      </c>
      <c r="BU42" s="11">
        <v>32111.0622</v>
      </c>
      <c r="BV42" s="11">
        <v>1500.000593</v>
      </c>
      <c r="BW42" s="11">
        <v>0.15068400000000001</v>
      </c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>
        <v>149000.72202099999</v>
      </c>
      <c r="CT42" s="11">
        <v>1.626261</v>
      </c>
      <c r="CU42" s="11">
        <v>0.51731499999999997</v>
      </c>
      <c r="CV42" s="11">
        <v>0.112903</v>
      </c>
      <c r="CW42" s="11">
        <v>0.12493</v>
      </c>
      <c r="CX42" s="17">
        <v>99387.035373000006</v>
      </c>
      <c r="CY42" s="11">
        <v>0.39001000000000002</v>
      </c>
      <c r="CZ42" s="11">
        <v>48271.141726000002</v>
      </c>
      <c r="DA42" s="11">
        <v>7.3518E-2</v>
      </c>
      <c r="DB42" s="17">
        <v>3336.934217</v>
      </c>
      <c r="DC42" s="11">
        <v>0.32419900000000001</v>
      </c>
      <c r="DD42" s="11">
        <v>0.25714399999999998</v>
      </c>
      <c r="DE42" s="11">
        <v>0.48363</v>
      </c>
      <c r="DF42" s="11">
        <v>0.17059199999999999</v>
      </c>
      <c r="DG42" s="11">
        <v>8.856E-2</v>
      </c>
      <c r="DH42" s="11">
        <v>3.0543000000000001E-2</v>
      </c>
      <c r="DI42" s="11">
        <v>152663.83801000001</v>
      </c>
      <c r="DJ42" s="11">
        <v>0.10502599999999999</v>
      </c>
      <c r="DK42" s="11">
        <v>7.0216000000000001E-2</v>
      </c>
      <c r="DL42" s="11">
        <v>2.1464E-2</v>
      </c>
      <c r="DM42" s="11">
        <v>2.5572000000000001E-2</v>
      </c>
      <c r="DN42" s="17">
        <v>99063.862622999994</v>
      </c>
      <c r="DO42" s="11">
        <v>6.6880999999999996E-2</v>
      </c>
      <c r="DP42" s="11">
        <v>48271.630261999999</v>
      </c>
      <c r="DQ42" s="11">
        <v>1.6729000000000001E-2</v>
      </c>
      <c r="DR42" s="11">
        <v>0.120487</v>
      </c>
      <c r="DS42" s="11">
        <v>5.0131000000000002E-2</v>
      </c>
      <c r="DT42" s="11">
        <v>4.1369999999999997E-2</v>
      </c>
      <c r="DU42" s="11">
        <v>0.10327699999999999</v>
      </c>
      <c r="DV42" s="11">
        <v>3.5845000000000002E-2</v>
      </c>
      <c r="DW42" s="11">
        <v>2.0347000000000001E-2</v>
      </c>
      <c r="DX42" s="11">
        <v>9.1109999999999993E-3</v>
      </c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</row>
    <row r="43" spans="1:144" x14ac:dyDescent="0.3">
      <c r="A43">
        <v>41</v>
      </c>
      <c r="B43" s="6">
        <v>305000</v>
      </c>
      <c r="C43" s="6">
        <v>235900.11620700001</v>
      </c>
      <c r="D43" s="6">
        <v>235733.11102800001</v>
      </c>
      <c r="E43" s="6">
        <f>(C42-Tableau6[[#This Row],[Total cost (M€/y) HIGH]])/(Tableau6[[#This Row],[Solid biomass availability (GWh/y)]]-B42)*1000</f>
        <v>44.583794399996989</v>
      </c>
      <c r="F43" s="6" t="s">
        <v>37</v>
      </c>
      <c r="G43" s="10">
        <f t="shared" ref="G43:G54" si="8">AVERAGE($E$42:$E$54)</f>
        <v>48.851065692307351</v>
      </c>
      <c r="H43" s="6" t="s">
        <v>9</v>
      </c>
      <c r="I43" s="11" cm="1">
        <f t="array" ref="I43">INDEX(Tableau3[Production cost (M€/GWh)],
       MATCH(1,
             (Tableau3[Resource]=Tableau6[[#This Row],[Marginal supply commodity HIGH]])*(Tableau3[Scenario]="HIGH_2050"),
             0))*1000</f>
        <v>14.876070726438199</v>
      </c>
      <c r="J43" s="11" cm="1">
        <f t="array" ref="J43">INDEX(Tableau3[GHG impact (tCO2eq/MWh)],
       MATCH(1,
             (Tableau3[Resource]=Tableau6[[#This Row],[Marginal supply commodity HIGH]])*(Tableau3[Scenario]="HIGH_2050"),
             0))*1000</f>
        <v>13.9178738926524</v>
      </c>
      <c r="K43" s="11">
        <f>(Tableau6[[#This Row],[Total cost (M€/y) HIGH]]-Tableau6[[#This Row],[Total Cost (M€) HIGH +1Mt CO2]])</f>
        <v>167.00517899999977</v>
      </c>
      <c r="L43" s="22">
        <f>Tableau6[[#This Row],[Marginal Carbon cost (€/tCO2) HIGH]]*Tableau6[[#This Row],[Marginal emission factor (kgCO2/MWh) HIGH]]/1000</f>
        <v>2.3243570207418376</v>
      </c>
      <c r="M43" s="22">
        <f>(CS43-CS42)*AVERAGE($E$3,E43)/(B43-B42)</f>
        <v>26.114589591805416</v>
      </c>
      <c r="N43" s="22">
        <f>(CS43-CS42)*Tableau6[[#This Row],[Marginal value of solid biomass (€/MWh) HIGH]]/(B43-B42)</f>
        <v>1.5394698783769296</v>
      </c>
      <c r="O43" s="22">
        <f>(CS43-CS42)*Tableau6[[#This Row],[Marginal supply cost (€/MWh) HIGH]]/(B43-B42)</f>
        <v>0.51366787192877339</v>
      </c>
      <c r="P43" s="22">
        <f>Tableau6[[#This Row],[Marginal supply cost (€/MWh) HIGH]]+Tableau6[[#This Row],[Carbon cost of marginal biomass (€/MWh) HIGH]]</f>
        <v>17.200427747180036</v>
      </c>
      <c r="Q43" s="6">
        <v>239123.565497</v>
      </c>
      <c r="R43" s="6">
        <v>238969.76541200001</v>
      </c>
      <c r="S43" s="6">
        <f>(Q42-Tableau6[[#This Row],[Total cost (M€/y) MED]])/(Tableau6[[#This Row],[Solid biomass availability (GWh/y)]]-B42)*1000</f>
        <v>41.922876199998427</v>
      </c>
      <c r="T43" s="6" t="s">
        <v>37</v>
      </c>
      <c r="U43" s="6">
        <f>AVERAGE($S$43:$S$48)</f>
        <v>29.744560933333318</v>
      </c>
      <c r="V43" s="6" t="s">
        <v>15</v>
      </c>
      <c r="W43" s="10" cm="1">
        <f t="array" ref="W43">INDEX(Tableau3[Production cost (M€/GWh)],
       MATCH(1,
             (Tableau3[Resource]=Tableau6[[#This Row],[Marginal supply commodity MED]])*(Tableau3[Scenario]="MED_2050"),
             0))*1000</f>
        <v>17.576198730734365</v>
      </c>
      <c r="X43" s="10" cm="1">
        <f t="array" ref="X43">INDEX(Tableau3[GHG impact (tCO2eq/MWh)],
       MATCH(1,
             (Tableau3[Resource]=Tableau6[[#This Row],[Marginal supply commodity MED]])*(Tableau3[Scenario]="MED_2050"),
             0))*1000</f>
        <v>66.960000000000008</v>
      </c>
      <c r="Y43" s="10">
        <f>Tableau6[[#This Row],[Total cost (M€/y) MED]]-Tableau6[[#This Row],[Total cost (M€/y) MED +1Mt CO2]]</f>
        <v>153.80008499999531</v>
      </c>
      <c r="Z43" s="10">
        <f>Tableau6[[#This Row],[Marginal Carbon cost (€/tCO2) MED]]*Tableau6[[#This Row],[Marginal emission factor (kgCO2/MWh)]]/1000</f>
        <v>10.298453691599686</v>
      </c>
      <c r="AA43" s="10">
        <f>Tableau6[[#This Row],[Carbon cost of marginal biomass (€/MWh) MED]]+Tableau6[[#This Row],[Marginal supply cost (€/MWh) MED]]</f>
        <v>27.874652422334051</v>
      </c>
      <c r="AH43" s="15">
        <v>3.5707999999999997E-2</v>
      </c>
      <c r="AI43" s="16">
        <v>52999.992588000001</v>
      </c>
      <c r="AJ43" s="15">
        <v>4.4225E-2</v>
      </c>
      <c r="AK43" s="17">
        <v>56197.839615999997</v>
      </c>
      <c r="AL43" s="15">
        <v>5.1527000000000003E-2</v>
      </c>
      <c r="AM43" s="16">
        <v>34138.888671000001</v>
      </c>
      <c r="AN43" s="16">
        <v>44388.889103000001</v>
      </c>
      <c r="AO43" s="16">
        <v>35431.344538999998</v>
      </c>
      <c r="AP43" s="16">
        <v>12472.222285</v>
      </c>
      <c r="AQ43" s="15">
        <v>3.4102E-2</v>
      </c>
      <c r="AR43" s="16">
        <v>40333.000201000003</v>
      </c>
      <c r="AS43" s="15">
        <v>2.1153000000000002E-2</v>
      </c>
      <c r="AT43" s="16">
        <v>88.833274000000003</v>
      </c>
      <c r="AU43" s="16">
        <v>8833.3335320000006</v>
      </c>
      <c r="AV43" s="16">
        <v>15166.66692</v>
      </c>
      <c r="AW43" s="15">
        <v>1.2198000000000001E-2</v>
      </c>
      <c r="AX43" s="16">
        <v>504.147355</v>
      </c>
      <c r="AY43" s="16">
        <v>4444.4447730000002</v>
      </c>
      <c r="AZ43" s="15">
        <v>3.6327999999999999E-2</v>
      </c>
      <c r="BA43" s="15">
        <v>0.15299699999999999</v>
      </c>
      <c r="BB43" s="15" t="e">
        <v>#N/A</v>
      </c>
      <c r="BC43" s="11">
        <v>54.988996</v>
      </c>
      <c r="BD43" s="11">
        <v>36555.558643999997</v>
      </c>
      <c r="BE43" s="11">
        <v>194.44600199999999</v>
      </c>
      <c r="BF43" s="11">
        <v>34138.485699999997</v>
      </c>
      <c r="BG43" s="11">
        <v>77249.927802000006</v>
      </c>
      <c r="BH43" s="11">
        <v>28361.113859000001</v>
      </c>
      <c r="BI43" s="11">
        <v>12555.558192</v>
      </c>
      <c r="BJ43" s="11">
        <v>14172.547411</v>
      </c>
      <c r="BK43" s="11">
        <v>6388.8916849999996</v>
      </c>
      <c r="BL43" s="17">
        <v>17888.059945000001</v>
      </c>
      <c r="BM43" s="11">
        <v>31515.364581000002</v>
      </c>
      <c r="BN43" s="11">
        <v>0.115333</v>
      </c>
      <c r="BO43" s="11">
        <v>44.419935000000002</v>
      </c>
      <c r="BP43" s="11">
        <v>4222.2252289999997</v>
      </c>
      <c r="BQ43" s="11">
        <v>6055.5586590000003</v>
      </c>
      <c r="BR43" s="11">
        <v>0.34139000000000003</v>
      </c>
      <c r="BS43" s="11">
        <v>268.88096300000001</v>
      </c>
      <c r="BT43" s="11">
        <v>1722.225643</v>
      </c>
      <c r="BU43" s="11">
        <v>32110.629454999998</v>
      </c>
      <c r="BV43" s="11">
        <v>1500.002481</v>
      </c>
      <c r="BW43" s="11">
        <v>1.8053E-2</v>
      </c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>
        <v>149173.371063</v>
      </c>
      <c r="CT43" s="11">
        <v>0.132437</v>
      </c>
      <c r="CU43" s="11">
        <v>5.7186000000000001E-2</v>
      </c>
      <c r="CV43" s="11">
        <v>1.1885E-2</v>
      </c>
      <c r="CW43" s="11">
        <v>1.4234E-2</v>
      </c>
      <c r="CX43" s="11">
        <v>99387.551561</v>
      </c>
      <c r="CY43" s="11">
        <v>4.1432999999999998E-2</v>
      </c>
      <c r="CZ43" s="11">
        <v>48271.611831000002</v>
      </c>
      <c r="DA43" s="11">
        <v>8.4539999999999997E-3</v>
      </c>
      <c r="DB43" s="17">
        <v>8167.0566829999998</v>
      </c>
      <c r="DC43" s="11">
        <v>3.7035999999999999E-2</v>
      </c>
      <c r="DD43" s="11">
        <v>2.5388999999999998E-2</v>
      </c>
      <c r="DE43" s="11">
        <v>5.5853E-2</v>
      </c>
      <c r="DF43" s="11">
        <v>1.9709999999999998E-2</v>
      </c>
      <c r="DG43" s="11">
        <v>1.0336E-2</v>
      </c>
      <c r="DH43" s="11">
        <v>4.058E-3</v>
      </c>
      <c r="DI43" s="11">
        <v>153516.251846</v>
      </c>
      <c r="DJ43" s="11">
        <v>2.750867</v>
      </c>
      <c r="DK43" s="11">
        <v>1.0051859999999999</v>
      </c>
      <c r="DL43" s="11">
        <v>0.190862</v>
      </c>
      <c r="DM43" s="11">
        <v>0.21973000000000001</v>
      </c>
      <c r="DN43" s="11">
        <v>99386.743761000005</v>
      </c>
      <c r="DO43" s="11">
        <v>1.1615709999999999</v>
      </c>
      <c r="DP43" s="11">
        <v>48271.124989000004</v>
      </c>
      <c r="DQ43" s="11">
        <v>0.13230900000000001</v>
      </c>
      <c r="DR43" s="17">
        <v>3817.9717009999999</v>
      </c>
      <c r="DS43" s="11">
        <v>0.584233</v>
      </c>
      <c r="DT43" s="11">
        <v>0.49095899999999998</v>
      </c>
      <c r="DU43" s="11">
        <v>0.91102499999999997</v>
      </c>
      <c r="DV43" s="11">
        <v>0.32545299999999999</v>
      </c>
      <c r="DW43" s="11">
        <v>0.16592499999999999</v>
      </c>
      <c r="DX43" s="11">
        <v>5.8382000000000003E-2</v>
      </c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</row>
    <row r="44" spans="1:144" x14ac:dyDescent="0.3">
      <c r="A44">
        <v>42</v>
      </c>
      <c r="B44" s="6">
        <v>310000</v>
      </c>
      <c r="C44" s="6">
        <v>235642.013301</v>
      </c>
      <c r="D44" s="6">
        <v>235473.758203</v>
      </c>
      <c r="E44" s="6">
        <f>(C43-Tableau6[[#This Row],[Total cost (M€/y) HIGH]])/(Tableau6[[#This Row],[Solid biomass availability (GWh/y)]]-B43)*1000</f>
        <v>51.620581200002924</v>
      </c>
      <c r="F44" s="6" t="s">
        <v>37</v>
      </c>
      <c r="G44" s="10">
        <f t="shared" si="8"/>
        <v>48.851065692307351</v>
      </c>
      <c r="H44" s="6" t="s">
        <v>9</v>
      </c>
      <c r="I44" s="11" cm="1">
        <f t="array" ref="I44">INDEX(Tableau3[Production cost (M€/GWh)],
       MATCH(1,
             (Tableau3[Resource]=Tableau6[[#This Row],[Marginal supply commodity HIGH]])*(Tableau3[Scenario]="HIGH_2050"),
             0))*1000</f>
        <v>14.876070726438199</v>
      </c>
      <c r="J44" s="11" cm="1">
        <f t="array" ref="J44">INDEX(Tableau3[GHG impact (tCO2eq/MWh)],
       MATCH(1,
             (Tableau3[Resource]=Tableau6[[#This Row],[Marginal supply commodity HIGH]])*(Tableau3[Scenario]="HIGH_2050"),
             0))*1000</f>
        <v>13.9178738926524</v>
      </c>
      <c r="K44" s="11">
        <f>(Tableau6[[#This Row],[Total cost (M€/y) HIGH]]-Tableau6[[#This Row],[Total Cost (M€) HIGH +1Mt CO2]])</f>
        <v>168.25509799999418</v>
      </c>
      <c r="L44" s="22">
        <f>Tableau6[[#This Row],[Marginal Carbon cost (€/tCO2) HIGH]]*Tableau6[[#This Row],[Marginal emission factor (kgCO2/MWh) HIGH]]/1000</f>
        <v>2.3417532357597901</v>
      </c>
      <c r="M44" s="22">
        <f>(CS44-CS43)*AVERAGE($E$3,E44)/(B44-B43)</f>
        <v>26.323604849876912</v>
      </c>
      <c r="N44" s="22">
        <f>(CS44-CS43)*Tableau6[[#This Row],[Marginal value of solid biomass (€/MWh) HIGH]]/(B44-B43)</f>
        <v>1.7883951802116873</v>
      </c>
      <c r="O44" s="22">
        <f>(CS44-CS43)*Tableau6[[#This Row],[Marginal supply cost (€/MWh) HIGH]]/(B44-B43)</f>
        <v>0.51538151197043758</v>
      </c>
      <c r="P44" s="22">
        <f>Tableau6[[#This Row],[Marginal supply cost (€/MWh) HIGH]]+Tableau6[[#This Row],[Carbon cost of marginal biomass (€/MWh) HIGH]]</f>
        <v>17.21782396219799</v>
      </c>
      <c r="Q44" s="6">
        <v>238957.314251</v>
      </c>
      <c r="R44" s="6">
        <v>238797.139169</v>
      </c>
      <c r="S44" s="6">
        <f>(Q43-Tableau6[[#This Row],[Total cost (M€/y) MED]])/(Tableau6[[#This Row],[Solid biomass availability (GWh/y)]]-B43)*1000</f>
        <v>33.250249199999963</v>
      </c>
      <c r="T44" s="6" t="s">
        <v>37</v>
      </c>
      <c r="U44" s="6">
        <f t="shared" ref="U44:U48" si="9">AVERAGE($S$43:$S$48)</f>
        <v>29.744560933333318</v>
      </c>
      <c r="V44" s="6" t="s">
        <v>15</v>
      </c>
      <c r="W44" s="10" cm="1">
        <f t="array" ref="W44">INDEX(Tableau3[Production cost (M€/GWh)],
       MATCH(1,
             (Tableau3[Resource]=Tableau6[[#This Row],[Marginal supply commodity MED]])*(Tableau3[Scenario]="MED_2050"),
             0))*1000</f>
        <v>17.576198730734365</v>
      </c>
      <c r="X44" s="10" cm="1">
        <f t="array" ref="X44">INDEX(Tableau3[GHG impact (tCO2eq/MWh)],
       MATCH(1,
             (Tableau3[Resource]=Tableau6[[#This Row],[Marginal supply commodity MED]])*(Tableau3[Scenario]="MED_2050"),
             0))*1000</f>
        <v>66.960000000000008</v>
      </c>
      <c r="Y44" s="10">
        <f>Tableau6[[#This Row],[Total cost (M€/y) MED]]-Tableau6[[#This Row],[Total cost (M€/y) MED +1Mt CO2]]</f>
        <v>160.17508200000157</v>
      </c>
      <c r="Z44" s="10">
        <f>Tableau6[[#This Row],[Marginal Carbon cost (€/tCO2) MED]]*Tableau6[[#This Row],[Marginal emission factor (kgCO2/MWh)]]/1000</f>
        <v>10.725323490720106</v>
      </c>
      <c r="AA44" s="10">
        <f>Tableau6[[#This Row],[Carbon cost of marginal biomass (€/MWh) MED]]+Tableau6[[#This Row],[Marginal supply cost (€/MWh) MED]]</f>
        <v>28.301522221454469</v>
      </c>
      <c r="AH44" s="15">
        <v>0.29818</v>
      </c>
      <c r="AI44" s="16">
        <v>52999.988731999998</v>
      </c>
      <c r="AJ44" s="15">
        <v>0.243254</v>
      </c>
      <c r="AK44" s="17">
        <v>61195.801652000002</v>
      </c>
      <c r="AL44" s="15">
        <v>0.30090800000000001</v>
      </c>
      <c r="AM44" s="16">
        <v>34138.886209999997</v>
      </c>
      <c r="AN44" s="16">
        <v>44388.889364000002</v>
      </c>
      <c r="AO44" s="16">
        <v>35431.343912999997</v>
      </c>
      <c r="AP44" s="16">
        <v>12472.221159999999</v>
      </c>
      <c r="AQ44" s="15">
        <v>0.19031000000000001</v>
      </c>
      <c r="AR44" s="16">
        <v>40332.982171000003</v>
      </c>
      <c r="AS44" s="15">
        <v>0.10670499999999999</v>
      </c>
      <c r="AT44" s="16">
        <v>88.831041999999997</v>
      </c>
      <c r="AU44" s="16">
        <v>8833.3330850000002</v>
      </c>
      <c r="AV44" s="16">
        <v>15166.666831</v>
      </c>
      <c r="AW44" s="15">
        <v>6.5310000000000007E-2</v>
      </c>
      <c r="AX44" s="16">
        <v>504.14621599999998</v>
      </c>
      <c r="AY44" s="16">
        <v>4444.4450290000004</v>
      </c>
      <c r="AZ44" s="15">
        <v>0.20300399999999999</v>
      </c>
      <c r="BA44" s="15">
        <v>0.99279499999999998</v>
      </c>
      <c r="BB44" s="15" t="e">
        <v>#N/A</v>
      </c>
      <c r="BC44" s="11">
        <v>54.987285999999997</v>
      </c>
      <c r="BD44" s="11">
        <v>36555.556900000003</v>
      </c>
      <c r="BE44" s="11">
        <v>194.444931</v>
      </c>
      <c r="BF44" s="11">
        <v>34138.484364999997</v>
      </c>
      <c r="BG44" s="11">
        <v>77249.949858000007</v>
      </c>
      <c r="BH44" s="11">
        <v>28361.112342</v>
      </c>
      <c r="BI44" s="11">
        <v>12555.556785000001</v>
      </c>
      <c r="BJ44" s="11">
        <v>14172.545806</v>
      </c>
      <c r="BK44" s="11">
        <v>6388.8902230000003</v>
      </c>
      <c r="BL44" s="17">
        <v>22888.310672</v>
      </c>
      <c r="BM44" s="11">
        <v>31515.362625000002</v>
      </c>
      <c r="BN44" s="11">
        <v>6.8461999999999995E-2</v>
      </c>
      <c r="BO44" s="11">
        <v>44.418050000000001</v>
      </c>
      <c r="BP44" s="11">
        <v>4222.2236549999998</v>
      </c>
      <c r="BQ44" s="11">
        <v>6055.5570049999997</v>
      </c>
      <c r="BR44" s="11">
        <v>0.13708600000000001</v>
      </c>
      <c r="BS44" s="11">
        <v>268.87917499999998</v>
      </c>
      <c r="BT44" s="11">
        <v>1722.223812</v>
      </c>
      <c r="BU44" s="11">
        <v>32111.102544000001</v>
      </c>
      <c r="BV44" s="11">
        <v>1500.001158</v>
      </c>
      <c r="BW44" s="11">
        <v>9.0216000000000005E-2</v>
      </c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>
        <v>149346.59607699999</v>
      </c>
      <c r="CT44" s="11">
        <v>0.71919999999999995</v>
      </c>
      <c r="CU44" s="11">
        <v>0.26693800000000001</v>
      </c>
      <c r="CV44" s="11">
        <v>6.3410999999999995E-2</v>
      </c>
      <c r="CW44" s="11">
        <v>7.1948999999999999E-2</v>
      </c>
      <c r="CX44" s="11">
        <v>99387.402596</v>
      </c>
      <c r="CY44" s="11">
        <v>0.19429299999999999</v>
      </c>
      <c r="CZ44" s="11">
        <v>48271.447031999996</v>
      </c>
      <c r="DA44" s="11">
        <v>4.3513000000000003E-2</v>
      </c>
      <c r="DB44" s="17">
        <v>12992.457342</v>
      </c>
      <c r="DC44" s="11">
        <v>0.169848</v>
      </c>
      <c r="DD44" s="11">
        <v>0.13664999999999999</v>
      </c>
      <c r="DE44" s="11">
        <v>0.29165400000000002</v>
      </c>
      <c r="DF44" s="11">
        <v>9.3224000000000001E-2</v>
      </c>
      <c r="DG44" s="11">
        <v>5.2781000000000002E-2</v>
      </c>
      <c r="DH44" s="11">
        <v>1.9591000000000001E-2</v>
      </c>
      <c r="DI44" s="11">
        <v>154366.38718699999</v>
      </c>
      <c r="DJ44" s="11">
        <v>1.0729919999999999</v>
      </c>
      <c r="DK44" s="11">
        <v>0.41517900000000002</v>
      </c>
      <c r="DL44" s="11">
        <v>8.3829000000000001E-2</v>
      </c>
      <c r="DM44" s="11">
        <v>9.9269999999999997E-2</v>
      </c>
      <c r="DN44" s="11">
        <v>99387.441036999997</v>
      </c>
      <c r="DO44" s="11">
        <v>0.65802799999999995</v>
      </c>
      <c r="DP44" s="11">
        <v>48271.405952000001</v>
      </c>
      <c r="DQ44" s="11">
        <v>5.6739999999999999E-2</v>
      </c>
      <c r="DR44" s="17">
        <v>7971.3716350000004</v>
      </c>
      <c r="DS44" s="11">
        <v>0.24893199999999999</v>
      </c>
      <c r="DT44" s="11">
        <v>0.18194399999999999</v>
      </c>
      <c r="DU44" s="11">
        <v>0.38759399999999999</v>
      </c>
      <c r="DV44" s="11">
        <v>0.12895300000000001</v>
      </c>
      <c r="DW44" s="11">
        <v>7.4402999999999997E-2</v>
      </c>
      <c r="DX44" s="11">
        <v>2.6554999999999999E-2</v>
      </c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</row>
    <row r="45" spans="1:144" x14ac:dyDescent="0.3">
      <c r="A45">
        <v>43</v>
      </c>
      <c r="B45" s="6">
        <v>315000</v>
      </c>
      <c r="C45" s="6">
        <v>235414.285034</v>
      </c>
      <c r="D45" s="6">
        <v>235215.99831299999</v>
      </c>
      <c r="E45" s="6">
        <f>(C44-Tableau6[[#This Row],[Total cost (M€/y) HIGH]])/(Tableau6[[#This Row],[Solid biomass availability (GWh/y)]]-B44)*1000</f>
        <v>45.545653399999722</v>
      </c>
      <c r="F45" s="6" t="s">
        <v>37</v>
      </c>
      <c r="G45" s="10">
        <f t="shared" si="8"/>
        <v>48.851065692307351</v>
      </c>
      <c r="H45" s="6" t="s">
        <v>9</v>
      </c>
      <c r="I45" s="11" cm="1">
        <f t="array" ref="I45">INDEX(Tableau3[Production cost (M€/GWh)],
       MATCH(1,
             (Tableau3[Resource]=Tableau6[[#This Row],[Marginal supply commodity HIGH]])*(Tableau3[Scenario]="HIGH_2050"),
             0))*1000</f>
        <v>14.876070726438199</v>
      </c>
      <c r="J45" s="11" cm="1">
        <f t="array" ref="J45">INDEX(Tableau3[GHG impact (tCO2eq/MWh)],
       MATCH(1,
             (Tableau3[Resource]=Tableau6[[#This Row],[Marginal supply commodity HIGH]])*(Tableau3[Scenario]="HIGH_2050"),
             0))*1000</f>
        <v>13.9178738926524</v>
      </c>
      <c r="K45" s="11">
        <f>(Tableau6[[#This Row],[Total cost (M€/y) HIGH]]-Tableau6[[#This Row],[Total Cost (M€) HIGH +1Mt CO2]])</f>
        <v>198.28672100001131</v>
      </c>
      <c r="L45" s="22">
        <f>Tableau6[[#This Row],[Marginal Carbon cost (€/tCO2) HIGH]]*Tableau6[[#This Row],[Marginal emission factor (kgCO2/MWh) HIGH]]/1000</f>
        <v>2.7597295774657078</v>
      </c>
      <c r="M45" s="22">
        <f>(CS45-CS44)*AVERAGE($E$3,E45)/(B45-B44)</f>
        <v>26.324786323073408</v>
      </c>
      <c r="N45" s="22">
        <f>(CS45-CS44)*Tableau6[[#This Row],[Marginal value of solid biomass (€/MWh) HIGH]]/(B45-B44)</f>
        <v>1.5843337462785378</v>
      </c>
      <c r="O45" s="22">
        <f>(CS45-CS44)*Tableau6[[#This Row],[Marginal supply cost (€/MWh) HIGH]]/(B45-B44)</f>
        <v>0.51747332850696282</v>
      </c>
      <c r="P45" s="22">
        <f>Tableau6[[#This Row],[Marginal supply cost (€/MWh) HIGH]]+Tableau6[[#This Row],[Carbon cost of marginal biomass (€/MWh) HIGH]]</f>
        <v>17.635800303903906</v>
      </c>
      <c r="Q45" s="6">
        <v>238778.54795199999</v>
      </c>
      <c r="R45" s="6">
        <v>238613.05793400001</v>
      </c>
      <c r="S45" s="6">
        <f>(Q44-Tableau6[[#This Row],[Total cost (M€/y) MED]])/(Tableau6[[#This Row],[Solid biomass availability (GWh/y)]]-B44)*1000</f>
        <v>35.753259800001977</v>
      </c>
      <c r="T45" s="6" t="s">
        <v>37</v>
      </c>
      <c r="U45" s="6">
        <f t="shared" si="9"/>
        <v>29.744560933333318</v>
      </c>
      <c r="V45" s="6" t="s">
        <v>15</v>
      </c>
      <c r="W45" s="10" cm="1">
        <f t="array" ref="W45">INDEX(Tableau3[Production cost (M€/GWh)],
       MATCH(1,
             (Tableau3[Resource]=Tableau6[[#This Row],[Marginal supply commodity MED]])*(Tableau3[Scenario]="MED_2050"),
             0))*1000</f>
        <v>17.576198730734365</v>
      </c>
      <c r="X45" s="10" cm="1">
        <f t="array" ref="X45">INDEX(Tableau3[GHG impact (tCO2eq/MWh)],
       MATCH(1,
             (Tableau3[Resource]=Tableau6[[#This Row],[Marginal supply commodity MED]])*(Tableau3[Scenario]="MED_2050"),
             0))*1000</f>
        <v>66.960000000000008</v>
      </c>
      <c r="Y45" s="10">
        <f>Tableau6[[#This Row],[Total cost (M€/y) MED]]-Tableau6[[#This Row],[Total cost (M€/y) MED +1Mt CO2]]</f>
        <v>165.49001799998223</v>
      </c>
      <c r="Z45" s="10">
        <f>Tableau6[[#This Row],[Marginal Carbon cost (€/tCO2) MED]]*Tableau6[[#This Row],[Marginal emission factor (kgCO2/MWh)]]/1000</f>
        <v>11.081211605278812</v>
      </c>
      <c r="AA45" s="10">
        <f>Tableau6[[#This Row],[Carbon cost of marginal biomass (€/MWh) MED]]+Tableau6[[#This Row],[Marginal supply cost (€/MWh) MED]]</f>
        <v>28.657410336013179</v>
      </c>
      <c r="AH45" s="15">
        <v>0.212645</v>
      </c>
      <c r="AI45" s="16">
        <v>52999.992416000001</v>
      </c>
      <c r="AJ45" s="15">
        <v>0.32764700000000002</v>
      </c>
      <c r="AK45" s="17">
        <v>66196.299471000006</v>
      </c>
      <c r="AL45" s="15">
        <v>0.16728199999999999</v>
      </c>
      <c r="AM45" s="16">
        <v>34138.888334000003</v>
      </c>
      <c r="AN45" s="16">
        <v>44388.888069000001</v>
      </c>
      <c r="AO45" s="16">
        <v>35431.345044000002</v>
      </c>
      <c r="AP45" s="16">
        <v>12472.222368999999</v>
      </c>
      <c r="AQ45" s="15">
        <v>0.113384</v>
      </c>
      <c r="AR45" s="16">
        <v>40332.980108999996</v>
      </c>
      <c r="AS45" s="15">
        <v>0.15243799999999999</v>
      </c>
      <c r="AT45" s="16">
        <v>88.831698000000003</v>
      </c>
      <c r="AU45" s="16">
        <v>8833.3339840000008</v>
      </c>
      <c r="AV45" s="16">
        <v>15166.667557000001</v>
      </c>
      <c r="AW45" s="15">
        <v>4.3138000000000003E-2</v>
      </c>
      <c r="AX45" s="16">
        <v>504.14714199999997</v>
      </c>
      <c r="AY45" s="16">
        <v>4444.4455669999998</v>
      </c>
      <c r="AZ45" s="15">
        <v>0.12131400000000001</v>
      </c>
      <c r="BA45" s="15">
        <v>0.79576999999999998</v>
      </c>
      <c r="BB45" s="15" t="e">
        <v>#N/A</v>
      </c>
      <c r="BC45" s="11">
        <v>54.990656999999999</v>
      </c>
      <c r="BD45" s="11">
        <v>36555.559831999999</v>
      </c>
      <c r="BE45" s="11">
        <v>194.448227</v>
      </c>
      <c r="BF45" s="11">
        <v>34138.486996</v>
      </c>
      <c r="BG45" s="11">
        <v>77249.836165000001</v>
      </c>
      <c r="BH45" s="11">
        <v>28361.115138000001</v>
      </c>
      <c r="BI45" s="11">
        <v>12555.559584000001</v>
      </c>
      <c r="BJ45" s="11">
        <v>14172.548728</v>
      </c>
      <c r="BK45" s="11">
        <v>6388.8931160000002</v>
      </c>
      <c r="BL45" s="17">
        <v>27887.322821999998</v>
      </c>
      <c r="BM45" s="11">
        <v>31515.365728000001</v>
      </c>
      <c r="BN45" s="11">
        <v>0.74861100000000003</v>
      </c>
      <c r="BO45" s="11">
        <v>44.421429000000003</v>
      </c>
      <c r="BP45" s="11">
        <v>4222.2266289999998</v>
      </c>
      <c r="BQ45" s="11">
        <v>6055.5600210000002</v>
      </c>
      <c r="BR45" s="11">
        <v>0.31352600000000003</v>
      </c>
      <c r="BS45" s="11">
        <v>268.88239600000003</v>
      </c>
      <c r="BT45" s="11">
        <v>1722.226944</v>
      </c>
      <c r="BU45" s="11">
        <v>32111.094208999999</v>
      </c>
      <c r="BV45" s="11">
        <v>1500.0040180000001</v>
      </c>
      <c r="BW45" s="11">
        <v>5.6411000000000003E-2</v>
      </c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>
        <v>149520.524172</v>
      </c>
      <c r="CT45" s="11">
        <v>0.58185299999999995</v>
      </c>
      <c r="CU45" s="11">
        <v>0.211897</v>
      </c>
      <c r="CV45" s="11">
        <v>4.1744000000000003E-2</v>
      </c>
      <c r="CW45" s="11">
        <v>4.9981999999999999E-2</v>
      </c>
      <c r="CX45" s="11">
        <v>99387.519297000006</v>
      </c>
      <c r="CY45" s="11">
        <v>0.155084</v>
      </c>
      <c r="CZ45" s="11">
        <v>48271.483733000001</v>
      </c>
      <c r="DA45" s="11">
        <v>2.7813999999999998E-2</v>
      </c>
      <c r="DB45" s="17">
        <v>17818.904025</v>
      </c>
      <c r="DC45" s="11">
        <v>0.1409</v>
      </c>
      <c r="DD45" s="11">
        <v>8.9550000000000005E-2</v>
      </c>
      <c r="DE45" s="11">
        <v>0.186997</v>
      </c>
      <c r="DF45" s="11">
        <v>6.7460999999999993E-2</v>
      </c>
      <c r="DG45" s="11">
        <v>3.4547000000000001E-2</v>
      </c>
      <c r="DH45" s="11">
        <v>1.2744E-2</v>
      </c>
      <c r="DI45" s="11">
        <v>155217.82350100001</v>
      </c>
      <c r="DJ45" s="11">
        <v>1.8264750000000001</v>
      </c>
      <c r="DK45" s="11">
        <v>0.73477599999999998</v>
      </c>
      <c r="DL45" s="11">
        <v>0.16386600000000001</v>
      </c>
      <c r="DM45" s="11">
        <v>0.19104299999999999</v>
      </c>
      <c r="DN45" s="11">
        <v>99387.107569</v>
      </c>
      <c r="DO45" s="11">
        <v>1.0564260000000001</v>
      </c>
      <c r="DP45" s="11">
        <v>48271.222816000001</v>
      </c>
      <c r="DQ45" s="11">
        <v>0.115328</v>
      </c>
      <c r="DR45" s="17">
        <v>12117.791802</v>
      </c>
      <c r="DS45" s="11">
        <v>0.47931299999999999</v>
      </c>
      <c r="DT45" s="11">
        <v>0.36278300000000002</v>
      </c>
      <c r="DU45" s="11">
        <v>0.77425900000000003</v>
      </c>
      <c r="DV45" s="11">
        <v>0.264959</v>
      </c>
      <c r="DW45" s="11">
        <v>0.146093</v>
      </c>
      <c r="DX45" s="11">
        <v>5.1540999999999997E-2</v>
      </c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</row>
    <row r="46" spans="1:144" x14ac:dyDescent="0.3">
      <c r="A46">
        <v>44</v>
      </c>
      <c r="B46" s="6">
        <v>320000</v>
      </c>
      <c r="C46" s="6">
        <v>235141.16809200001</v>
      </c>
      <c r="D46" s="6">
        <v>234961.23176</v>
      </c>
      <c r="E46" s="6">
        <f>(C45-Tableau6[[#This Row],[Total cost (M€/y) HIGH]])/(Tableau6[[#This Row],[Solid biomass availability (GWh/y)]]-B45)*1000</f>
        <v>54.623388399998653</v>
      </c>
      <c r="F46" s="6" t="s">
        <v>37</v>
      </c>
      <c r="G46" s="10">
        <f t="shared" si="8"/>
        <v>48.851065692307351</v>
      </c>
      <c r="H46" s="6" t="s">
        <v>9</v>
      </c>
      <c r="I46" s="11" cm="1">
        <f t="array" ref="I46">INDEX(Tableau3[Production cost (M€/GWh)],
       MATCH(1,
             (Tableau3[Resource]=Tableau6[[#This Row],[Marginal supply commodity HIGH]])*(Tableau3[Scenario]="HIGH_2050"),
             0))*1000</f>
        <v>14.876070726438199</v>
      </c>
      <c r="J46" s="11" cm="1">
        <f t="array" ref="J46">INDEX(Tableau3[GHG impact (tCO2eq/MWh)],
       MATCH(1,
             (Tableau3[Resource]=Tableau6[[#This Row],[Marginal supply commodity HIGH]])*(Tableau3[Scenario]="HIGH_2050"),
             0))*1000</f>
        <v>13.9178738926524</v>
      </c>
      <c r="K46" s="11">
        <f>(Tableau6[[#This Row],[Total cost (M€/y) HIGH]]-Tableau6[[#This Row],[Total Cost (M€) HIGH +1Mt CO2]])</f>
        <v>179.93633200001204</v>
      </c>
      <c r="L46" s="22">
        <f>Tableau6[[#This Row],[Marginal Carbon cost (€/tCO2) HIGH]]*Tableau6[[#This Row],[Marginal emission factor (kgCO2/MWh) HIGH]]/1000</f>
        <v>2.5043311774826025</v>
      </c>
      <c r="M46" s="22">
        <f>(CS46-CS45)*AVERAGE($E$3,E46)/(B46-B45)</f>
        <v>28.264173151104718</v>
      </c>
      <c r="N46" s="22">
        <f>(CS46-CS45)*Tableau6[[#This Row],[Marginal value of solid biomass (€/MWh) HIGH]]/(B46-B45)</f>
        <v>2.0279293894848243</v>
      </c>
      <c r="O46" s="22">
        <f>(CS46-CS45)*Tableau6[[#This Row],[Marginal supply cost (€/MWh) HIGH]]/(B46-B45)</f>
        <v>0.55228395582650502</v>
      </c>
      <c r="P46" s="22">
        <f>Tableau6[[#This Row],[Marginal supply cost (€/MWh) HIGH]]+Tableau6[[#This Row],[Carbon cost of marginal biomass (€/MWh) HIGH]]</f>
        <v>17.380401903920802</v>
      </c>
      <c r="Q46" s="6">
        <v>238623.54113900001</v>
      </c>
      <c r="R46" s="6">
        <v>238459.48033200001</v>
      </c>
      <c r="S46" s="6">
        <f>(Q45-Tableau6[[#This Row],[Total cost (M€/y) MED]])/(Tableau6[[#This Row],[Solid biomass availability (GWh/y)]]-B45)*1000</f>
        <v>31.001362599997083</v>
      </c>
      <c r="T46" s="6" t="s">
        <v>37</v>
      </c>
      <c r="U46" s="6">
        <f t="shared" si="9"/>
        <v>29.744560933333318</v>
      </c>
      <c r="V46" s="6" t="s">
        <v>15</v>
      </c>
      <c r="W46" s="10" cm="1">
        <f t="array" ref="W46">INDEX(Tableau3[Production cost (M€/GWh)],
       MATCH(1,
             (Tableau3[Resource]=Tableau6[[#This Row],[Marginal supply commodity MED]])*(Tableau3[Scenario]="MED_2050"),
             0))*1000</f>
        <v>17.576198730734365</v>
      </c>
      <c r="X46" s="10" cm="1">
        <f t="array" ref="X46">INDEX(Tableau3[GHG impact (tCO2eq/MWh)],
       MATCH(1,
             (Tableau3[Resource]=Tableau6[[#This Row],[Marginal supply commodity MED]])*(Tableau3[Scenario]="MED_2050"),
             0))*1000</f>
        <v>66.960000000000008</v>
      </c>
      <c r="Y46" s="10">
        <f>Tableau6[[#This Row],[Total cost (M€/y) MED]]-Tableau6[[#This Row],[Total cost (M€/y) MED +1Mt CO2]]</f>
        <v>164.06080700000166</v>
      </c>
      <c r="Z46" s="10">
        <f>Tableau6[[#This Row],[Marginal Carbon cost (€/tCO2) MED]]*Tableau6[[#This Row],[Marginal emission factor (kgCO2/MWh)]]/1000</f>
        <v>10.985511636720112</v>
      </c>
      <c r="AA46" s="10">
        <f>Tableau6[[#This Row],[Carbon cost of marginal biomass (€/MWh) MED]]+Tableau6[[#This Row],[Marginal supply cost (€/MWh) MED]]</f>
        <v>28.561710367454477</v>
      </c>
      <c r="AH46" s="15">
        <v>1.5429E-2</v>
      </c>
      <c r="AI46" s="16">
        <v>52999.999925999997</v>
      </c>
      <c r="AJ46" s="15">
        <v>3.3737000000000003E-2</v>
      </c>
      <c r="AK46" s="17">
        <v>71198.021561000001</v>
      </c>
      <c r="AL46" s="15">
        <v>2.2919999999999999E-2</v>
      </c>
      <c r="AM46" s="16">
        <v>34138.888645999999</v>
      </c>
      <c r="AN46" s="16">
        <v>44388.888396000002</v>
      </c>
      <c r="AO46" s="16">
        <v>35431.344340000003</v>
      </c>
      <c r="AP46" s="16">
        <v>12472.222072</v>
      </c>
      <c r="AQ46" s="15">
        <v>1.4751E-2</v>
      </c>
      <c r="AR46" s="16">
        <v>40332.999959000001</v>
      </c>
      <c r="AS46" s="15">
        <v>1.5107000000000001E-2</v>
      </c>
      <c r="AT46" s="16">
        <v>88.832887999999997</v>
      </c>
      <c r="AU46" s="16">
        <v>8833.3332489999993</v>
      </c>
      <c r="AV46" s="16">
        <v>15166.666609</v>
      </c>
      <c r="AW46" s="15">
        <v>4.9870000000000001E-3</v>
      </c>
      <c r="AX46" s="16">
        <v>504.147065</v>
      </c>
      <c r="AY46" s="16">
        <v>4444.4444210000001</v>
      </c>
      <c r="AZ46" s="15">
        <v>1.5767E-2</v>
      </c>
      <c r="BA46" s="15">
        <v>8.1250000000000003E-2</v>
      </c>
      <c r="BB46" s="15" t="e">
        <v>#N/A</v>
      </c>
      <c r="BC46" s="11">
        <v>54.988953000000002</v>
      </c>
      <c r="BD46" s="11">
        <v>36555.558403000003</v>
      </c>
      <c r="BE46" s="11">
        <v>194.44713400000001</v>
      </c>
      <c r="BF46" s="11">
        <v>34138.486097000001</v>
      </c>
      <c r="BG46" s="11">
        <v>77249.985211000007</v>
      </c>
      <c r="BH46" s="11">
        <v>28361.113926000002</v>
      </c>
      <c r="BI46" s="11">
        <v>12555.558370000001</v>
      </c>
      <c r="BJ46" s="11">
        <v>14172.5473</v>
      </c>
      <c r="BK46" s="11">
        <v>6388.8917339999998</v>
      </c>
      <c r="BL46" s="17">
        <v>30638.825955</v>
      </c>
      <c r="BM46" s="11">
        <v>31515.364018</v>
      </c>
      <c r="BN46" s="11">
        <v>55.558011999999998</v>
      </c>
      <c r="BO46" s="11">
        <v>44.419567000000001</v>
      </c>
      <c r="BP46" s="11">
        <v>4222.2250990000002</v>
      </c>
      <c r="BQ46" s="11">
        <v>6055.5584440000002</v>
      </c>
      <c r="BR46" s="11">
        <v>0.35615599999999997</v>
      </c>
      <c r="BS46" s="11">
        <v>268.88064400000002</v>
      </c>
      <c r="BT46" s="11">
        <v>1722.2251630000001</v>
      </c>
      <c r="BU46" s="11">
        <v>32111.113433999999</v>
      </c>
      <c r="BV46" s="11">
        <v>1500.002794</v>
      </c>
      <c r="BW46" s="11">
        <v>7.4920000000000004E-3</v>
      </c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>
        <v>149706.15247599999</v>
      </c>
      <c r="CT46" s="11">
        <v>7.5151999999999997E-2</v>
      </c>
      <c r="CU46" s="11">
        <v>2.4372999999999999E-2</v>
      </c>
      <c r="CV46" s="11">
        <v>5.4929999999999996E-3</v>
      </c>
      <c r="CW46" s="11">
        <v>6.3049999999999998E-3</v>
      </c>
      <c r="CX46" s="11">
        <v>99387.583008000001</v>
      </c>
      <c r="CY46" s="11">
        <v>2.0974E-2</v>
      </c>
      <c r="CZ46" s="11">
        <v>48271.628831000002</v>
      </c>
      <c r="DA46" s="11">
        <v>3.7060000000000001E-3</v>
      </c>
      <c r="DB46" s="17">
        <v>22634.431326999998</v>
      </c>
      <c r="DC46" s="11">
        <v>1.7253000000000001E-2</v>
      </c>
      <c r="DD46" s="11">
        <v>1.1825E-2</v>
      </c>
      <c r="DE46" s="11">
        <v>2.4664999999999999E-2</v>
      </c>
      <c r="DF46" s="11">
        <v>8.8179999999999994E-3</v>
      </c>
      <c r="DG46" s="11">
        <v>4.646E-3</v>
      </c>
      <c r="DH46" s="11">
        <v>1.722E-3</v>
      </c>
      <c r="DI46" s="11">
        <v>155986.08184699999</v>
      </c>
      <c r="DJ46" s="11">
        <v>1.160309</v>
      </c>
      <c r="DK46" s="11">
        <v>0.43351899999999999</v>
      </c>
      <c r="DL46" s="11">
        <v>8.7691000000000005E-2</v>
      </c>
      <c r="DM46" s="11">
        <v>0.104297</v>
      </c>
      <c r="DN46" s="11">
        <v>99387.792337000006</v>
      </c>
      <c r="DO46" s="11">
        <v>0.64592899999999998</v>
      </c>
      <c r="DP46" s="11">
        <v>48271.338754999997</v>
      </c>
      <c r="DQ46" s="11">
        <v>6.0588000000000003E-2</v>
      </c>
      <c r="DR46" s="17">
        <v>16351.245387999999</v>
      </c>
      <c r="DS46" s="11">
        <v>0.27934100000000001</v>
      </c>
      <c r="DT46" s="11">
        <v>0.19506399999999999</v>
      </c>
      <c r="DU46" s="11">
        <v>0.39155299999999998</v>
      </c>
      <c r="DV46" s="11">
        <v>0.144207</v>
      </c>
      <c r="DW46" s="11">
        <v>7.7337000000000003E-2</v>
      </c>
      <c r="DX46" s="11">
        <v>2.8093E-2</v>
      </c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</row>
    <row r="47" spans="1:144" x14ac:dyDescent="0.3">
      <c r="A47">
        <v>45</v>
      </c>
      <c r="B47" s="6">
        <v>325000</v>
      </c>
      <c r="C47" s="6">
        <v>234889.09547299999</v>
      </c>
      <c r="D47" s="6">
        <v>234725.77880100001</v>
      </c>
      <c r="E47" s="6">
        <f>(C46-Tableau6[[#This Row],[Total cost (M€/y) HIGH]])/(Tableau6[[#This Row],[Solid biomass availability (GWh/y)]]-B46)*1000</f>
        <v>50.414523800002641</v>
      </c>
      <c r="F47" s="6" t="s">
        <v>37</v>
      </c>
      <c r="G47" s="10">
        <f t="shared" si="8"/>
        <v>48.851065692307351</v>
      </c>
      <c r="H47" s="6" t="s">
        <v>9</v>
      </c>
      <c r="I47" s="11" cm="1">
        <f t="array" ref="I47">INDEX(Tableau3[Production cost (M€/GWh)],
       MATCH(1,
             (Tableau3[Resource]=Tableau6[[#This Row],[Marginal supply commodity HIGH]])*(Tableau3[Scenario]="HIGH_2050"),
             0))*1000</f>
        <v>14.876070726438199</v>
      </c>
      <c r="J47" s="11" cm="1">
        <f t="array" ref="J47">INDEX(Tableau3[GHG impact (tCO2eq/MWh)],
       MATCH(1,
             (Tableau3[Resource]=Tableau6[[#This Row],[Marginal supply commodity HIGH]])*(Tableau3[Scenario]="HIGH_2050"),
             0))*1000</f>
        <v>13.9178738926524</v>
      </c>
      <c r="K47" s="11">
        <f>(Tableau6[[#This Row],[Total cost (M€/y) HIGH]]-Tableau6[[#This Row],[Total Cost (M€) HIGH +1Mt CO2]])</f>
        <v>163.31667199998628</v>
      </c>
      <c r="L47" s="22">
        <f>Tableau6[[#This Row],[Marginal Carbon cost (€/tCO2) HIGH]]*Tableau6[[#This Row],[Marginal emission factor (kgCO2/MWh) HIGH]]/1000</f>
        <v>2.2730208454634844</v>
      </c>
      <c r="M47" s="22">
        <f>(CS47-CS46)*AVERAGE($E$3,E47)/(B47-B46)</f>
        <v>27.701735467444173</v>
      </c>
      <c r="N47" s="22">
        <f>(CS47-CS46)*Tableau6[[#This Row],[Marginal value of solid biomass (€/MWh) HIGH]]/(B47-B46)</f>
        <v>1.8395123290427065</v>
      </c>
      <c r="O47" s="22">
        <f>(CS47-CS46)*Tableau6[[#This Row],[Marginal supply cost (€/MWh) HIGH]]/(B47-B46)</f>
        <v>0.54279428716914557</v>
      </c>
      <c r="P47" s="22">
        <f>Tableau6[[#This Row],[Marginal supply cost (€/MWh) HIGH]]+Tableau6[[#This Row],[Carbon cost of marginal biomass (€/MWh) HIGH]]</f>
        <v>17.149091571901682</v>
      </c>
      <c r="Q47" s="6">
        <v>238494.86339799999</v>
      </c>
      <c r="R47" s="6">
        <v>238326.141003</v>
      </c>
      <c r="S47" s="6">
        <f>(Q46-Tableau6[[#This Row],[Total cost (M€/y) MED]])/(Tableau6[[#This Row],[Solid biomass availability (GWh/y)]]-B46)*1000</f>
        <v>25.735548200004267</v>
      </c>
      <c r="T47" s="6" t="s">
        <v>37</v>
      </c>
      <c r="U47" s="6">
        <f t="shared" si="9"/>
        <v>29.744560933333318</v>
      </c>
      <c r="W47" s="10" t="e" cm="1">
        <f t="array" ref="W47">INDEX(Tableau3[Production cost (M€/GWh)],
       MATCH(1,
             (Tableau3[Resource]=Tableau6[[#This Row],[Marginal supply commodity MED]])*(Tableau3[Scenario]="MED_2050"),
             0))*1000</f>
        <v>#N/A</v>
      </c>
      <c r="X47" s="10" t="e" cm="1">
        <f t="array" ref="X47">INDEX(Tableau3[GHG impact (tCO2eq/MWh)],
       MATCH(1,
             (Tableau3[Resource]=Tableau6[[#This Row],[Marginal supply commodity MED]])*(Tableau3[Scenario]="MED_2050"),
             0))*1000</f>
        <v>#N/A</v>
      </c>
      <c r="Y47" s="10">
        <f>Tableau6[[#This Row],[Total cost (M€/y) MED]]-Tableau6[[#This Row],[Total cost (M€/y) MED +1Mt CO2]]</f>
        <v>168.72239499998977</v>
      </c>
      <c r="Z47" s="10" t="e">
        <f>Tableau6[[#This Row],[Marginal Carbon cost (€/tCO2) MED]]*Tableau6[[#This Row],[Marginal emission factor (kgCO2/MWh)]]/1000</f>
        <v>#N/A</v>
      </c>
      <c r="AA47" s="10" t="e">
        <f>Tableau6[[#This Row],[Carbon cost of marginal biomass (€/MWh) MED]]+Tableau6[[#This Row],[Marginal supply cost (€/MWh) MED]]</f>
        <v>#N/A</v>
      </c>
      <c r="AH47" s="15">
        <v>0.29272300000000001</v>
      </c>
      <c r="AI47" s="16">
        <v>52999.999208000001</v>
      </c>
      <c r="AJ47" s="15">
        <v>0.60206899999999997</v>
      </c>
      <c r="AK47" s="17">
        <v>76194.243358000007</v>
      </c>
      <c r="AL47" s="15">
        <v>0.38988400000000001</v>
      </c>
      <c r="AM47" s="16">
        <v>34138.884907</v>
      </c>
      <c r="AN47" s="16">
        <v>44388.886770999998</v>
      </c>
      <c r="AO47" s="16">
        <v>35431.343395999997</v>
      </c>
      <c r="AP47" s="16">
        <v>12472.220386000001</v>
      </c>
      <c r="AQ47" s="15">
        <v>0.272345</v>
      </c>
      <c r="AR47" s="16">
        <v>40332.963427000002</v>
      </c>
      <c r="AS47" s="15">
        <v>0.25900699999999999</v>
      </c>
      <c r="AT47" s="16">
        <v>88.829740999999999</v>
      </c>
      <c r="AU47" s="16">
        <v>8833.3328459999993</v>
      </c>
      <c r="AV47" s="16">
        <v>15166.666621</v>
      </c>
      <c r="AW47" s="15">
        <v>0.102897</v>
      </c>
      <c r="AX47" s="16">
        <v>504.14525900000001</v>
      </c>
      <c r="AY47" s="16">
        <v>4444.4450589999997</v>
      </c>
      <c r="AZ47" s="15">
        <v>0.29159200000000002</v>
      </c>
      <c r="BA47" s="15">
        <v>1.724709</v>
      </c>
      <c r="BB47" s="15" t="e">
        <v>#N/A</v>
      </c>
      <c r="BC47" s="11">
        <v>54.986913000000001</v>
      </c>
      <c r="BD47" s="11">
        <v>36555.556349999999</v>
      </c>
      <c r="BE47" s="11">
        <v>194.445097</v>
      </c>
      <c r="BF47" s="11">
        <v>34138.484040000003</v>
      </c>
      <c r="BG47" s="11">
        <v>77250.000058999998</v>
      </c>
      <c r="BH47" s="11">
        <v>28361.111859000001</v>
      </c>
      <c r="BI47" s="11">
        <v>12555.556285999999</v>
      </c>
      <c r="BJ47" s="11">
        <v>14172.545219</v>
      </c>
      <c r="BK47" s="11">
        <v>6388.8896450000002</v>
      </c>
      <c r="BL47" s="11">
        <v>30638.889812000001</v>
      </c>
      <c r="BM47" s="11">
        <v>31515.361966</v>
      </c>
      <c r="BN47" s="11">
        <v>55.555995000000003</v>
      </c>
      <c r="BO47" s="11">
        <v>44.417518999999999</v>
      </c>
      <c r="BP47" s="11">
        <v>4222.2230099999997</v>
      </c>
      <c r="BQ47" s="11">
        <v>6055.5563549999997</v>
      </c>
      <c r="BR47" s="11">
        <v>0.38284499999999999</v>
      </c>
      <c r="BS47" s="11">
        <v>268.878581</v>
      </c>
      <c r="BT47" s="11">
        <v>1722.223072</v>
      </c>
      <c r="BU47" s="11">
        <v>32111.112120999998</v>
      </c>
      <c r="BV47" s="11">
        <v>1500.0007009999999</v>
      </c>
      <c r="BW47" s="11">
        <v>0.135628</v>
      </c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>
        <v>149888.591205</v>
      </c>
      <c r="CT47" s="11">
        <v>1.4720340000000001</v>
      </c>
      <c r="CU47" s="11">
        <v>0.52834499999999995</v>
      </c>
      <c r="CV47" s="11">
        <v>0.105098</v>
      </c>
      <c r="CW47" s="11">
        <v>0.123025</v>
      </c>
      <c r="CX47" s="11">
        <v>99387.269981999998</v>
      </c>
      <c r="CY47" s="11">
        <v>0.40098200000000001</v>
      </c>
      <c r="CZ47" s="11">
        <v>48271.187195999999</v>
      </c>
      <c r="DA47" s="11">
        <v>6.9270999999999999E-2</v>
      </c>
      <c r="DB47" s="17">
        <v>27448.987410000002</v>
      </c>
      <c r="DC47" s="11">
        <v>0.323382</v>
      </c>
      <c r="DD47" s="11">
        <v>0.23997499999999999</v>
      </c>
      <c r="DE47" s="11">
        <v>0.45282299999999998</v>
      </c>
      <c r="DF47" s="11">
        <v>0.16294600000000001</v>
      </c>
      <c r="DG47" s="11">
        <v>8.7000999999999995E-2</v>
      </c>
      <c r="DH47" s="11">
        <v>3.1178000000000001E-2</v>
      </c>
      <c r="DI47" s="11">
        <v>156690.889558</v>
      </c>
      <c r="DJ47" s="11">
        <v>1.1046769999999999</v>
      </c>
      <c r="DK47" s="11">
        <v>0.38231500000000002</v>
      </c>
      <c r="DL47" s="11">
        <v>8.0308000000000004E-2</v>
      </c>
      <c r="DM47" s="11">
        <v>9.0702000000000005E-2</v>
      </c>
      <c r="DN47" s="11">
        <v>99387.722317000007</v>
      </c>
      <c r="DO47" s="11">
        <v>0.44040200000000002</v>
      </c>
      <c r="DP47" s="11">
        <v>48271.325655000001</v>
      </c>
      <c r="DQ47" s="11">
        <v>5.3691999999999997E-2</v>
      </c>
      <c r="DR47" s="17">
        <v>20646.928881</v>
      </c>
      <c r="DS47" s="11">
        <v>0.24186199999999999</v>
      </c>
      <c r="DT47" s="11">
        <v>0.181336</v>
      </c>
      <c r="DU47" s="11">
        <v>0.36313699999999999</v>
      </c>
      <c r="DV47" s="11">
        <v>0.12716</v>
      </c>
      <c r="DW47" s="11">
        <v>6.7433999999999994E-2</v>
      </c>
      <c r="DX47" s="11">
        <v>2.2790999999999999E-2</v>
      </c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</row>
    <row r="48" spans="1:144" x14ac:dyDescent="0.3">
      <c r="A48">
        <v>46</v>
      </c>
      <c r="B48" s="6">
        <v>330000</v>
      </c>
      <c r="C48" s="6">
        <v>234639.53292999999</v>
      </c>
      <c r="D48" s="6">
        <v>234472.074746</v>
      </c>
      <c r="E48" s="6">
        <f>(C47-Tableau6[[#This Row],[Total cost (M€/y) HIGH]])/(Tableau6[[#This Row],[Solid biomass availability (GWh/y)]]-B47)*1000</f>
        <v>49.912508600001459</v>
      </c>
      <c r="F48" s="6" t="s">
        <v>37</v>
      </c>
      <c r="G48" s="10">
        <f t="shared" si="8"/>
        <v>48.851065692307351</v>
      </c>
      <c r="H48" s="6" t="s">
        <v>9</v>
      </c>
      <c r="I48" s="11" cm="1">
        <f t="array" ref="I48">INDEX(Tableau3[Production cost (M€/GWh)],
       MATCH(1,
             (Tableau3[Resource]=Tableau6[[#This Row],[Marginal supply commodity HIGH]])*(Tableau3[Scenario]="HIGH_2050"),
             0))*1000</f>
        <v>14.876070726438199</v>
      </c>
      <c r="J48" s="11" cm="1">
        <f t="array" ref="J48">INDEX(Tableau3[GHG impact (tCO2eq/MWh)],
       MATCH(1,
             (Tableau3[Resource]=Tableau6[[#This Row],[Marginal supply commodity HIGH]])*(Tableau3[Scenario]="HIGH_2050"),
             0))*1000</f>
        <v>13.9178738926524</v>
      </c>
      <c r="K48" s="11">
        <f>(Tableau6[[#This Row],[Total cost (M€/y) HIGH]]-Tableau6[[#This Row],[Total Cost (M€) HIGH +1Mt CO2]])</f>
        <v>167.45818399998825</v>
      </c>
      <c r="L48" s="22">
        <f>Tableau6[[#This Row],[Marginal Carbon cost (€/tCO2) HIGH]]*Tableau6[[#This Row],[Marginal emission factor (kgCO2/MWh) HIGH]]/1000</f>
        <v>2.330661887204418</v>
      </c>
      <c r="M48" s="22">
        <f>(CS48-CS47)*AVERAGE($E$3,E48)/(B48-B47)</f>
        <v>26.501021124071162</v>
      </c>
      <c r="N48" s="22">
        <f>(CS48-CS47)*Tableau6[[#This Row],[Marginal value of solid biomass (€/MWh) HIGH]]/(B48-B47)</f>
        <v>1.742832587010273</v>
      </c>
      <c r="O48" s="22">
        <f>(CS48-CS47)*Tableau6[[#This Row],[Marginal supply cost (€/MWh) HIGH]]/(B48-B47)</f>
        <v>0.51943894538503155</v>
      </c>
      <c r="P48" s="22">
        <f>Tableau6[[#This Row],[Marginal supply cost (€/MWh) HIGH]]+Tableau6[[#This Row],[Carbon cost of marginal biomass (€/MWh) HIGH]]</f>
        <v>17.206732613642618</v>
      </c>
      <c r="Q48" s="6">
        <v>238440.84305</v>
      </c>
      <c r="R48" s="6">
        <v>238275.09639600001</v>
      </c>
      <c r="S48" s="6">
        <f>(Q47-Tableau6[[#This Row],[Total cost (M€/y) MED]])/(Tableau6[[#This Row],[Solid biomass availability (GWh/y)]]-B47)*1000</f>
        <v>10.804069599998185</v>
      </c>
      <c r="T48" s="6" t="s">
        <v>37</v>
      </c>
      <c r="U48" s="6">
        <f t="shared" si="9"/>
        <v>29.744560933333318</v>
      </c>
      <c r="V48" s="6" t="s">
        <v>21</v>
      </c>
      <c r="W48" s="10" cm="1">
        <f t="array" ref="W48">INDEX(Tableau3[Production cost (M€/GWh)],
       MATCH(1,
             (Tableau3[Resource]=Tableau6[[#This Row],[Marginal supply commodity MED]])*(Tableau3[Scenario]="MED_2050"),
             0))*1000</f>
        <v>39.798225000000002</v>
      </c>
      <c r="X48" s="10" cm="1">
        <f t="array" ref="X48">INDEX(Tableau3[GHG impact (tCO2eq/MWh)],
       MATCH(1,
             (Tableau3[Resource]=Tableau6[[#This Row],[Marginal supply commodity MED]])*(Tableau3[Scenario]="MED_2050"),
             0))*1000</f>
        <v>54.72</v>
      </c>
      <c r="Y48" s="10">
        <f>Tableau6[[#This Row],[Total cost (M€/y) MED]]-Tableau6[[#This Row],[Total cost (M€/y) MED +1Mt CO2]]</f>
        <v>165.74665399998776</v>
      </c>
      <c r="Z48" s="10">
        <f>Tableau6[[#This Row],[Marginal Carbon cost (€/tCO2) MED]]*Tableau6[[#This Row],[Marginal emission factor (kgCO2/MWh)]]/1000</f>
        <v>9.0696569068793309</v>
      </c>
      <c r="AA48" s="10">
        <f>Tableau6[[#This Row],[Carbon cost of marginal biomass (€/MWh) MED]]+Tableau6[[#This Row],[Marginal supply cost (€/MWh) MED]]</f>
        <v>48.867881906879333</v>
      </c>
      <c r="AH48" s="15">
        <v>2.9581E-2</v>
      </c>
      <c r="AI48" s="16">
        <v>52999.986331</v>
      </c>
      <c r="AJ48" s="15">
        <v>0.168156</v>
      </c>
      <c r="AK48" s="17">
        <v>81197.226282999996</v>
      </c>
      <c r="AL48" s="15">
        <v>0.10996499999999999</v>
      </c>
      <c r="AM48" s="16">
        <v>34138.887834000001</v>
      </c>
      <c r="AN48" s="16">
        <v>44388.885713000003</v>
      </c>
      <c r="AO48" s="16">
        <v>35431.344063999997</v>
      </c>
      <c r="AP48" s="16">
        <v>12472.221609</v>
      </c>
      <c r="AQ48" s="15">
        <v>7.4739E-2</v>
      </c>
      <c r="AR48" s="16">
        <v>40332.996428999999</v>
      </c>
      <c r="AS48" s="15">
        <v>7.2096999999999994E-2</v>
      </c>
      <c r="AT48" s="16">
        <v>88.832369999999997</v>
      </c>
      <c r="AU48" s="16">
        <v>8833.3330600000008</v>
      </c>
      <c r="AV48" s="16">
        <v>15166.666541000001</v>
      </c>
      <c r="AW48" s="15">
        <v>2.5006E-2</v>
      </c>
      <c r="AX48" s="16">
        <v>504.14667500000002</v>
      </c>
      <c r="AY48" s="16">
        <v>4444.4445009999999</v>
      </c>
      <c r="AZ48" s="15">
        <v>7.9850000000000004E-2</v>
      </c>
      <c r="BA48" s="15">
        <v>0.437666</v>
      </c>
      <c r="BB48" s="15" t="e">
        <v>#N/A</v>
      </c>
      <c r="BC48" s="11">
        <v>54.987105</v>
      </c>
      <c r="BD48" s="11">
        <v>36555.556540999998</v>
      </c>
      <c r="BE48" s="11">
        <v>194.44541899999999</v>
      </c>
      <c r="BF48" s="11">
        <v>34138.484302999997</v>
      </c>
      <c r="BG48" s="11">
        <v>77250.000924000007</v>
      </c>
      <c r="BH48" s="11">
        <v>28361.112090999999</v>
      </c>
      <c r="BI48" s="11">
        <v>12555.556533999999</v>
      </c>
      <c r="BJ48" s="11">
        <v>14172.545432999999</v>
      </c>
      <c r="BK48" s="11">
        <v>6388.8898740000004</v>
      </c>
      <c r="BL48" s="11">
        <v>30638.889752999999</v>
      </c>
      <c r="BM48" s="11">
        <v>31515.362108000001</v>
      </c>
      <c r="BN48" s="11">
        <v>55.556491000000001</v>
      </c>
      <c r="BO48" s="11">
        <v>44.417673000000001</v>
      </c>
      <c r="BP48" s="11">
        <v>4222.223215</v>
      </c>
      <c r="BQ48" s="11">
        <v>6055.556552</v>
      </c>
      <c r="BR48" s="17">
        <v>888.88955799999997</v>
      </c>
      <c r="BS48" s="11">
        <v>268.878782</v>
      </c>
      <c r="BT48" s="11">
        <v>1722.2232349999999</v>
      </c>
      <c r="BU48" s="11">
        <v>32111.111990000001</v>
      </c>
      <c r="BV48" s="11">
        <v>1500.000978</v>
      </c>
      <c r="BW48" s="11">
        <v>3.7824999999999998E-2</v>
      </c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>
        <v>150063.17996400001</v>
      </c>
      <c r="CT48" s="11">
        <v>0.37632900000000002</v>
      </c>
      <c r="CU48" s="11">
        <v>0.12784899999999999</v>
      </c>
      <c r="CV48" s="11">
        <v>2.8296000000000002E-2</v>
      </c>
      <c r="CW48" s="11">
        <v>3.2847000000000001E-2</v>
      </c>
      <c r="CX48" s="11">
        <v>99387.544787000006</v>
      </c>
      <c r="CY48" s="11">
        <v>0.112511</v>
      </c>
      <c r="CZ48" s="11">
        <v>48271.526728999997</v>
      </c>
      <c r="DA48" s="11">
        <v>1.8971999999999999E-2</v>
      </c>
      <c r="DB48" s="17">
        <v>32276.713371000002</v>
      </c>
      <c r="DC48" s="11">
        <v>8.4210999999999994E-2</v>
      </c>
      <c r="DD48" s="11">
        <v>5.9894999999999997E-2</v>
      </c>
      <c r="DE48" s="11">
        <v>0.12444</v>
      </c>
      <c r="DF48" s="11">
        <v>4.3555999999999997E-2</v>
      </c>
      <c r="DG48" s="11">
        <v>2.3716999999999998E-2</v>
      </c>
      <c r="DH48" s="11">
        <v>8.8249999999999995E-3</v>
      </c>
      <c r="DI48" s="11">
        <v>156971.51222599999</v>
      </c>
      <c r="DJ48" s="11">
        <v>0.75671699999999997</v>
      </c>
      <c r="DK48" s="11">
        <v>0.335401</v>
      </c>
      <c r="DL48" s="11">
        <v>6.3042000000000001E-2</v>
      </c>
      <c r="DM48" s="11">
        <v>7.2682999999999998E-2</v>
      </c>
      <c r="DN48" s="11">
        <v>99387.360407999993</v>
      </c>
      <c r="DO48" s="11">
        <v>0.39414100000000002</v>
      </c>
      <c r="DP48" s="11">
        <v>48271.467046999998</v>
      </c>
      <c r="DQ48" s="11">
        <v>4.2181000000000003E-2</v>
      </c>
      <c r="DR48" s="17">
        <v>22339.666805000001</v>
      </c>
      <c r="DS48" s="11">
        <v>0.187607</v>
      </c>
      <c r="DT48" s="11">
        <v>0.13805899999999999</v>
      </c>
      <c r="DU48" s="11">
        <v>0.29988300000000001</v>
      </c>
      <c r="DV48" s="11">
        <v>9.819E-2</v>
      </c>
      <c r="DW48" s="11">
        <v>5.3620000000000001E-2</v>
      </c>
      <c r="DX48" s="11">
        <v>1.9134000000000002E-2</v>
      </c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</row>
    <row r="49" spans="1:144" x14ac:dyDescent="0.3">
      <c r="A49">
        <v>47</v>
      </c>
      <c r="B49" s="6">
        <v>335000</v>
      </c>
      <c r="C49" s="6">
        <v>234396.696096</v>
      </c>
      <c r="D49" s="6">
        <v>234234.68632000001</v>
      </c>
      <c r="E49" s="6">
        <f>(C48-Tableau6[[#This Row],[Total cost (M€/y) HIGH]])/(Tableau6[[#This Row],[Solid biomass availability (GWh/y)]]-B48)*1000</f>
        <v>48.567366799997394</v>
      </c>
      <c r="F49" s="6" t="s">
        <v>37</v>
      </c>
      <c r="G49" s="10">
        <f t="shared" si="8"/>
        <v>48.851065692307351</v>
      </c>
      <c r="H49" s="6" t="s">
        <v>9</v>
      </c>
      <c r="I49" s="11" cm="1">
        <f t="array" ref="I49">INDEX(Tableau3[Production cost (M€/GWh)],
       MATCH(1,
             (Tableau3[Resource]=Tableau6[[#This Row],[Marginal supply commodity HIGH]])*(Tableau3[Scenario]="HIGH_2050"),
             0))*1000</f>
        <v>14.876070726438199</v>
      </c>
      <c r="J49" s="11" cm="1">
        <f t="array" ref="J49">INDEX(Tableau3[GHG impact (tCO2eq/MWh)],
       MATCH(1,
             (Tableau3[Resource]=Tableau6[[#This Row],[Marginal supply commodity HIGH]])*(Tableau3[Scenario]="HIGH_2050"),
             0))*1000</f>
        <v>13.9178738926524</v>
      </c>
      <c r="K49" s="11">
        <f>(Tableau6[[#This Row],[Total cost (M€/y) HIGH]]-Tableau6[[#This Row],[Total Cost (M€) HIGH +1Mt CO2]])</f>
        <v>162.00977599999169</v>
      </c>
      <c r="L49" s="22">
        <f>Tableau6[[#This Row],[Marginal Carbon cost (€/tCO2) HIGH]]*Tableau6[[#This Row],[Marginal emission factor (kgCO2/MWh) HIGH]]/1000</f>
        <v>2.2548316317447479</v>
      </c>
      <c r="M49" s="22">
        <f>(CS49-CS48)*AVERAGE($E$3,E49)/(B49-B48)</f>
        <v>25.683256283570039</v>
      </c>
      <c r="N49" s="22">
        <f>(CS49-CS48)*Tableau6[[#This Row],[Marginal value of solid biomass (€/MWh) HIGH]]/(B49-B48)</f>
        <v>1.6449903026649226</v>
      </c>
      <c r="O49" s="22">
        <f>(CS49-CS48)*Tableau6[[#This Row],[Marginal supply cost (€/MWh) HIGH]]/(B49-B48)</f>
        <v>0.5038566778289838</v>
      </c>
      <c r="P49" s="22">
        <f>Tableau6[[#This Row],[Marginal supply cost (€/MWh) HIGH]]+Tableau6[[#This Row],[Carbon cost of marginal biomass (€/MWh) HIGH]]</f>
        <v>17.130902358182947</v>
      </c>
      <c r="Q49" s="6">
        <v>238451.89108999999</v>
      </c>
      <c r="R49" s="6">
        <v>238330.71550399999</v>
      </c>
      <c r="S49" s="6">
        <f>(Q48-Tableau6[[#This Row],[Total cost (M€/y) MED]])/(Tableau6[[#This Row],[Solid biomass availability (GWh/y)]]-B48)*1000</f>
        <v>-2.2096079999988434</v>
      </c>
      <c r="X49" s="10" t="e" cm="1">
        <f t="array" ref="X49">INDEX(Tableau3[GHG impact (tCO2eq/MWh)],
       MATCH(1,
             (Tableau3[Resource]=Tableau6[[#This Row],[Marginal supply commodity MED]])*(Tableau3[Scenario]="MED_2050"),
             0))*1000</f>
        <v>#N/A</v>
      </c>
      <c r="Y49" s="10">
        <f>Tableau6[[#This Row],[Total cost (M€/y) MED]]-Tableau6[[#This Row],[Total cost (M€/y) MED +1Mt CO2]]</f>
        <v>121.17558599999757</v>
      </c>
      <c r="Z49" s="10" t="e">
        <f>Tableau6[[#This Row],[Marginal Carbon cost (€/tCO2) MED]]*Tableau6[[#This Row],[Marginal emission factor (kgCO2/MWh)]]/1000</f>
        <v>#N/A</v>
      </c>
      <c r="AA49" s="10" t="e">
        <f>Tableau6[[#This Row],[Carbon cost of marginal biomass (€/MWh) MED]]+Tableau6[[#This Row],[Marginal supply cost (€/MWh) MED]]</f>
        <v>#N/A</v>
      </c>
      <c r="AH49" s="15">
        <v>6.5934999999999994E-2</v>
      </c>
      <c r="AI49" s="16">
        <v>52999.992661999997</v>
      </c>
      <c r="AJ49" s="15">
        <v>0.12778200000000001</v>
      </c>
      <c r="AK49" s="17">
        <v>86197.392586999995</v>
      </c>
      <c r="AL49" s="15">
        <v>0.13361600000000001</v>
      </c>
      <c r="AM49" s="16">
        <v>34138.886868000001</v>
      </c>
      <c r="AN49" s="16">
        <v>44388.883645000002</v>
      </c>
      <c r="AO49" s="16">
        <v>35431.343761999997</v>
      </c>
      <c r="AP49" s="16">
        <v>12472.221431</v>
      </c>
      <c r="AQ49" s="15">
        <v>8.9634000000000005E-2</v>
      </c>
      <c r="AR49" s="16">
        <v>40332.919634999998</v>
      </c>
      <c r="AS49" s="15">
        <v>6.1274000000000002E-2</v>
      </c>
      <c r="AT49" s="16">
        <v>88.832373000000004</v>
      </c>
      <c r="AU49" s="16">
        <v>8833.3329429999994</v>
      </c>
      <c r="AV49" s="16">
        <v>15166.666440000001</v>
      </c>
      <c r="AW49" s="15">
        <v>3.1466000000000001E-2</v>
      </c>
      <c r="AX49" s="16">
        <v>504.146748</v>
      </c>
      <c r="AY49" s="16">
        <v>4444.4444519999997</v>
      </c>
      <c r="AZ49" s="15">
        <v>9.5584000000000002E-2</v>
      </c>
      <c r="BA49" s="15">
        <v>0.29041699999999998</v>
      </c>
      <c r="BB49" s="15" t="e">
        <v>#N/A</v>
      </c>
      <c r="BC49" s="11">
        <v>54.987347</v>
      </c>
      <c r="BD49" s="11">
        <v>36555.556756999998</v>
      </c>
      <c r="BE49" s="11">
        <v>194.445628</v>
      </c>
      <c r="BF49" s="11">
        <v>34138.484471000003</v>
      </c>
      <c r="BG49" s="11">
        <v>77250.000606000001</v>
      </c>
      <c r="BH49" s="11">
        <v>28361.112277</v>
      </c>
      <c r="BI49" s="11">
        <v>12555.556723</v>
      </c>
      <c r="BJ49" s="11">
        <v>14172.545628</v>
      </c>
      <c r="BK49" s="11">
        <v>6388.890077</v>
      </c>
      <c r="BL49" s="11">
        <v>30638.889706999998</v>
      </c>
      <c r="BM49" s="11">
        <v>31515.362358999999</v>
      </c>
      <c r="BN49" s="11">
        <v>55.556719999999999</v>
      </c>
      <c r="BO49" s="11">
        <v>44.417923000000002</v>
      </c>
      <c r="BP49" s="11">
        <v>4222.2234239999998</v>
      </c>
      <c r="BQ49" s="11">
        <v>6055.5567270000001</v>
      </c>
      <c r="BR49" s="11">
        <v>888.88964599999997</v>
      </c>
      <c r="BS49" s="11">
        <v>268.87901099999999</v>
      </c>
      <c r="BT49" s="11">
        <v>1722.223389</v>
      </c>
      <c r="BU49" s="11">
        <v>32111.112400000002</v>
      </c>
      <c r="BV49" s="11">
        <v>1500.001098</v>
      </c>
      <c r="BW49" s="17">
        <v>4.6558000000000002E-2</v>
      </c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>
        <v>150232.53136299999</v>
      </c>
      <c r="CT49" s="11">
        <v>0.42997000000000002</v>
      </c>
      <c r="CU49" s="11">
        <v>0.137937</v>
      </c>
      <c r="CV49" s="11">
        <v>3.2571000000000003E-2</v>
      </c>
      <c r="CW49" s="11">
        <v>3.7117999999999998E-2</v>
      </c>
      <c r="CX49" s="11">
        <v>99387.509466999996</v>
      </c>
      <c r="CY49" s="11">
        <v>0.12221</v>
      </c>
      <c r="CZ49" s="11">
        <v>48271.502329000003</v>
      </c>
      <c r="DA49" s="11">
        <v>2.2714999999999999E-2</v>
      </c>
      <c r="DB49" s="17">
        <v>37107.281196000004</v>
      </c>
      <c r="DC49" s="11">
        <v>9.2952999999999994E-2</v>
      </c>
      <c r="DD49" s="11">
        <v>7.1473999999999996E-2</v>
      </c>
      <c r="DE49" s="11">
        <v>0.14352599999999999</v>
      </c>
      <c r="DF49" s="11">
        <v>5.2422000000000003E-2</v>
      </c>
      <c r="DG49" s="11">
        <v>2.7961E-2</v>
      </c>
      <c r="DH49" s="11">
        <v>1.0609E-2</v>
      </c>
      <c r="DI49" s="11">
        <v>156971.632102</v>
      </c>
      <c r="DJ49" s="11">
        <v>1.0888949999999999</v>
      </c>
      <c r="DK49" s="11">
        <v>0.37763200000000002</v>
      </c>
      <c r="DL49" s="11">
        <v>8.3528000000000005E-2</v>
      </c>
      <c r="DM49" s="11">
        <v>9.5910999999999996E-2</v>
      </c>
      <c r="DN49" s="11">
        <v>99387.282982999997</v>
      </c>
      <c r="DO49" s="11">
        <v>0.40237699999999998</v>
      </c>
      <c r="DP49" s="11">
        <v>48271.372436999998</v>
      </c>
      <c r="DQ49" s="11">
        <v>5.8694999999999997E-2</v>
      </c>
      <c r="DR49" s="11">
        <v>22339.030832</v>
      </c>
      <c r="DS49" s="11">
        <v>0.25122100000000003</v>
      </c>
      <c r="DT49" s="11">
        <v>0.18599299999999999</v>
      </c>
      <c r="DU49" s="11">
        <v>0.367143</v>
      </c>
      <c r="DV49" s="11">
        <v>0.14084199999999999</v>
      </c>
      <c r="DW49" s="11">
        <v>7.3486999999999997E-2</v>
      </c>
      <c r="DX49" s="11">
        <v>2.6556E-2</v>
      </c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</row>
    <row r="50" spans="1:144" x14ac:dyDescent="0.3">
      <c r="A50">
        <v>48</v>
      </c>
      <c r="B50" s="6">
        <v>340000</v>
      </c>
      <c r="C50" s="6">
        <v>234150.845141</v>
      </c>
      <c r="D50" s="6">
        <v>233988.221257</v>
      </c>
      <c r="E50" s="6">
        <f>(C49-Tableau6[[#This Row],[Total cost (M€/y) HIGH]])/(Tableau6[[#This Row],[Solid biomass availability (GWh/y)]]-B49)*1000</f>
        <v>49.170191000000344</v>
      </c>
      <c r="F50" s="6" t="s">
        <v>37</v>
      </c>
      <c r="G50" s="10">
        <f t="shared" si="8"/>
        <v>48.851065692307351</v>
      </c>
      <c r="H50" s="6" t="s">
        <v>9</v>
      </c>
      <c r="I50" s="11" cm="1">
        <f t="array" ref="I50">INDEX(Tableau3[Production cost (M€/GWh)],
       MATCH(1,
             (Tableau3[Resource]=Tableau6[[#This Row],[Marginal supply commodity HIGH]])*(Tableau3[Scenario]="HIGH_2050"),
             0))*1000</f>
        <v>14.876070726438199</v>
      </c>
      <c r="J50" s="11" cm="1">
        <f t="array" ref="J50">INDEX(Tableau3[GHG impact (tCO2eq/MWh)],
       MATCH(1,
             (Tableau3[Resource]=Tableau6[[#This Row],[Marginal supply commodity HIGH]])*(Tableau3[Scenario]="HIGH_2050"),
             0))*1000</f>
        <v>13.9178738926524</v>
      </c>
      <c r="K50" s="11">
        <f>(Tableau6[[#This Row],[Total cost (M€/y) HIGH]]-Tableau6[[#This Row],[Total Cost (M€) HIGH +1Mt CO2]])</f>
        <v>162.62388400000054</v>
      </c>
      <c r="L50" s="22">
        <f>Tableau6[[#This Row],[Marginal Carbon cost (€/tCO2) HIGH]]*Tableau6[[#This Row],[Marginal emission factor (kgCO2/MWh) HIGH]]/1000</f>
        <v>2.2633787094453401</v>
      </c>
      <c r="M50" s="22">
        <f>(CS50-CS49)*AVERAGE($E$3,E50)/(B50-B49)</f>
        <v>27.241583287732787</v>
      </c>
      <c r="N50" s="22">
        <f>(CS50-CS49)*Tableau6[[#This Row],[Marginal value of solid biomass (€/MWh) HIGH]]/(B50-B49)</f>
        <v>1.7657545937781913</v>
      </c>
      <c r="O50" s="22">
        <f>(CS50-CS49)*Tableau6[[#This Row],[Marginal supply cost (€/MWh) HIGH]]/(B50-B49)</f>
        <v>0.53421574511633163</v>
      </c>
      <c r="P50" s="22">
        <f>Tableau6[[#This Row],[Marginal supply cost (€/MWh) HIGH]]+Tableau6[[#This Row],[Carbon cost of marginal biomass (€/MWh) HIGH]]</f>
        <v>17.139449435883538</v>
      </c>
      <c r="Q50" s="6">
        <v>238445.92582900001</v>
      </c>
      <c r="R50" s="6">
        <v>238303.76454900001</v>
      </c>
      <c r="S50" s="6">
        <f>(Q49-Tableau6[[#This Row],[Total cost (M€/y) MED]])/(Tableau6[[#This Row],[Solid biomass availability (GWh/y)]]-B49)*1000</f>
        <v>1.1930521999951453</v>
      </c>
      <c r="X50" s="10" t="e" cm="1">
        <f t="array" ref="X50">INDEX(Tableau3[GHG impact (tCO2eq/MWh)],
       MATCH(1,
             (Tableau3[Resource]=Tableau6[[#This Row],[Marginal supply commodity MED]])*(Tableau3[Scenario]="MED_2050"),
             0))*1000</f>
        <v>#N/A</v>
      </c>
      <c r="Y50" s="10">
        <f>Tableau6[[#This Row],[Total cost (M€/y) MED]]-Tableau6[[#This Row],[Total cost (M€/y) MED +1Mt CO2]]</f>
        <v>142.16128000000026</v>
      </c>
      <c r="Z50" s="10" t="e">
        <f>Tableau6[[#This Row],[Marginal Carbon cost (€/tCO2) MED]]*Tableau6[[#This Row],[Marginal emission factor (kgCO2/MWh)]]/1000</f>
        <v>#N/A</v>
      </c>
      <c r="AA50" s="10" t="e">
        <f>Tableau6[[#This Row],[Carbon cost of marginal biomass (€/MWh) MED]]+Tableau6[[#This Row],[Marginal supply cost (€/MWh) MED]]</f>
        <v>#N/A</v>
      </c>
      <c r="AH50" s="15">
        <v>0.24753600000000001</v>
      </c>
      <c r="AI50" s="16">
        <v>52999.996324</v>
      </c>
      <c r="AJ50" s="15">
        <v>0.29019699999999998</v>
      </c>
      <c r="AK50" s="17">
        <v>91196.305573000005</v>
      </c>
      <c r="AL50" s="15">
        <v>0.19702</v>
      </c>
      <c r="AM50" s="16">
        <v>34138.887569999999</v>
      </c>
      <c r="AN50" s="16">
        <v>44388.888472999999</v>
      </c>
      <c r="AO50" s="16">
        <v>35431.344163000002</v>
      </c>
      <c r="AP50" s="16">
        <v>12472.221535999999</v>
      </c>
      <c r="AQ50" s="15">
        <v>0.12887199999999999</v>
      </c>
      <c r="AR50" s="16">
        <v>40333.000051000003</v>
      </c>
      <c r="AS50" s="15">
        <v>0.13441700000000001</v>
      </c>
      <c r="AT50" s="16">
        <v>88.831317999999996</v>
      </c>
      <c r="AU50" s="16">
        <v>8833.3332190000001</v>
      </c>
      <c r="AV50" s="16">
        <v>15166.666775</v>
      </c>
      <c r="AW50" s="15">
        <v>4.5898000000000001E-2</v>
      </c>
      <c r="AX50" s="16">
        <v>504.14626199999998</v>
      </c>
      <c r="AY50" s="16">
        <v>4444.4448549999997</v>
      </c>
      <c r="AZ50" s="15">
        <v>0.13761300000000001</v>
      </c>
      <c r="BA50" s="15">
        <v>0.704129</v>
      </c>
      <c r="BB50" s="15" t="e">
        <v>#N/A</v>
      </c>
      <c r="BC50" s="11">
        <v>54.988720999999998</v>
      </c>
      <c r="BD50" s="11">
        <v>36555.558292000002</v>
      </c>
      <c r="BE50" s="11">
        <v>194.44698500000001</v>
      </c>
      <c r="BF50" s="11">
        <v>34138.486070999999</v>
      </c>
      <c r="BG50" s="11">
        <v>77250.002821999995</v>
      </c>
      <c r="BH50" s="11">
        <v>28361.113846</v>
      </c>
      <c r="BI50" s="11">
        <v>12555.558185</v>
      </c>
      <c r="BJ50" s="11">
        <v>14172.547119999999</v>
      </c>
      <c r="BK50" s="11">
        <v>6388.8913229999998</v>
      </c>
      <c r="BL50" s="11">
        <v>30638.891770999999</v>
      </c>
      <c r="BM50" s="11">
        <v>31515.363552999999</v>
      </c>
      <c r="BN50" s="11">
        <v>55.558059</v>
      </c>
      <c r="BO50" s="11">
        <v>44.419293000000003</v>
      </c>
      <c r="BP50" s="11">
        <v>4222.224647</v>
      </c>
      <c r="BQ50" s="11">
        <v>6055.558129</v>
      </c>
      <c r="BR50" s="11">
        <v>888.888645</v>
      </c>
      <c r="BS50" s="11">
        <v>268.880267</v>
      </c>
      <c r="BT50" s="11">
        <v>1722.2247990000001</v>
      </c>
      <c r="BU50" s="11">
        <v>32111.113711999998</v>
      </c>
      <c r="BV50" s="11">
        <v>1500.0025009999999</v>
      </c>
      <c r="BW50" s="17">
        <v>6.5396999999999997E-2</v>
      </c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>
        <v>150412.086756</v>
      </c>
      <c r="CT50" s="11">
        <v>0.64998500000000003</v>
      </c>
      <c r="CU50" s="11">
        <v>0.214619</v>
      </c>
      <c r="CV50" s="11">
        <v>4.7286000000000002E-2</v>
      </c>
      <c r="CW50" s="11">
        <v>5.5896000000000001E-2</v>
      </c>
      <c r="CX50" s="11">
        <v>99387.431261999998</v>
      </c>
      <c r="CY50" s="11">
        <v>0.169431</v>
      </c>
      <c r="CZ50" s="11">
        <v>48271.441688999999</v>
      </c>
      <c r="DA50" s="11">
        <v>3.2086999999999997E-2</v>
      </c>
      <c r="DB50" s="17">
        <v>41927.308633000001</v>
      </c>
      <c r="DC50" s="11">
        <v>0.14305300000000001</v>
      </c>
      <c r="DD50" s="11">
        <v>9.955E-2</v>
      </c>
      <c r="DE50" s="11">
        <v>0.206014</v>
      </c>
      <c r="DF50" s="11">
        <v>7.6133000000000006E-2</v>
      </c>
      <c r="DG50" s="11">
        <v>3.9528000000000001E-2</v>
      </c>
      <c r="DH50" s="11">
        <v>1.5285999999999999E-2</v>
      </c>
      <c r="DI50" s="11">
        <v>156971.57967499999</v>
      </c>
      <c r="DJ50" s="11">
        <v>0.80718000000000001</v>
      </c>
      <c r="DK50" s="11">
        <v>0.33556200000000003</v>
      </c>
      <c r="DL50" s="11">
        <v>7.0008000000000001E-2</v>
      </c>
      <c r="DM50" s="11">
        <v>8.3586999999999995E-2</v>
      </c>
      <c r="DN50" s="11">
        <v>99387.351475999996</v>
      </c>
      <c r="DO50" s="11">
        <v>0.33701999999999999</v>
      </c>
      <c r="DP50" s="11">
        <v>48271.456778</v>
      </c>
      <c r="DQ50" s="11">
        <v>5.0642E-2</v>
      </c>
      <c r="DR50" s="11">
        <v>22339.504276</v>
      </c>
      <c r="DS50" s="11">
        <v>0.21248700000000001</v>
      </c>
      <c r="DT50" s="11">
        <v>0.155996</v>
      </c>
      <c r="DU50" s="11">
        <v>0.34894199999999997</v>
      </c>
      <c r="DV50" s="11">
        <v>0.11615499999999999</v>
      </c>
      <c r="DW50" s="11">
        <v>6.3464999999999994E-2</v>
      </c>
      <c r="DX50" s="11">
        <v>2.3657000000000001E-2</v>
      </c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</row>
    <row r="51" spans="1:144" x14ac:dyDescent="0.3">
      <c r="A51">
        <v>49</v>
      </c>
      <c r="B51" s="6">
        <v>345000</v>
      </c>
      <c r="C51" s="6">
        <v>233911.35823000001</v>
      </c>
      <c r="D51" s="6">
        <v>233743.12296199999</v>
      </c>
      <c r="E51" s="6">
        <f>(C50-Tableau6[[#This Row],[Total cost (M€/y) HIGH]])/(Tableau6[[#This Row],[Solid biomass availability (GWh/y)]]-B50)*1000</f>
        <v>47.897382199997082</v>
      </c>
      <c r="F51" s="6" t="s">
        <v>37</v>
      </c>
      <c r="G51" s="10">
        <f t="shared" si="8"/>
        <v>48.851065692307351</v>
      </c>
      <c r="H51" s="6" t="s">
        <v>9</v>
      </c>
      <c r="I51" s="11" cm="1">
        <f t="array" ref="I51">INDEX(Tableau3[Production cost (M€/GWh)],
       MATCH(1,
             (Tableau3[Resource]=Tableau6[[#This Row],[Marginal supply commodity HIGH]])*(Tableau3[Scenario]="HIGH_2050"),
             0))*1000</f>
        <v>14.876070726438199</v>
      </c>
      <c r="J51" s="11" cm="1">
        <f t="array" ref="J51">INDEX(Tableau3[GHG impact (tCO2eq/MWh)],
       MATCH(1,
             (Tableau3[Resource]=Tableau6[[#This Row],[Marginal supply commodity HIGH]])*(Tableau3[Scenario]="HIGH_2050"),
             0))*1000</f>
        <v>13.9178738926524</v>
      </c>
      <c r="K51" s="11">
        <f>(Tableau6[[#This Row],[Total cost (M€/y) HIGH]]-Tableau6[[#This Row],[Total Cost (M€) HIGH +1Mt CO2]])</f>
        <v>168.23526800001855</v>
      </c>
      <c r="L51" s="22">
        <f>Tableau6[[#This Row],[Marginal Carbon cost (€/tCO2) HIGH]]*Tableau6[[#This Row],[Marginal emission factor (kgCO2/MWh) HIGH]]/1000</f>
        <v>2.341477244320838</v>
      </c>
      <c r="M51" s="22">
        <f>(CS51-CS50)*AVERAGE($E$3,E51)/(B51-B50)</f>
        <v>19.434236613532523</v>
      </c>
      <c r="N51" s="22">
        <f>(CS51-CS50)*Tableau6[[#This Row],[Marginal value of solid biomass (€/MWh) HIGH]]/(B51-B50)</f>
        <v>1.2281173498118965</v>
      </c>
      <c r="O51" s="22">
        <f>(CS51-CS50)*Tableau6[[#This Row],[Marginal supply cost (€/MWh) HIGH]]/(B51-B50)</f>
        <v>0.38143129576231261</v>
      </c>
      <c r="P51" s="22">
        <f>Tableau6[[#This Row],[Marginal supply cost (€/MWh) HIGH]]+Tableau6[[#This Row],[Carbon cost of marginal biomass (€/MWh) HIGH]]</f>
        <v>17.217547970759036</v>
      </c>
      <c r="Q51" s="6">
        <v>238458.58859199999</v>
      </c>
      <c r="R51" s="6">
        <v>238335.515399</v>
      </c>
      <c r="S51" s="6">
        <f>(Q50-Tableau6[[#This Row],[Total cost (M€/y) MED]])/(Tableau6[[#This Row],[Solid biomass availability (GWh/y)]]-B50)*1000</f>
        <v>-2.5325525999942329</v>
      </c>
      <c r="X51" s="10" t="e" cm="1">
        <f t="array" ref="X51">INDEX(Tableau3[GHG impact (tCO2eq/MWh)],
       MATCH(1,
             (Tableau3[Resource]=Tableau6[[#This Row],[Marginal supply commodity MED]])*(Tableau3[Scenario]="MED_2050"),
             0))*1000</f>
        <v>#N/A</v>
      </c>
      <c r="Y51" s="10">
        <f>Tableau6[[#This Row],[Total cost (M€/y) MED]]-Tableau6[[#This Row],[Total cost (M€/y) MED +1Mt CO2]]</f>
        <v>123.07319299998926</v>
      </c>
      <c r="Z51" s="10" t="e">
        <f>Tableau6[[#This Row],[Marginal Carbon cost (€/tCO2) MED]]*Tableau6[[#This Row],[Marginal emission factor (kgCO2/MWh)]]/1000</f>
        <v>#N/A</v>
      </c>
      <c r="AA51" s="10" t="e">
        <f>Tableau6[[#This Row],[Carbon cost of marginal biomass (€/MWh) MED]]+Tableau6[[#This Row],[Marginal supply cost (€/MWh) MED]]</f>
        <v>#N/A</v>
      </c>
      <c r="AH51" s="15">
        <v>0.25810300000000003</v>
      </c>
      <c r="AI51" s="16">
        <v>52999.998688</v>
      </c>
      <c r="AJ51" s="15">
        <v>0.37144100000000002</v>
      </c>
      <c r="AK51" s="17">
        <v>96195.110371000002</v>
      </c>
      <c r="AL51" s="15">
        <v>0.43605300000000002</v>
      </c>
      <c r="AM51" s="16">
        <v>34138.885212000001</v>
      </c>
      <c r="AN51" s="16">
        <v>44388.889261999997</v>
      </c>
      <c r="AO51" s="16">
        <v>35431.343207999998</v>
      </c>
      <c r="AP51" s="16">
        <v>12472.2204</v>
      </c>
      <c r="AQ51" s="15">
        <v>0.28614899999999999</v>
      </c>
      <c r="AR51" s="16">
        <v>40332.871606000001</v>
      </c>
      <c r="AS51" s="15">
        <v>0.149088</v>
      </c>
      <c r="AT51" s="16">
        <v>88.831462999999999</v>
      </c>
      <c r="AU51" s="16">
        <v>8833.332719</v>
      </c>
      <c r="AV51" s="16">
        <v>15166.666424999999</v>
      </c>
      <c r="AW51" s="15">
        <v>8.4009E-2</v>
      </c>
      <c r="AX51" s="16">
        <v>504.14629400000001</v>
      </c>
      <c r="AY51" s="16">
        <v>4444.4449619999996</v>
      </c>
      <c r="AZ51" s="15">
        <v>0.30525099999999999</v>
      </c>
      <c r="BA51" s="15">
        <v>1.2568170000000001</v>
      </c>
      <c r="BB51" s="15" t="e">
        <v>#N/A</v>
      </c>
      <c r="BC51" s="11">
        <v>54.985846000000002</v>
      </c>
      <c r="BD51" s="11">
        <v>36555.556473999997</v>
      </c>
      <c r="BE51" s="11">
        <v>194.44399999999999</v>
      </c>
      <c r="BF51" s="11">
        <v>34138.483472</v>
      </c>
      <c r="BG51" s="11">
        <v>77250.000885999994</v>
      </c>
      <c r="BH51" s="11">
        <v>28361.111134999999</v>
      </c>
      <c r="BI51" s="11">
        <v>12555.555162000001</v>
      </c>
      <c r="BJ51" s="11">
        <v>14172.543900999999</v>
      </c>
      <c r="BK51" s="11">
        <v>6388.8891130000002</v>
      </c>
      <c r="BL51" s="11">
        <v>30638.870795999999</v>
      </c>
      <c r="BM51" s="11">
        <v>31515.361375</v>
      </c>
      <c r="BN51" s="11">
        <v>55.554819999999999</v>
      </c>
      <c r="BO51" s="11">
        <v>44.416691999999998</v>
      </c>
      <c r="BP51" s="11">
        <v>4222.2224580000002</v>
      </c>
      <c r="BQ51" s="11">
        <v>6055.5549979999996</v>
      </c>
      <c r="BR51" s="11">
        <v>888.88195299999995</v>
      </c>
      <c r="BS51" s="11">
        <v>268.87821700000001</v>
      </c>
      <c r="BT51" s="11">
        <v>1722.2218720000001</v>
      </c>
      <c r="BU51" s="11">
        <v>32111.093101999999</v>
      </c>
      <c r="BV51" s="11">
        <v>1499.999397</v>
      </c>
      <c r="BW51" s="17">
        <v>0.141288</v>
      </c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>
        <v>150540.289728</v>
      </c>
      <c r="CT51" s="11">
        <v>1.3716299999999999</v>
      </c>
      <c r="CU51" s="11">
        <v>0.46289000000000002</v>
      </c>
      <c r="CV51" s="11">
        <v>0.10557900000000001</v>
      </c>
      <c r="CW51" s="11">
        <v>0.122019</v>
      </c>
      <c r="CX51" s="11">
        <v>99387.357006000006</v>
      </c>
      <c r="CY51" s="11">
        <v>0.46535199999999999</v>
      </c>
      <c r="CZ51" s="11">
        <v>48271.189985999998</v>
      </c>
      <c r="DA51" s="11">
        <v>7.1403999999999995E-2</v>
      </c>
      <c r="DB51" s="17">
        <v>46797.308703000002</v>
      </c>
      <c r="DC51" s="11">
        <v>0.30334299999999997</v>
      </c>
      <c r="DD51" s="11">
        <v>0.23073099999999999</v>
      </c>
      <c r="DE51" s="11">
        <v>0.46737099999999998</v>
      </c>
      <c r="DF51" s="11">
        <v>0.15642400000000001</v>
      </c>
      <c r="DG51" s="11">
        <v>9.1802999999999996E-2</v>
      </c>
      <c r="DH51" s="11">
        <v>3.4856999999999999E-2</v>
      </c>
      <c r="DI51" s="11">
        <v>156971.61265900001</v>
      </c>
      <c r="DJ51" s="11">
        <v>0.87043300000000001</v>
      </c>
      <c r="DK51" s="11">
        <v>0.31760699999999997</v>
      </c>
      <c r="DL51" s="11">
        <v>7.0619000000000001E-2</v>
      </c>
      <c r="DM51" s="11">
        <v>8.2804000000000003E-2</v>
      </c>
      <c r="DN51" s="11">
        <v>99387.324735999995</v>
      </c>
      <c r="DO51" s="11">
        <v>0.51445200000000002</v>
      </c>
      <c r="DP51" s="11">
        <v>48271.395254000003</v>
      </c>
      <c r="DQ51" s="11">
        <v>4.9454999999999999E-2</v>
      </c>
      <c r="DR51" s="11">
        <v>22339.273748</v>
      </c>
      <c r="DS51" s="11">
        <v>0.212175</v>
      </c>
      <c r="DT51" s="11">
        <v>0.15489700000000001</v>
      </c>
      <c r="DU51" s="11">
        <v>0.31687300000000002</v>
      </c>
      <c r="DV51" s="11">
        <v>0.11373900000000001</v>
      </c>
      <c r="DW51" s="11">
        <v>6.4156000000000005E-2</v>
      </c>
      <c r="DX51" s="11">
        <v>2.3616000000000002E-2</v>
      </c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</row>
    <row r="52" spans="1:144" x14ac:dyDescent="0.3">
      <c r="A52">
        <v>50</v>
      </c>
      <c r="B52" s="6">
        <v>350000</v>
      </c>
      <c r="C52" s="6">
        <v>233690.116358</v>
      </c>
      <c r="D52" s="6">
        <v>233504.652734</v>
      </c>
      <c r="E52" s="6">
        <f>(C51-Tableau6[[#This Row],[Total cost (M€/y) HIGH]])/(Tableau6[[#This Row],[Solid biomass availability (GWh/y)]]-B51)*1000</f>
        <v>44.248374400002646</v>
      </c>
      <c r="F52" s="6" t="s">
        <v>37</v>
      </c>
      <c r="G52" s="10">
        <f t="shared" si="8"/>
        <v>48.851065692307351</v>
      </c>
      <c r="H52" s="6" t="s">
        <v>9</v>
      </c>
      <c r="I52" s="11" cm="1">
        <f t="array" ref="I52">INDEX(Tableau3[Production cost (M€/GWh)],
       MATCH(1,
             (Tableau3[Resource]=Tableau6[[#This Row],[Marginal supply commodity HIGH]])*(Tableau3[Scenario]="HIGH_2050"),
             0))*1000</f>
        <v>14.876070726438199</v>
      </c>
      <c r="J52" s="11" cm="1">
        <f t="array" ref="J52">INDEX(Tableau3[GHG impact (tCO2eq/MWh)],
       MATCH(1,
             (Tableau3[Resource]=Tableau6[[#This Row],[Marginal supply commodity HIGH]])*(Tableau3[Scenario]="HIGH_2050"),
             0))*1000</f>
        <v>13.9178738926524</v>
      </c>
      <c r="K52" s="11">
        <f>(Tableau6[[#This Row],[Total cost (M€/y) HIGH]]-Tableau6[[#This Row],[Total Cost (M€) HIGH +1Mt CO2]])</f>
        <v>185.46362399999634</v>
      </c>
      <c r="L52" s="22">
        <f>Tableau6[[#This Row],[Marginal Carbon cost (€/tCO2) HIGH]]*Tableau6[[#This Row],[Marginal emission factor (kgCO2/MWh) HIGH]]/1000</f>
        <v>2.5812593305062501</v>
      </c>
      <c r="M52" s="22">
        <f>(CS52-CS51)*AVERAGE($E$3,E52)/(B52-B51)</f>
        <v>19.920243740571522</v>
      </c>
      <c r="N52" s="22">
        <f>(CS52-CS51)*Tableau6[[#This Row],[Marginal value of solid biomass (€/MWh) HIGH]]/(B52-B51)</f>
        <v>1.165733423700644</v>
      </c>
      <c r="O52" s="22">
        <f>(CS52-CS51)*Tableau6[[#This Row],[Marginal supply cost (€/MWh) HIGH]]/(B52-B51)</f>
        <v>0.39191344527998506</v>
      </c>
      <c r="P52" s="22">
        <f>Tableau6[[#This Row],[Marginal supply cost (€/MWh) HIGH]]+Tableau6[[#This Row],[Carbon cost of marginal biomass (€/MWh) HIGH]]</f>
        <v>17.45733005694445</v>
      </c>
      <c r="Q52" s="6">
        <v>238442.411464</v>
      </c>
      <c r="R52" s="6">
        <v>238307.11944400001</v>
      </c>
      <c r="S52" s="6">
        <f>(Q51-Tableau6[[#This Row],[Total cost (M€/y) MED]])/(Tableau6[[#This Row],[Solid biomass availability (GWh/y)]]-B51)*1000</f>
        <v>3.2354255999962334</v>
      </c>
      <c r="X52" s="10" t="e" cm="1">
        <f t="array" ref="X52">INDEX(Tableau3[GHG impact (tCO2eq/MWh)],
       MATCH(1,
             (Tableau3[Resource]=Tableau6[[#This Row],[Marginal supply commodity MED]])*(Tableau3[Scenario]="MED_2050"),
             0))*1000</f>
        <v>#N/A</v>
      </c>
      <c r="Y52" s="10">
        <f>Tableau6[[#This Row],[Total cost (M€/y) MED]]-Tableau6[[#This Row],[Total cost (M€/y) MED +1Mt CO2]]</f>
        <v>135.2920199999935</v>
      </c>
      <c r="Z52" s="10" t="e">
        <f>Tableau6[[#This Row],[Marginal Carbon cost (€/tCO2) MED]]*Tableau6[[#This Row],[Marginal emission factor (kgCO2/MWh)]]/1000</f>
        <v>#N/A</v>
      </c>
      <c r="AA52" s="10" t="e">
        <f>Tableau6[[#This Row],[Carbon cost of marginal biomass (€/MWh) MED]]+Tableau6[[#This Row],[Marginal supply cost (€/MWh) MED]]</f>
        <v>#N/A</v>
      </c>
      <c r="AH52" s="15">
        <v>0.12636600000000001</v>
      </c>
      <c r="AI52" s="16">
        <v>52999.991158999997</v>
      </c>
      <c r="AJ52" s="15">
        <v>0.14504800000000001</v>
      </c>
      <c r="AK52" s="17">
        <v>101197.131434</v>
      </c>
      <c r="AL52" s="15">
        <v>0.12551399999999999</v>
      </c>
      <c r="AM52" s="16">
        <v>34138.888059999997</v>
      </c>
      <c r="AN52" s="16">
        <v>44388.888189999998</v>
      </c>
      <c r="AO52" s="16">
        <v>35431.344365999998</v>
      </c>
      <c r="AP52" s="16">
        <v>12472.221949000001</v>
      </c>
      <c r="AQ52" s="15">
        <v>8.4058999999999995E-2</v>
      </c>
      <c r="AR52" s="16">
        <v>40332.975896999997</v>
      </c>
      <c r="AS52" s="15">
        <v>6.7507999999999999E-2</v>
      </c>
      <c r="AT52" s="16">
        <v>88.832395000000005</v>
      </c>
      <c r="AU52" s="16">
        <v>8833.3334259999992</v>
      </c>
      <c r="AV52" s="16">
        <v>15166.666878</v>
      </c>
      <c r="AW52" s="15">
        <v>3.2396000000000001E-2</v>
      </c>
      <c r="AX52" s="16">
        <v>504.146995</v>
      </c>
      <c r="AY52" s="16">
        <v>4444.4448609999999</v>
      </c>
      <c r="AZ52" s="15">
        <v>8.9654999999999999E-2</v>
      </c>
      <c r="BA52" s="15">
        <v>0.43580200000000002</v>
      </c>
      <c r="BB52" s="15" t="e">
        <v>#N/A</v>
      </c>
      <c r="BC52" s="11">
        <v>54.987614999999998</v>
      </c>
      <c r="BD52" s="11">
        <v>36555.555700999997</v>
      </c>
      <c r="BE52" s="11">
        <v>194.44504699999999</v>
      </c>
      <c r="BF52" s="11">
        <v>34138.480864999998</v>
      </c>
      <c r="BG52" s="11">
        <v>77249.995223999998</v>
      </c>
      <c r="BH52" s="11">
        <v>28361.109098000001</v>
      </c>
      <c r="BI52" s="11">
        <v>12555.553910000001</v>
      </c>
      <c r="BJ52" s="11">
        <v>14172.542611999999</v>
      </c>
      <c r="BK52" s="11">
        <v>6388.8894490000002</v>
      </c>
      <c r="BL52" s="11">
        <v>30638.892339000002</v>
      </c>
      <c r="BM52" s="11">
        <v>31515.364416</v>
      </c>
      <c r="BN52" s="11">
        <v>55.556446000000001</v>
      </c>
      <c r="BO52" s="11">
        <v>44.418584000000003</v>
      </c>
      <c r="BP52" s="11">
        <v>4222.2231019999999</v>
      </c>
      <c r="BQ52" s="11">
        <v>6055.5543779999998</v>
      </c>
      <c r="BR52" s="11">
        <v>888.89218500000004</v>
      </c>
      <c r="BS52" s="11">
        <v>268.87988100000001</v>
      </c>
      <c r="BT52" s="11">
        <v>1722.2223429999999</v>
      </c>
      <c r="BU52" s="11">
        <v>32111.104411</v>
      </c>
      <c r="BV52" s="11">
        <v>1499.9993939999999</v>
      </c>
      <c r="BW52" s="17">
        <v>4.2441E-2</v>
      </c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>
        <v>150672.015858</v>
      </c>
      <c r="CT52" s="11">
        <v>0.43652999999999997</v>
      </c>
      <c r="CU52" s="11">
        <v>0.17011999999999999</v>
      </c>
      <c r="CV52" s="11">
        <v>3.1958E-2</v>
      </c>
      <c r="CW52" s="11">
        <v>3.8379999999999997E-2</v>
      </c>
      <c r="CX52" s="11">
        <v>99387.492083999998</v>
      </c>
      <c r="CY52" s="11">
        <v>0.160801</v>
      </c>
      <c r="CZ52" s="11">
        <v>48271.522061999996</v>
      </c>
      <c r="DA52" s="11">
        <v>2.1464E-2</v>
      </c>
      <c r="DB52" s="17">
        <v>51667.727189999998</v>
      </c>
      <c r="DC52" s="11">
        <v>0.100065</v>
      </c>
      <c r="DD52" s="11">
        <v>6.7846000000000004E-2</v>
      </c>
      <c r="DE52" s="11">
        <v>0.14341899999999999</v>
      </c>
      <c r="DF52" s="11">
        <v>4.9071999999999998E-2</v>
      </c>
      <c r="DG52" s="11">
        <v>2.7349999999999999E-2</v>
      </c>
      <c r="DH52" s="11">
        <v>1.0206E-2</v>
      </c>
      <c r="DI52" s="11">
        <v>156971.71946299999</v>
      </c>
      <c r="DJ52" s="11">
        <v>1.6594070000000001</v>
      </c>
      <c r="DK52" s="11">
        <v>0.63530900000000001</v>
      </c>
      <c r="DL52" s="11">
        <v>0.131413</v>
      </c>
      <c r="DM52" s="11">
        <v>0.15506500000000001</v>
      </c>
      <c r="DN52" s="11">
        <v>99387.239117000005</v>
      </c>
      <c r="DO52" s="11">
        <v>0.75134599999999996</v>
      </c>
      <c r="DP52" s="11">
        <v>48271.198402000002</v>
      </c>
      <c r="DQ52" s="11">
        <v>8.838E-2</v>
      </c>
      <c r="DR52" s="11">
        <v>22337.239764999998</v>
      </c>
      <c r="DS52" s="11">
        <v>0.38600699999999999</v>
      </c>
      <c r="DT52" s="11">
        <v>0.29290300000000002</v>
      </c>
      <c r="DU52" s="11">
        <v>0.59880500000000003</v>
      </c>
      <c r="DV52" s="11">
        <v>0.19870099999999999</v>
      </c>
      <c r="DW52" s="11">
        <v>0.112956</v>
      </c>
      <c r="DX52" s="11">
        <v>4.1093999999999999E-2</v>
      </c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</row>
    <row r="53" spans="1:144" x14ac:dyDescent="0.3">
      <c r="A53">
        <v>51</v>
      </c>
      <c r="B53" s="6">
        <v>355000</v>
      </c>
      <c r="C53" s="6">
        <v>233445.53253699999</v>
      </c>
      <c r="D53" s="6">
        <v>233277.45730499999</v>
      </c>
      <c r="E53" s="6">
        <f>(C52-Tableau6[[#This Row],[Total cost (M€/y) HIGH]])/(Tableau6[[#This Row],[Solid biomass availability (GWh/y)]]-B52)*1000</f>
        <v>48.916764200001488</v>
      </c>
      <c r="F53" s="6" t="s">
        <v>37</v>
      </c>
      <c r="G53" s="10">
        <f t="shared" si="8"/>
        <v>48.851065692307351</v>
      </c>
      <c r="H53" s="6" t="s">
        <v>9</v>
      </c>
      <c r="I53" s="11" cm="1">
        <f t="array" ref="I53">INDEX(Tableau3[Production cost (M€/GWh)],
       MATCH(1,
             (Tableau3[Resource]=Tableau6[[#This Row],[Marginal supply commodity HIGH]])*(Tableau3[Scenario]="HIGH_2050"),
             0))*1000</f>
        <v>14.876070726438199</v>
      </c>
      <c r="J53" s="11" cm="1">
        <f t="array" ref="J53">INDEX(Tableau3[GHG impact (tCO2eq/MWh)],
       MATCH(1,
             (Tableau3[Resource]=Tableau6[[#This Row],[Marginal supply commodity HIGH]])*(Tableau3[Scenario]="HIGH_2050"),
             0))*1000</f>
        <v>13.9178738926524</v>
      </c>
      <c r="K53" s="11">
        <f>(Tableau6[[#This Row],[Total cost (M€/y) HIGH]]-Tableau6[[#This Row],[Total Cost (M€) HIGH +1Mt CO2]])</f>
        <v>168.07523200000287</v>
      </c>
      <c r="L53" s="22">
        <f>Tableau6[[#This Row],[Marginal Carbon cost (€/tCO2) HIGH]]*Tableau6[[#This Row],[Marginal emission factor (kgCO2/MWh) HIGH]]/1000</f>
        <v>2.3392498834543352</v>
      </c>
      <c r="M53" s="22">
        <f>(CS53-CS52)*AVERAGE($E$3,E53)/(B53-B52)</f>
        <v>20.294977856677306</v>
      </c>
      <c r="N53" s="22">
        <f>(CS53-CS52)*Tableau6[[#This Row],[Marginal value of solid biomass (€/MWh) HIGH]]/(B53-B52)</f>
        <v>1.3089255870686372</v>
      </c>
      <c r="O53" s="22">
        <f>(CS53-CS52)*Tableau6[[#This Row],[Marginal supply cost (€/MWh) HIGH]]/(B53-B52)</f>
        <v>0.39805718810969704</v>
      </c>
      <c r="P53" s="22">
        <f>Tableau6[[#This Row],[Marginal supply cost (€/MWh) HIGH]]+Tableau6[[#This Row],[Carbon cost of marginal biomass (€/MWh) HIGH]]</f>
        <v>17.215320609892533</v>
      </c>
      <c r="Y53" s="10">
        <f>Tableau6[[#This Row],[Total cost (M€/y) MED]]-Tableau6[[#This Row],[Total cost (M€/y) MED +1Mt CO2]]</f>
        <v>0</v>
      </c>
      <c r="Z53" s="10">
        <f>Tableau6[[#This Row],[Marginal Carbon cost (€/tCO2) MED]]*Tableau6[[#This Row],[Marginal emission factor (kgCO2/MWh)]]/1000</f>
        <v>0</v>
      </c>
      <c r="AA53" s="10">
        <f>Tableau6[[#This Row],[Carbon cost of marginal biomass (€/MWh) MED]]+Tableau6[[#This Row],[Marginal supply cost (€/MWh) MED]]</f>
        <v>0</v>
      </c>
      <c r="AH53" s="15">
        <v>0.11737</v>
      </c>
      <c r="AI53" s="16">
        <v>52999.998914999996</v>
      </c>
      <c r="AJ53" s="15">
        <v>0.17693600000000001</v>
      </c>
      <c r="AK53" s="17">
        <v>106196.728898</v>
      </c>
      <c r="AL53" s="15">
        <v>0.19779099999999999</v>
      </c>
      <c r="AM53" s="16">
        <v>34138.887198999997</v>
      </c>
      <c r="AN53" s="16">
        <v>44388.885418999998</v>
      </c>
      <c r="AO53" s="16">
        <v>35431.343840000001</v>
      </c>
      <c r="AP53" s="16">
        <v>12472.221262999999</v>
      </c>
      <c r="AQ53" s="15">
        <v>0.133746</v>
      </c>
      <c r="AR53" s="16">
        <v>40333.000177000002</v>
      </c>
      <c r="AS53" s="15">
        <v>8.1682000000000005E-2</v>
      </c>
      <c r="AT53" s="16">
        <v>88.831181999999998</v>
      </c>
      <c r="AU53" s="16">
        <v>8833.332907</v>
      </c>
      <c r="AV53" s="16">
        <v>15166.666439000001</v>
      </c>
      <c r="AW53" s="15">
        <v>4.4717E-2</v>
      </c>
      <c r="AX53" s="16">
        <v>504.14652000000001</v>
      </c>
      <c r="AY53" s="16">
        <v>4444.4445299999998</v>
      </c>
      <c r="AZ53" s="15">
        <v>0.14302699999999999</v>
      </c>
      <c r="BA53" s="15">
        <v>0.55610899999999996</v>
      </c>
      <c r="BB53" s="15">
        <v>7.1951000000000001E-2</v>
      </c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>
        <v>150805.80696300001</v>
      </c>
      <c r="CT53" s="11">
        <v>0.70678700000000005</v>
      </c>
      <c r="CU53" s="11">
        <v>0.23810700000000001</v>
      </c>
      <c r="CV53" s="11">
        <v>4.9342999999999998E-2</v>
      </c>
      <c r="CW53" s="11">
        <v>5.6225999999999998E-2</v>
      </c>
      <c r="CX53" s="11">
        <v>99387.445989</v>
      </c>
      <c r="CY53" s="11">
        <v>0.216226</v>
      </c>
      <c r="CZ53" s="11">
        <v>48271.429062000003</v>
      </c>
      <c r="DA53" s="11">
        <v>3.2697999999999998E-2</v>
      </c>
      <c r="DB53" s="17">
        <v>56533.424364999999</v>
      </c>
      <c r="DC53" s="11">
        <v>0.14521800000000001</v>
      </c>
      <c r="DD53" s="11">
        <v>0.110999</v>
      </c>
      <c r="DE53" s="11">
        <v>0.21672</v>
      </c>
      <c r="DF53" s="11">
        <v>7.6355000000000006E-2</v>
      </c>
      <c r="DG53" s="11">
        <v>4.0552999999999999E-2</v>
      </c>
      <c r="DH53" s="11">
        <v>1.5018E-2</v>
      </c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</row>
    <row r="54" spans="1:144" x14ac:dyDescent="0.3">
      <c r="A54">
        <v>52</v>
      </c>
      <c r="B54" s="6">
        <v>360000</v>
      </c>
      <c r="C54" s="6">
        <v>233220.80556400001</v>
      </c>
      <c r="D54" s="6">
        <v>233068.405597</v>
      </c>
      <c r="E54" s="6">
        <f>(C53-Tableau6[[#This Row],[Total cost (M€/y) HIGH]])/(Tableau6[[#This Row],[Solid biomass availability (GWh/y)]]-B53)*1000</f>
        <v>44.945394599996511</v>
      </c>
      <c r="F54" s="6" t="s">
        <v>37</v>
      </c>
      <c r="G54" s="10">
        <f t="shared" si="8"/>
        <v>48.851065692307351</v>
      </c>
      <c r="H54" s="6" t="s">
        <v>9</v>
      </c>
      <c r="I54" s="11" cm="1">
        <f t="array" ref="I54">INDEX(Tableau3[Production cost (M€/GWh)],
       MATCH(1,
             (Tableau3[Resource]=Tableau6[[#This Row],[Marginal supply commodity HIGH]])*(Tableau3[Scenario]="HIGH_2050"),
             0))*1000</f>
        <v>14.876070726438199</v>
      </c>
      <c r="J54" s="11" cm="1">
        <f t="array" ref="J54">INDEX(Tableau3[GHG impact (tCO2eq/MWh)],
       MATCH(1,
             (Tableau3[Resource]=Tableau6[[#This Row],[Marginal supply commodity HIGH]])*(Tableau3[Scenario]="HIGH_2050"),
             0))*1000</f>
        <v>13.9178738926524</v>
      </c>
      <c r="K54" s="11">
        <f>(Tableau6[[#This Row],[Total cost (M€/y) HIGH]]-Tableau6[[#This Row],[Total Cost (M€) HIGH +1Mt CO2]])</f>
        <v>152.39996700000484</v>
      </c>
      <c r="L54" s="22">
        <f>Tableau6[[#This Row],[Marginal Carbon cost (€/tCO2) HIGH]]*Tableau6[[#This Row],[Marginal emission factor (kgCO2/MWh) HIGH]]/1000</f>
        <v>2.1210835219504549</v>
      </c>
      <c r="M54" s="22">
        <f>(CS54-CS53)*AVERAGE($E$3,E54)/(B54-B53)</f>
        <v>18.140456529595514</v>
      </c>
      <c r="N54" s="22">
        <f>(CS54-CS53)*Tableau6[[#This Row],[Marginal value of solid biomass (€/MWh) HIGH]]/(B54-B53)</f>
        <v>1.0778059158546247</v>
      </c>
      <c r="O54" s="22">
        <f>(CS54-CS53)*Tableau6[[#This Row],[Marginal supply cost (€/MWh) HIGH]]/(B54-B53)</f>
        <v>0.35673325768571934</v>
      </c>
      <c r="P54" s="22">
        <f>Tableau6[[#This Row],[Marginal supply cost (€/MWh) HIGH]]+Tableau6[[#This Row],[Carbon cost of marginal biomass (€/MWh) HIGH]]</f>
        <v>16.997154248388654</v>
      </c>
      <c r="Y54" s="10">
        <f>Tableau6[[#This Row],[Total cost (M€/y) MED]]-Tableau6[[#This Row],[Total cost (M€/y) MED +1Mt CO2]]</f>
        <v>0</v>
      </c>
      <c r="Z54" s="10">
        <f>Tableau6[[#This Row],[Marginal Carbon cost (€/tCO2) MED]]*Tableau6[[#This Row],[Marginal emission factor (kgCO2/MWh)]]/1000</f>
        <v>0</v>
      </c>
      <c r="AA54" s="10">
        <f>Tableau6[[#This Row],[Carbon cost of marginal biomass (€/MWh) MED]]+Tableau6[[#This Row],[Marginal supply cost (€/MWh) MED]]</f>
        <v>0</v>
      </c>
      <c r="AH54" s="15">
        <v>0.237591</v>
      </c>
      <c r="AI54" s="16">
        <v>52999.999020000003</v>
      </c>
      <c r="AJ54" s="15">
        <v>0.283891</v>
      </c>
      <c r="AK54" s="17">
        <v>111196.34667</v>
      </c>
      <c r="AL54" s="15">
        <v>0.17139499999999999</v>
      </c>
      <c r="AM54" s="16">
        <v>34138.887407000002</v>
      </c>
      <c r="AN54" s="16">
        <v>44388.887411999996</v>
      </c>
      <c r="AO54" s="16">
        <v>35431.344007</v>
      </c>
      <c r="AP54" s="16">
        <v>12472.22143</v>
      </c>
      <c r="AQ54" s="15">
        <v>0.12692400000000001</v>
      </c>
      <c r="AR54" s="16">
        <v>40332.998878999999</v>
      </c>
      <c r="AS54" s="15">
        <v>0.12707199999999999</v>
      </c>
      <c r="AT54" s="16">
        <v>88.830860999999999</v>
      </c>
      <c r="AU54" s="16">
        <v>8833.3330260000002</v>
      </c>
      <c r="AV54" s="16">
        <v>15166.666553999999</v>
      </c>
      <c r="AW54" s="15">
        <v>3.9893999999999999E-2</v>
      </c>
      <c r="AX54" s="16">
        <v>504.146387</v>
      </c>
      <c r="AY54" s="16">
        <v>4444.4445990000004</v>
      </c>
      <c r="AZ54" s="15">
        <v>0.136682</v>
      </c>
      <c r="BA54" s="15">
        <v>0.71807799999999999</v>
      </c>
      <c r="BB54" s="15">
        <v>6.4130999999999994E-2</v>
      </c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>
        <v>150925.708671</v>
      </c>
      <c r="CT54" s="11">
        <v>90.676858999999993</v>
      </c>
      <c r="CU54" s="11">
        <v>0.38367699999999999</v>
      </c>
      <c r="CV54" s="11">
        <v>5.7507000000000003E-2</v>
      </c>
      <c r="CW54" s="11">
        <v>6.3664999999999999E-2</v>
      </c>
      <c r="CX54" s="11">
        <v>99387.497984000001</v>
      </c>
      <c r="CY54" s="11">
        <v>1.049288</v>
      </c>
      <c r="CZ54" s="11">
        <v>48236.240375000001</v>
      </c>
      <c r="DA54" s="11">
        <v>3.1656999999999998E-2</v>
      </c>
      <c r="DB54" s="17">
        <v>61357.661994000002</v>
      </c>
      <c r="DC54" s="11">
        <v>0.145096</v>
      </c>
      <c r="DD54" s="11">
        <v>0.13813</v>
      </c>
      <c r="DE54" s="11">
        <v>0.222437</v>
      </c>
      <c r="DF54" s="11">
        <v>7.8380000000000005E-2</v>
      </c>
      <c r="DG54" s="11">
        <v>4.3425999999999999E-2</v>
      </c>
      <c r="DH54" s="11">
        <v>1.2777999999999999E-2</v>
      </c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</row>
    <row r="55" spans="1:144" x14ac:dyDescent="0.3">
      <c r="A55">
        <v>53</v>
      </c>
      <c r="B55" s="6">
        <v>365000</v>
      </c>
      <c r="C55" s="6">
        <v>233013.550288</v>
      </c>
      <c r="D55" s="6">
        <v>232865.18978700001</v>
      </c>
      <c r="E55" s="6">
        <f>(C54-Tableau6[[#This Row],[Total cost (M€/y) HIGH]])/(Tableau6[[#This Row],[Solid biomass availability (GWh/y)]]-B54)*1000</f>
        <v>41.451055200002152</v>
      </c>
      <c r="F55" s="6" t="s">
        <v>29</v>
      </c>
      <c r="G55" s="10">
        <f>AVERAGE($E$55:$E$67)</f>
        <v>30.625052138461836</v>
      </c>
      <c r="H55" s="6" t="s">
        <v>9</v>
      </c>
      <c r="I55" s="11" cm="1">
        <f t="array" ref="I55">INDEX(Tableau3[Production cost (M€/GWh)],
       MATCH(1,
             (Tableau3[Resource]=Tableau6[[#This Row],[Marginal supply commodity HIGH]])*(Tableau3[Scenario]="HIGH_2050"),
             0))*1000</f>
        <v>14.876070726438199</v>
      </c>
      <c r="J55" s="11" cm="1">
        <f t="array" ref="J55">INDEX(Tableau3[GHG impact (tCO2eq/MWh)],
       MATCH(1,
             (Tableau3[Resource]=Tableau6[[#This Row],[Marginal supply commodity HIGH]])*(Tableau3[Scenario]="HIGH_2050"),
             0))*1000</f>
        <v>13.9178738926524</v>
      </c>
      <c r="K55" s="11">
        <f>(Tableau6[[#This Row],[Total cost (M€/y) HIGH]]-Tableau6[[#This Row],[Total Cost (M€) HIGH +1Mt CO2]])</f>
        <v>148.36050099998829</v>
      </c>
      <c r="L55" s="22">
        <f>Tableau6[[#This Row],[Marginal Carbon cost (€/tCO2) HIGH]]*Tableau6[[#This Row],[Marginal emission factor (kgCO2/MWh) HIGH]]/1000</f>
        <v>2.0648627435685669</v>
      </c>
      <c r="M55" s="22">
        <f>(CS55-CS54)*AVERAGE($E$3,E55)/(B55-B54)</f>
        <v>19.808593300812145</v>
      </c>
      <c r="N55" s="22">
        <f>(CS55-CS54)*Tableau6[[#This Row],[Marginal value of solid biomass (€/MWh) HIGH]]/(B55-B54)</f>
        <v>1.0879291119093935</v>
      </c>
      <c r="O55" s="22">
        <f>(CS55-CS54)*Tableau6[[#This Row],[Marginal supply cost (€/MWh) HIGH]]/(B55-B54)</f>
        <v>0.39043904518296546</v>
      </c>
      <c r="P55" s="22">
        <f>Tableau6[[#This Row],[Marginal supply cost (€/MWh) HIGH]]+Tableau6[[#This Row],[Carbon cost of marginal biomass (€/MWh) HIGH]]</f>
        <v>16.940933470006765</v>
      </c>
      <c r="Y55" s="10">
        <f>Tableau6[[#This Row],[Total cost (M€/y) MED]]-Tableau6[[#This Row],[Total cost (M€/y) MED +1Mt CO2]]</f>
        <v>0</v>
      </c>
      <c r="Z55" s="10">
        <f>Tableau6[[#This Row],[Marginal Carbon cost (€/tCO2) MED]]*Tableau6[[#This Row],[Marginal emission factor (kgCO2/MWh)]]/1000</f>
        <v>0</v>
      </c>
      <c r="AA55" s="10">
        <f>Tableau6[[#This Row],[Carbon cost of marginal biomass (€/MWh) MED]]+Tableau6[[#This Row],[Marginal supply cost (€/MWh) MED]]</f>
        <v>0</v>
      </c>
      <c r="AH55" s="15">
        <v>0.160103</v>
      </c>
      <c r="AI55" s="16">
        <v>52999.998218000001</v>
      </c>
      <c r="AJ55" s="15">
        <v>0.34937099999999999</v>
      </c>
      <c r="AK55" s="17">
        <v>116195.622364</v>
      </c>
      <c r="AL55" s="15">
        <v>0.32791599999999999</v>
      </c>
      <c r="AM55" s="16">
        <v>34138.886306</v>
      </c>
      <c r="AN55" s="16">
        <v>44388.886519</v>
      </c>
      <c r="AO55" s="16">
        <v>35431.343634999997</v>
      </c>
      <c r="AP55" s="16">
        <v>12472.220923000001</v>
      </c>
      <c r="AQ55" s="15">
        <v>0.238951</v>
      </c>
      <c r="AR55" s="16">
        <v>40332.957714999997</v>
      </c>
      <c r="AS55" s="15">
        <v>0.14635400000000001</v>
      </c>
      <c r="AT55" s="16">
        <v>88.830797000000004</v>
      </c>
      <c r="AU55" s="16">
        <v>8833.3328669999992</v>
      </c>
      <c r="AV55" s="16">
        <v>15166.666475</v>
      </c>
      <c r="AW55" s="15">
        <v>2.1056999999999999E-2</v>
      </c>
      <c r="AX55" s="16">
        <v>504.14621099999999</v>
      </c>
      <c r="AY55" s="16">
        <v>4444.4447570000002</v>
      </c>
      <c r="AZ55" s="15">
        <v>0.25674200000000003</v>
      </c>
      <c r="BA55" s="15">
        <v>1.066155</v>
      </c>
      <c r="BB55" s="15">
        <v>0.117755</v>
      </c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>
        <v>151056.93924000001</v>
      </c>
      <c r="CT55" s="17">
        <v>8955.0635170000005</v>
      </c>
      <c r="CU55" s="11">
        <v>0.66710999999999998</v>
      </c>
      <c r="CV55" s="11">
        <v>0.103635</v>
      </c>
      <c r="CW55" s="11">
        <v>0.115477</v>
      </c>
      <c r="CX55" s="11">
        <v>99387.374496999997</v>
      </c>
      <c r="CY55" s="11">
        <v>1.9458249999999999</v>
      </c>
      <c r="CZ55" s="11">
        <v>44763.011895000003</v>
      </c>
      <c r="DA55" s="11">
        <v>6.2096999999999999E-2</v>
      </c>
      <c r="DB55" s="11">
        <v>60833.543277999997</v>
      </c>
      <c r="DC55" s="11">
        <v>0.27207900000000002</v>
      </c>
      <c r="DD55" s="11">
        <v>0.25064700000000001</v>
      </c>
      <c r="DE55" s="11">
        <v>0.40926099999999999</v>
      </c>
      <c r="DF55" s="11">
        <v>0.15540699999999999</v>
      </c>
      <c r="DG55" s="11">
        <v>8.1642999999999993E-2</v>
      </c>
      <c r="DH55" s="11">
        <v>2.5599E-2</v>
      </c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</row>
    <row r="56" spans="1:144" x14ac:dyDescent="0.3">
      <c r="A56">
        <v>54</v>
      </c>
      <c r="B56" s="6">
        <v>370000</v>
      </c>
      <c r="C56" s="6">
        <v>232803.78734000001</v>
      </c>
      <c r="D56" s="6">
        <v>232664.65351599999</v>
      </c>
      <c r="E56" s="6">
        <f>(C55-Tableau6[[#This Row],[Total cost (M€/y) HIGH]])/(Tableau6[[#This Row],[Solid biomass availability (GWh/y)]]-B55)*1000</f>
        <v>41.952589599997737</v>
      </c>
      <c r="F56" s="6" t="s">
        <v>29</v>
      </c>
      <c r="G56" s="10">
        <f t="shared" ref="G56:G67" si="10">AVERAGE($E$55:$E$67)</f>
        <v>30.625052138461836</v>
      </c>
      <c r="H56" s="6" t="s">
        <v>9</v>
      </c>
      <c r="I56" s="11" cm="1">
        <f t="array" ref="I56">INDEX(Tableau3[Production cost (M€/GWh)],
       MATCH(1,
             (Tableau3[Resource]=Tableau6[[#This Row],[Marginal supply commodity HIGH]])*(Tableau3[Scenario]="HIGH_2050"),
             0))*1000</f>
        <v>14.876070726438199</v>
      </c>
      <c r="J56" s="11" cm="1">
        <f t="array" ref="J56">INDEX(Tableau3[GHG impact (tCO2eq/MWh)],
       MATCH(1,
             (Tableau3[Resource]=Tableau6[[#This Row],[Marginal supply commodity HIGH]])*(Tableau3[Scenario]="HIGH_2050"),
             0))*1000</f>
        <v>13.9178738926524</v>
      </c>
      <c r="K56" s="11">
        <f>(Tableau6[[#This Row],[Total cost (M€/y) HIGH]]-Tableau6[[#This Row],[Total Cost (M€) HIGH +1Mt CO2]])</f>
        <v>139.13382400001865</v>
      </c>
      <c r="L56" s="22">
        <f>Tableau6[[#This Row],[Marginal Carbon cost (€/tCO2) HIGH]]*Tableau6[[#This Row],[Marginal emission factor (kgCO2/MWh) HIGH]]/1000</f>
        <v>1.9364470166347534</v>
      </c>
      <c r="M56" s="22">
        <f>(CS56-CS55)*AVERAGE($E$3,E56)/(B56-B55)</f>
        <v>18.743582710654223</v>
      </c>
      <c r="N56" s="22">
        <f>(CS56-CS55)*Tableau6[[#This Row],[Marginal value of solid biomass (€/MWh) HIGH]]/(B56-B55)</f>
        <v>1.0415460511068158</v>
      </c>
      <c r="O56" s="22">
        <f>(CS56-CS55)*Tableau6[[#This Row],[Marginal supply cost (€/MWh) HIGH]]/(B56-B55)</f>
        <v>0.36932434609729647</v>
      </c>
      <c r="P56" s="22">
        <f>Tableau6[[#This Row],[Marginal supply cost (€/MWh) HIGH]]+Tableau6[[#This Row],[Carbon cost of marginal biomass (€/MWh) HIGH]]</f>
        <v>16.812517743072952</v>
      </c>
      <c r="Y56" s="10">
        <f>Tableau6[[#This Row],[Total cost (M€/y) MED]]-Tableau6[[#This Row],[Total cost (M€/y) MED +1Mt CO2]]</f>
        <v>0</v>
      </c>
      <c r="Z56" s="10">
        <f>Tableau6[[#This Row],[Marginal Carbon cost (€/tCO2) MED]]*Tableau6[[#This Row],[Marginal emission factor (kgCO2/MWh)]]/1000</f>
        <v>0</v>
      </c>
      <c r="AA56" s="10">
        <f>Tableau6[[#This Row],[Carbon cost of marginal biomass (€/MWh) MED]]+Tableau6[[#This Row],[Marginal supply cost (€/MWh) MED]]</f>
        <v>0</v>
      </c>
      <c r="AH56" s="15">
        <v>0.48968699999999998</v>
      </c>
      <c r="AI56" s="16">
        <v>53000.000426999999</v>
      </c>
      <c r="AJ56" s="15">
        <v>2.2574879999999999</v>
      </c>
      <c r="AK56" s="16">
        <v>120838.42472700001</v>
      </c>
      <c r="AL56" s="15">
        <v>0.54801900000000003</v>
      </c>
      <c r="AM56" s="16">
        <v>34138.888337999997</v>
      </c>
      <c r="AN56" s="16">
        <v>44388.888115000002</v>
      </c>
      <c r="AO56" s="16">
        <v>35431.345265999997</v>
      </c>
      <c r="AP56" s="16">
        <v>12472.222600999999</v>
      </c>
      <c r="AQ56" s="15">
        <v>0.35240300000000002</v>
      </c>
      <c r="AR56" s="16">
        <v>40333.002302000001</v>
      </c>
      <c r="AS56" s="15">
        <v>0.481294</v>
      </c>
      <c r="AT56" s="16">
        <v>88.83372</v>
      </c>
      <c r="AU56" s="16">
        <v>8833.3343750000004</v>
      </c>
      <c r="AV56" s="16">
        <v>15166.668029</v>
      </c>
      <c r="AW56" s="15">
        <v>0.10727100000000001</v>
      </c>
      <c r="AX56" s="16">
        <v>504.14775100000003</v>
      </c>
      <c r="AY56" s="16">
        <v>4444.4462199999998</v>
      </c>
      <c r="AZ56" s="15">
        <v>0.38774599999999998</v>
      </c>
      <c r="BA56" s="15">
        <v>355.07165800000001</v>
      </c>
      <c r="BB56" s="15">
        <v>0.155669</v>
      </c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>
        <v>151181.072942</v>
      </c>
      <c r="CT56" s="17">
        <v>20292.127401999998</v>
      </c>
      <c r="CU56" s="11">
        <v>0.91820800000000002</v>
      </c>
      <c r="CV56" s="11">
        <v>0.120895</v>
      </c>
      <c r="CW56" s="11">
        <v>0.140485</v>
      </c>
      <c r="CX56" s="11">
        <v>99387.373752</v>
      </c>
      <c r="CY56" s="11">
        <v>3.2686280000000001</v>
      </c>
      <c r="CZ56" s="11">
        <v>40320.952186000002</v>
      </c>
      <c r="DA56" s="11">
        <v>7.0158999999999999E-2</v>
      </c>
      <c r="DB56" s="11">
        <v>58812.619658000003</v>
      </c>
      <c r="DC56" s="11">
        <v>0.31593399999999999</v>
      </c>
      <c r="DD56" s="11">
        <v>0.28990300000000002</v>
      </c>
      <c r="DE56" s="11">
        <v>0.48858400000000002</v>
      </c>
      <c r="DF56" s="11">
        <v>0.17150499999999999</v>
      </c>
      <c r="DG56" s="11">
        <v>9.2911999999999995E-2</v>
      </c>
      <c r="DH56" s="11">
        <v>2.997E-2</v>
      </c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</row>
    <row r="57" spans="1:144" x14ac:dyDescent="0.3">
      <c r="A57">
        <v>55</v>
      </c>
      <c r="B57" s="6">
        <v>375000</v>
      </c>
      <c r="C57" s="6">
        <v>232620.992126</v>
      </c>
      <c r="D57" s="6">
        <v>232477.94203400001</v>
      </c>
      <c r="E57" s="6">
        <f>(C56-Tableau6[[#This Row],[Total cost (M€/y) HIGH]])/(Tableau6[[#This Row],[Solid biomass availability (GWh/y)]]-B56)*1000</f>
        <v>36.559042800002501</v>
      </c>
      <c r="F57" s="6" t="s">
        <v>29</v>
      </c>
      <c r="G57" s="10">
        <f t="shared" si="10"/>
        <v>30.625052138461836</v>
      </c>
      <c r="H57" s="6" t="s">
        <v>25</v>
      </c>
      <c r="I57" s="11" cm="1">
        <f t="array" ref="I57">INDEX(Tableau3[Production cost (M€/GWh)],
       MATCH(1,
             (Tableau3[Resource]=Tableau6[[#This Row],[Marginal supply commodity HIGH]])*(Tableau3[Scenario]="HIGH_2050"),
             0))*1000</f>
        <v>14.731599999999998</v>
      </c>
      <c r="J57" s="11" cm="1">
        <f t="array" ref="J57">INDEX(Tableau3[GHG impact (tCO2eq/MWh)],
       MATCH(1,
             (Tableau3[Resource]=Tableau6[[#This Row],[Marginal supply commodity HIGH]])*(Tableau3[Scenario]="HIGH_2050"),
             0))*1000</f>
        <v>10.627816236626799</v>
      </c>
      <c r="K57" s="11">
        <f>(Tableau6[[#This Row],[Total cost (M€/y) HIGH]]-Tableau6[[#This Row],[Total Cost (M€) HIGH +1Mt CO2]])</f>
        <v>143.0500919999904</v>
      </c>
      <c r="L57" s="22">
        <f>Tableau6[[#This Row],[Marginal Carbon cost (€/tCO2) HIGH]]*Tableau6[[#This Row],[Marginal emission factor (kgCO2/MWh) HIGH]]/1000</f>
        <v>1.5203100904084554</v>
      </c>
      <c r="M57" s="22">
        <f>(CS57-CS56)*AVERAGE($E$3,E57)/(B57-B56)</f>
        <v>19.14607245245378</v>
      </c>
      <c r="N57" s="22">
        <f>(CS57-CS56)*Tableau6[[#This Row],[Marginal value of solid biomass (€/MWh) HIGH]]/(B57-B56)</f>
        <v>0.93045567273410346</v>
      </c>
      <c r="O57" s="22">
        <f>(CS57-CS56)*Tableau6[[#This Row],[Marginal supply cost (€/MWh) HIGH]]/(B57-B56)</f>
        <v>0.3749305161908883</v>
      </c>
      <c r="P57" s="22">
        <f>Tableau6[[#This Row],[Marginal supply cost (€/MWh) HIGH]]+Tableau6[[#This Row],[Carbon cost of marginal biomass (€/MWh) HIGH]]</f>
        <v>16.251910090408455</v>
      </c>
      <c r="Y57" s="10">
        <f>Tableau6[[#This Row],[Total cost (M€/y) MED]]-Tableau6[[#This Row],[Total cost (M€/y) MED +1Mt CO2]]</f>
        <v>0</v>
      </c>
      <c r="Z57" s="10">
        <f>Tableau6[[#This Row],[Marginal Carbon cost (€/tCO2) MED]]*Tableau6[[#This Row],[Marginal emission factor (kgCO2/MWh)]]/1000</f>
        <v>0</v>
      </c>
      <c r="AA57" s="10">
        <f>Tableau6[[#This Row],[Carbon cost of marginal biomass (€/MWh) MED]]+Tableau6[[#This Row],[Marginal supply cost (€/MWh) MED]]</f>
        <v>0</v>
      </c>
      <c r="AH57" s="15">
        <v>1.385302</v>
      </c>
      <c r="AI57" s="16">
        <v>52999.999188000002</v>
      </c>
      <c r="AJ57" s="16">
        <v>388.87948899999998</v>
      </c>
      <c r="AK57" s="16">
        <v>120840.165676</v>
      </c>
      <c r="AL57" s="17">
        <v>2019.147432</v>
      </c>
      <c r="AM57" s="16">
        <v>34138.887877000001</v>
      </c>
      <c r="AN57" s="16">
        <v>44388.888557999999</v>
      </c>
      <c r="AO57" s="16">
        <v>35431.344615000002</v>
      </c>
      <c r="AP57" s="16">
        <v>12472.222116999999</v>
      </c>
      <c r="AQ57" s="15">
        <v>1.4815069999999999</v>
      </c>
      <c r="AR57" s="16">
        <v>40332.988915000002</v>
      </c>
      <c r="AS57" s="15">
        <v>0.52395499999999995</v>
      </c>
      <c r="AT57" s="16">
        <v>88.833804999999998</v>
      </c>
      <c r="AU57" s="16">
        <v>8833.3337169999995</v>
      </c>
      <c r="AV57" s="16">
        <v>15166.667184</v>
      </c>
      <c r="AW57" s="15">
        <v>0.13700999999999999</v>
      </c>
      <c r="AX57" s="16">
        <v>504.14784100000003</v>
      </c>
      <c r="AY57" s="16">
        <v>4444.4453089999997</v>
      </c>
      <c r="AZ57" s="15">
        <v>1.988421</v>
      </c>
      <c r="BA57" s="16">
        <v>2944.277505</v>
      </c>
      <c r="BB57" s="15">
        <v>0.28460299999999999</v>
      </c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>
        <v>151308.326776</v>
      </c>
      <c r="CT57" s="17">
        <v>32178.320583000001</v>
      </c>
      <c r="CU57" s="11">
        <v>1.0355259999999999</v>
      </c>
      <c r="CV57" s="11">
        <v>0.16087799999999999</v>
      </c>
      <c r="CW57" s="11">
        <v>0.17758499999999999</v>
      </c>
      <c r="CX57" s="11">
        <v>99387.276578999998</v>
      </c>
      <c r="CY57" s="11">
        <v>876.90522399999998</v>
      </c>
      <c r="CZ57" s="11">
        <v>35663.629443999998</v>
      </c>
      <c r="DA57" s="11">
        <v>9.2756000000000005E-2</v>
      </c>
      <c r="DB57" s="11">
        <v>55582.279890999998</v>
      </c>
      <c r="DC57" s="11">
        <v>0.41967199999999999</v>
      </c>
      <c r="DD57" s="11">
        <v>0.39302599999999999</v>
      </c>
      <c r="DE57" s="11">
        <v>0.61890199999999995</v>
      </c>
      <c r="DF57" s="11">
        <v>0.23131399999999999</v>
      </c>
      <c r="DG57" s="11">
        <v>0.123721</v>
      </c>
      <c r="DH57" s="11">
        <v>3.8169000000000002E-2</v>
      </c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</row>
    <row r="58" spans="1:144" x14ac:dyDescent="0.3">
      <c r="A58">
        <v>56</v>
      </c>
      <c r="B58" s="6">
        <v>380000</v>
      </c>
      <c r="C58" s="6">
        <v>232471.88763300001</v>
      </c>
      <c r="D58" s="6">
        <v>232333.22683599999</v>
      </c>
      <c r="E58" s="6">
        <f>(C57-Tableau6[[#This Row],[Total cost (M€/y) HIGH]])/(Tableau6[[#This Row],[Solid biomass availability (GWh/y)]]-B57)*1000</f>
        <v>29.820898599998326</v>
      </c>
      <c r="F58" s="6" t="s">
        <v>29</v>
      </c>
      <c r="G58" s="10">
        <f t="shared" si="10"/>
        <v>30.625052138461836</v>
      </c>
      <c r="H58" s="6" t="s">
        <v>10</v>
      </c>
      <c r="I58" s="11" cm="1">
        <f t="array" ref="I58">INDEX(Tableau3[Production cost (M€/GWh)],
       MATCH(1,
             (Tableau3[Resource]=Tableau6[[#This Row],[Marginal supply commodity HIGH]])*(Tableau3[Scenario]="HIGH_2050"),
             0))*1000</f>
        <v>24.512988996763799</v>
      </c>
      <c r="J58" s="11" cm="1">
        <f t="array" ref="J58">INDEX(Tableau3[GHG impact (tCO2eq/MWh)],
       MATCH(1,
             (Tableau3[Resource]=Tableau6[[#This Row],[Marginal supply commodity HIGH]])*(Tableau3[Scenario]="HIGH_2050"),
             0))*1000</f>
        <v>13.9178738926524</v>
      </c>
      <c r="K58" s="11">
        <f>(Tableau6[[#This Row],[Total cost (M€/y) HIGH]]-Tableau6[[#This Row],[Total Cost (M€) HIGH +1Mt CO2]])</f>
        <v>138.66079700001865</v>
      </c>
      <c r="L58" s="22">
        <f>Tableau6[[#This Row],[Marginal Carbon cost (€/tCO2) HIGH]]*Tableau6[[#This Row],[Marginal emission factor (kgCO2/MWh) HIGH]]/1000</f>
        <v>1.9298634865009336</v>
      </c>
      <c r="M58" s="22">
        <f>(CS58-CS57)*AVERAGE($E$3,E58)/(B58-B57)</f>
        <v>26.698543481711251</v>
      </c>
      <c r="N58" s="22">
        <f>(CS58-CS57)*Tableau6[[#This Row],[Marginal value of solid biomass (€/MWh) HIGH]]/(B58-B57)</f>
        <v>1.063111510259791</v>
      </c>
      <c r="O58" s="22">
        <f>(CS58-CS57)*Tableau6[[#This Row],[Marginal supply cost (€/MWh) HIGH]]/(B58-B57)</f>
        <v>0.87388516029938368</v>
      </c>
      <c r="P58" s="22">
        <f>Tableau6[[#This Row],[Marginal supply cost (€/MWh) HIGH]]+Tableau6[[#This Row],[Carbon cost of marginal biomass (€/MWh) HIGH]]</f>
        <v>26.442852483264733</v>
      </c>
      <c r="Y58" s="10">
        <f>Tableau6[[#This Row],[Total cost (M€/y) MED]]-Tableau6[[#This Row],[Total cost (M€/y) MED +1Mt CO2]]</f>
        <v>0</v>
      </c>
      <c r="Z58" s="10">
        <f>Tableau6[[#This Row],[Marginal Carbon cost (€/tCO2) MED]]*Tableau6[[#This Row],[Marginal emission factor (kgCO2/MWh)]]/1000</f>
        <v>0</v>
      </c>
      <c r="AA58" s="10">
        <f>Tableau6[[#This Row],[Carbon cost of marginal biomass (€/MWh) MED]]+Tableau6[[#This Row],[Marginal supply cost (€/MWh) MED]]</f>
        <v>0</v>
      </c>
      <c r="AH58" s="15">
        <v>0.75487499999999996</v>
      </c>
      <c r="AI58" s="16">
        <v>53000.000208999998</v>
      </c>
      <c r="AJ58" s="16">
        <v>388.88730099999998</v>
      </c>
      <c r="AK58" s="16">
        <v>120840.114447</v>
      </c>
      <c r="AL58" s="17">
        <v>7022.8383389999999</v>
      </c>
      <c r="AM58" s="16">
        <v>34138.888681999997</v>
      </c>
      <c r="AN58" s="16">
        <v>44388.888641999998</v>
      </c>
      <c r="AO58" s="16">
        <v>35431.344530000002</v>
      </c>
      <c r="AP58" s="16">
        <v>12472.222271000001</v>
      </c>
      <c r="AQ58" s="15">
        <v>0.38877800000000001</v>
      </c>
      <c r="AR58" s="16">
        <v>40332.994595999997</v>
      </c>
      <c r="AS58" s="15">
        <v>0.16622000000000001</v>
      </c>
      <c r="AT58" s="16">
        <v>88.833425000000005</v>
      </c>
      <c r="AU58" s="16">
        <v>8833.3334969999996</v>
      </c>
      <c r="AV58" s="16">
        <v>15166.666867</v>
      </c>
      <c r="AW58" s="15">
        <v>4.4115000000000001E-2</v>
      </c>
      <c r="AX58" s="16">
        <v>504.14739700000001</v>
      </c>
      <c r="AY58" s="16">
        <v>4444.4447380000001</v>
      </c>
      <c r="AZ58" s="15">
        <v>0.52962699999999996</v>
      </c>
      <c r="BA58" s="16">
        <v>2944.4438679999998</v>
      </c>
      <c r="BB58" s="15">
        <v>7.7337000000000003E-2</v>
      </c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>
        <v>151486.57618500001</v>
      </c>
      <c r="CT58" s="17">
        <v>36350.208049000001</v>
      </c>
      <c r="CU58" s="11">
        <v>0.34181</v>
      </c>
      <c r="CV58" s="11">
        <v>4.4824999999999997E-2</v>
      </c>
      <c r="CW58" s="11">
        <v>5.1257999999999998E-2</v>
      </c>
      <c r="CX58" s="11">
        <v>99387.507410000006</v>
      </c>
      <c r="CY58" s="11">
        <v>3247.8321729999998</v>
      </c>
      <c r="CZ58" s="11">
        <v>34028.768966000003</v>
      </c>
      <c r="DA58" s="11">
        <v>2.5932E-2</v>
      </c>
      <c r="DB58" s="11">
        <v>55498.137484999999</v>
      </c>
      <c r="DC58" s="11">
        <v>0.119047</v>
      </c>
      <c r="DD58" s="11">
        <v>0.103656</v>
      </c>
      <c r="DE58" s="11">
        <v>0.185003</v>
      </c>
      <c r="DF58" s="11">
        <v>6.2378000000000003E-2</v>
      </c>
      <c r="DG58" s="11">
        <v>3.4459999999999998E-2</v>
      </c>
      <c r="DH58" s="11">
        <v>1.1136E-2</v>
      </c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</row>
    <row r="59" spans="1:144" x14ac:dyDescent="0.3">
      <c r="A59">
        <v>57</v>
      </c>
      <c r="B59" s="6">
        <v>385000</v>
      </c>
      <c r="C59" s="6">
        <v>232306.16099100001</v>
      </c>
      <c r="D59" s="6">
        <v>232164.43552299999</v>
      </c>
      <c r="E59" s="6">
        <f>(C58-Tableau6[[#This Row],[Total cost (M€/y) HIGH]])/(Tableau6[[#This Row],[Solid biomass availability (GWh/y)]]-B58)*1000</f>
        <v>33.145328399998832</v>
      </c>
      <c r="F59" s="6" t="s">
        <v>29</v>
      </c>
      <c r="G59" s="10">
        <f t="shared" si="10"/>
        <v>30.625052138461836</v>
      </c>
      <c r="H59" s="6" t="s">
        <v>10</v>
      </c>
      <c r="I59" s="11" cm="1">
        <f t="array" ref="I59">INDEX(Tableau3[Production cost (M€/GWh)],
       MATCH(1,
             (Tableau3[Resource]=Tableau6[[#This Row],[Marginal supply commodity HIGH]])*(Tableau3[Scenario]="HIGH_2050"),
             0))*1000</f>
        <v>24.512988996763799</v>
      </c>
      <c r="J59" s="11" cm="1">
        <f t="array" ref="J59">INDEX(Tableau3[GHG impact (tCO2eq/MWh)],
       MATCH(1,
             (Tableau3[Resource]=Tableau6[[#This Row],[Marginal supply commodity HIGH]])*(Tableau3[Scenario]="HIGH_2050"),
             0))*1000</f>
        <v>13.9178738926524</v>
      </c>
      <c r="K59" s="11">
        <f>(Tableau6[[#This Row],[Total cost (M€/y) HIGH]]-Tableau6[[#This Row],[Total Cost (M€) HIGH +1Mt CO2]])</f>
        <v>141.72546800001874</v>
      </c>
      <c r="L59" s="22">
        <f>Tableau6[[#This Row],[Marginal Carbon cost (€/tCO2) HIGH]]*Tableau6[[#This Row],[Marginal emission factor (kgCO2/MWh) HIGH]]/1000</f>
        <v>1.9725171910014039</v>
      </c>
      <c r="M59" s="22">
        <f>(CS59-CS58)*AVERAGE($E$3,E59)/(B59-B58)</f>
        <v>26.957376676265376</v>
      </c>
      <c r="N59" s="22">
        <f>(CS59-CS58)*Tableau6[[#This Row],[Marginal value of solid biomass (€/MWh) HIGH]]/(B59-B58)</f>
        <v>1.1904403095838323</v>
      </c>
      <c r="O59" s="22">
        <f>(CS59-CS58)*Tableau6[[#This Row],[Marginal supply cost (€/MWh) HIGH]]/(B59-B58)</f>
        <v>0.88040311014488548</v>
      </c>
      <c r="P59" s="22">
        <f>Tableau6[[#This Row],[Marginal supply cost (€/MWh) HIGH]]+Tableau6[[#This Row],[Carbon cost of marginal biomass (€/MWh) HIGH]]</f>
        <v>26.485506187765203</v>
      </c>
      <c r="Y59" s="10">
        <f>Tableau6[[#This Row],[Total cost (M€/y) MED]]-Tableau6[[#This Row],[Total cost (M€/y) MED +1Mt CO2]]</f>
        <v>0</v>
      </c>
      <c r="Z59" s="10">
        <f>Tableau6[[#This Row],[Marginal Carbon cost (€/tCO2) MED]]*Tableau6[[#This Row],[Marginal emission factor (kgCO2/MWh)]]/1000</f>
        <v>0</v>
      </c>
      <c r="AA59" s="10">
        <f>Tableau6[[#This Row],[Carbon cost of marginal biomass (€/MWh) MED]]+Tableau6[[#This Row],[Marginal supply cost (€/MWh) MED]]</f>
        <v>0</v>
      </c>
      <c r="AH59" s="15">
        <v>2.3071830000000002</v>
      </c>
      <c r="AI59" s="16">
        <v>53000.001847</v>
      </c>
      <c r="AJ59" s="16">
        <v>388.88582000000002</v>
      </c>
      <c r="AK59" s="16">
        <v>120840.165557</v>
      </c>
      <c r="AL59" s="17">
        <v>12018.298091000001</v>
      </c>
      <c r="AM59" s="16">
        <v>34138.890569000003</v>
      </c>
      <c r="AN59" s="16">
        <v>44388.889878000002</v>
      </c>
      <c r="AO59" s="16">
        <v>35431.346688999998</v>
      </c>
      <c r="AP59" s="16">
        <v>12472.224507000001</v>
      </c>
      <c r="AQ59" s="15">
        <v>1.356392</v>
      </c>
      <c r="AR59" s="16">
        <v>40332.999034</v>
      </c>
      <c r="AS59" s="15">
        <v>0.62105399999999999</v>
      </c>
      <c r="AT59" s="16">
        <v>88.835616000000002</v>
      </c>
      <c r="AU59" s="16">
        <v>8833.335873</v>
      </c>
      <c r="AV59" s="16">
        <v>15166.669265</v>
      </c>
      <c r="AW59" s="15">
        <v>0.141263</v>
      </c>
      <c r="AX59" s="16">
        <v>504.14975600000002</v>
      </c>
      <c r="AY59" s="16">
        <v>4444.4473669999998</v>
      </c>
      <c r="AZ59" s="15">
        <v>1.818479</v>
      </c>
      <c r="BA59" s="16">
        <v>2944.445577</v>
      </c>
      <c r="BB59" s="15">
        <v>0.245086</v>
      </c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>
        <v>151666.15508299999</v>
      </c>
      <c r="CT59" s="17">
        <v>41374.450791000003</v>
      </c>
      <c r="CU59" s="11">
        <v>1.2625169999999999</v>
      </c>
      <c r="CV59" s="11">
        <v>0.16844600000000001</v>
      </c>
      <c r="CW59" s="11">
        <v>0.197017</v>
      </c>
      <c r="CX59" s="11">
        <v>99387.240164999996</v>
      </c>
      <c r="CY59" s="11">
        <v>5596.2778360000002</v>
      </c>
      <c r="CZ59" s="11">
        <v>32060.423069</v>
      </c>
      <c r="DA59" s="11">
        <v>0.100331</v>
      </c>
      <c r="DB59" s="11">
        <v>54911.843073999997</v>
      </c>
      <c r="DC59" s="11">
        <v>0.45124599999999998</v>
      </c>
      <c r="DD59" s="11">
        <v>0.39099400000000001</v>
      </c>
      <c r="DE59" s="11">
        <v>0.69300799999999996</v>
      </c>
      <c r="DF59" s="11">
        <v>0.24279400000000001</v>
      </c>
      <c r="DG59" s="11">
        <v>0.134602</v>
      </c>
      <c r="DH59" s="11">
        <v>4.3950000000000003E-2</v>
      </c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</row>
    <row r="60" spans="1:144" x14ac:dyDescent="0.3">
      <c r="A60">
        <v>58</v>
      </c>
      <c r="B60" s="6">
        <v>390000</v>
      </c>
      <c r="C60" s="6">
        <v>232149.263764</v>
      </c>
      <c r="D60" s="6">
        <v>232020.61664200001</v>
      </c>
      <c r="E60" s="6">
        <f>(C59-Tableau6[[#This Row],[Total cost (M€/y) HIGH]])/(Tableau6[[#This Row],[Solid biomass availability (GWh/y)]]-B59)*1000</f>
        <v>31.37944540000171</v>
      </c>
      <c r="F60" s="6" t="s">
        <v>29</v>
      </c>
      <c r="G60" s="10">
        <f t="shared" si="10"/>
        <v>30.625052138461836</v>
      </c>
      <c r="H60" s="6" t="s">
        <v>10</v>
      </c>
      <c r="I60" s="11" cm="1">
        <f t="array" ref="I60">INDEX(Tableau3[Production cost (M€/GWh)],
       MATCH(1,
             (Tableau3[Resource]=Tableau6[[#This Row],[Marginal supply commodity HIGH]])*(Tableau3[Scenario]="HIGH_2050"),
             0))*1000</f>
        <v>24.512988996763799</v>
      </c>
      <c r="J60" s="11" cm="1">
        <f t="array" ref="J60">INDEX(Tableau3[GHG impact (tCO2eq/MWh)],
       MATCH(1,
             (Tableau3[Resource]=Tableau6[[#This Row],[Marginal supply commodity HIGH]])*(Tableau3[Scenario]="HIGH_2050"),
             0))*1000</f>
        <v>13.9178738926524</v>
      </c>
      <c r="K60" s="11">
        <f>(Tableau6[[#This Row],[Total cost (M€/y) HIGH]]-Tableau6[[#This Row],[Total Cost (M€) HIGH +1Mt CO2]])</f>
        <v>128.64712199999485</v>
      </c>
      <c r="L60" s="22">
        <f>Tableau6[[#This Row],[Marginal Carbon cost (€/tCO2) HIGH]]*Tableau6[[#This Row],[Marginal emission factor (kgCO2/MWh) HIGH]]/1000</f>
        <v>1.7904944206485967</v>
      </c>
      <c r="M60" s="22">
        <f>(CS60-CS59)*AVERAGE($E$3,E60)/(B60-B59)</f>
        <v>26.414975043196307</v>
      </c>
      <c r="N60" s="22">
        <f>(CS60-CS59)*Tableau6[[#This Row],[Marginal value of solid biomass (€/MWh) HIGH]]/(B60-B59)</f>
        <v>1.1056414851637015</v>
      </c>
      <c r="O60" s="22">
        <f>(CS60-CS59)*Tableau6[[#This Row],[Marginal supply cost (€/MWh) HIGH]]/(B60-B59)</f>
        <v>0.86370479830666225</v>
      </c>
      <c r="P60" s="22">
        <f>Tableau6[[#This Row],[Marginal supply cost (€/MWh) HIGH]]+Tableau6[[#This Row],[Carbon cost of marginal biomass (€/MWh) HIGH]]</f>
        <v>26.303483417412394</v>
      </c>
      <c r="Y60" s="10">
        <f>Tableau6[[#This Row],[Total cost (M€/y) MED]]-Tableau6[[#This Row],[Total cost (M€/y) MED +1Mt CO2]]</f>
        <v>0</v>
      </c>
      <c r="Z60" s="10">
        <f>Tableau6[[#This Row],[Marginal Carbon cost (€/tCO2) MED]]*Tableau6[[#This Row],[Marginal emission factor (kgCO2/MWh)]]/1000</f>
        <v>0</v>
      </c>
      <c r="AA60" s="10">
        <f>Tableau6[[#This Row],[Carbon cost of marginal biomass (€/MWh) MED]]+Tableau6[[#This Row],[Marginal supply cost (€/MWh) MED]]</f>
        <v>0</v>
      </c>
      <c r="AH60" s="15">
        <v>1.0985400000000001</v>
      </c>
      <c r="AI60" s="16">
        <v>53000.000821000001</v>
      </c>
      <c r="AJ60" s="16">
        <v>388.88650799999999</v>
      </c>
      <c r="AK60" s="16">
        <v>120840.15214799999</v>
      </c>
      <c r="AL60" s="17">
        <v>17020.107378000001</v>
      </c>
      <c r="AM60" s="16">
        <v>34138.889643000002</v>
      </c>
      <c r="AN60" s="16">
        <v>44388.889666000003</v>
      </c>
      <c r="AO60" s="16">
        <v>35431.345315999999</v>
      </c>
      <c r="AP60" s="16">
        <v>12472.223024999999</v>
      </c>
      <c r="AQ60" s="15">
        <v>1.139915</v>
      </c>
      <c r="AR60" s="16">
        <v>40332.982695999999</v>
      </c>
      <c r="AS60" s="15">
        <v>0.24762700000000001</v>
      </c>
      <c r="AT60" s="16">
        <v>88.834089000000006</v>
      </c>
      <c r="AU60" s="16">
        <v>8833.3342260000009</v>
      </c>
      <c r="AV60" s="16">
        <v>15166.667613</v>
      </c>
      <c r="AW60" s="15">
        <v>9.8100999999999994E-2</v>
      </c>
      <c r="AX60" s="16">
        <v>504.14808699999998</v>
      </c>
      <c r="AY60" s="16">
        <v>4444.4455049999997</v>
      </c>
      <c r="AZ60" s="15">
        <v>1.935899</v>
      </c>
      <c r="BA60" s="16">
        <v>2944.4445449999998</v>
      </c>
      <c r="BB60" s="15">
        <v>0.15784400000000001</v>
      </c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>
        <v>151842.327968</v>
      </c>
      <c r="CT60" s="17">
        <v>48496.878189000003</v>
      </c>
      <c r="CU60" s="11">
        <v>1.0009490000000001</v>
      </c>
      <c r="CV60" s="11">
        <v>0.11476500000000001</v>
      </c>
      <c r="CW60" s="11">
        <v>0.113829</v>
      </c>
      <c r="CX60" s="11">
        <v>99387.346990999999</v>
      </c>
      <c r="CY60" s="11">
        <v>7675.1255140000003</v>
      </c>
      <c r="CZ60" s="11">
        <v>29269.496127999999</v>
      </c>
      <c r="DA60" s="11">
        <v>5.1816000000000001E-2</v>
      </c>
      <c r="DB60" s="11">
        <v>53326.505991999999</v>
      </c>
      <c r="DC60" s="11">
        <v>0.25182100000000002</v>
      </c>
      <c r="DD60" s="11">
        <v>0.23028000000000001</v>
      </c>
      <c r="DE60" s="11">
        <v>0.37184699999999998</v>
      </c>
      <c r="DF60" s="11">
        <v>0.124345</v>
      </c>
      <c r="DG60" s="11">
        <v>6.7594000000000001E-2</v>
      </c>
      <c r="DH60" s="11">
        <v>2.1186E-2</v>
      </c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</row>
    <row r="61" spans="1:144" x14ac:dyDescent="0.3">
      <c r="A61">
        <v>59</v>
      </c>
      <c r="B61" s="6">
        <v>395000</v>
      </c>
      <c r="C61" s="6">
        <v>232009.838827</v>
      </c>
      <c r="D61" s="6">
        <v>231875.74392899999</v>
      </c>
      <c r="E61" s="6">
        <f>(C60-Tableau6[[#This Row],[Total cost (M€/y) HIGH]])/(Tableau6[[#This Row],[Solid biomass availability (GWh/y)]]-B60)*1000</f>
        <v>27.884987400000682</v>
      </c>
      <c r="F61" s="6" t="s">
        <v>29</v>
      </c>
      <c r="G61" s="10">
        <f t="shared" si="10"/>
        <v>30.625052138461836</v>
      </c>
      <c r="H61" s="6" t="s">
        <v>10</v>
      </c>
      <c r="I61" s="11" cm="1">
        <f t="array" ref="I61">INDEX(Tableau3[Production cost (M€/GWh)],
       MATCH(1,
             (Tableau3[Resource]=Tableau6[[#This Row],[Marginal supply commodity HIGH]])*(Tableau3[Scenario]="HIGH_2050"),
             0))*1000</f>
        <v>24.512988996763799</v>
      </c>
      <c r="J61" s="11" cm="1">
        <f t="array" ref="J61">INDEX(Tableau3[GHG impact (tCO2eq/MWh)],
       MATCH(1,
             (Tableau3[Resource]=Tableau6[[#This Row],[Marginal supply commodity HIGH]])*(Tableau3[Scenario]="HIGH_2050"),
             0))*1000</f>
        <v>13.9178738926524</v>
      </c>
      <c r="K61" s="11">
        <f>(Tableau6[[#This Row],[Total cost (M€/y) HIGH]]-Tableau6[[#This Row],[Total Cost (M€) HIGH +1Mt CO2]])</f>
        <v>134.09489800001029</v>
      </c>
      <c r="L61" s="22">
        <f>Tableau6[[#This Row],[Marginal Carbon cost (€/tCO2) HIGH]]*Tableau6[[#This Row],[Marginal emission factor (kgCO2/MWh) HIGH]]/1000</f>
        <v>1.8663158800122299</v>
      </c>
      <c r="M61" s="22">
        <f>(CS61-CS60)*AVERAGE($E$3,E61)/(B61-B60)</f>
        <v>21.902018726086688</v>
      </c>
      <c r="N61" s="22">
        <f>(CS61-CS60)*Tableau6[[#This Row],[Marginal value of solid biomass (€/MWh) HIGH]]/(B61-B60)</f>
        <v>0.81655756393848922</v>
      </c>
      <c r="O61" s="22">
        <f>(CS61-CS60)*Tableau6[[#This Row],[Marginal supply cost (€/MWh) HIGH]]/(B61-B60)</f>
        <v>0.71781515598059586</v>
      </c>
      <c r="P61" s="22">
        <f>Tableau6[[#This Row],[Marginal supply cost (€/MWh) HIGH]]+Tableau6[[#This Row],[Carbon cost of marginal biomass (€/MWh) HIGH]]</f>
        <v>26.379304876776029</v>
      </c>
      <c r="Y61" s="10">
        <f>Tableau6[[#This Row],[Total cost (M€/y) MED]]-Tableau6[[#This Row],[Total cost (M€/y) MED +1Mt CO2]]</f>
        <v>0</v>
      </c>
      <c r="Z61" s="10">
        <f>Tableau6[[#This Row],[Marginal Carbon cost (€/tCO2) MED]]*Tableau6[[#This Row],[Marginal emission factor (kgCO2/MWh)]]/1000</f>
        <v>0</v>
      </c>
      <c r="AA61" s="10">
        <f>Tableau6[[#This Row],[Carbon cost of marginal biomass (€/MWh) MED]]+Tableau6[[#This Row],[Marginal supply cost (€/MWh) MED]]</f>
        <v>0</v>
      </c>
      <c r="AH61" s="15">
        <v>1.825536</v>
      </c>
      <c r="AI61" s="16">
        <v>53000.000842000001</v>
      </c>
      <c r="AJ61" s="16">
        <v>388.884455</v>
      </c>
      <c r="AK61" s="16">
        <v>120840.163254</v>
      </c>
      <c r="AL61" s="17">
        <v>22015.814693</v>
      </c>
      <c r="AM61" s="16">
        <v>34138.889422</v>
      </c>
      <c r="AN61" s="16">
        <v>44388.889356</v>
      </c>
      <c r="AO61" s="16">
        <v>35431.345503999997</v>
      </c>
      <c r="AP61" s="16">
        <v>12472.223227</v>
      </c>
      <c r="AQ61" s="15">
        <v>2.2580490000000002</v>
      </c>
      <c r="AR61" s="16">
        <v>40333.001960000001</v>
      </c>
      <c r="AS61" s="15">
        <v>0.62526499999999996</v>
      </c>
      <c r="AT61" s="16">
        <v>88.834290999999993</v>
      </c>
      <c r="AU61" s="16">
        <v>8833.3345329999993</v>
      </c>
      <c r="AV61" s="16">
        <v>15166.667960999999</v>
      </c>
      <c r="AW61" s="15">
        <v>0.18267</v>
      </c>
      <c r="AX61" s="16">
        <v>504.14818400000001</v>
      </c>
      <c r="AY61" s="16">
        <v>4444.4459479999996</v>
      </c>
      <c r="AZ61" s="15">
        <v>3.7920219999999998</v>
      </c>
      <c r="BA61" s="16">
        <v>2944.4440490000002</v>
      </c>
      <c r="BB61" s="15">
        <v>0.27344299999999999</v>
      </c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>
        <v>151988.74323299999</v>
      </c>
      <c r="CT61" s="17">
        <v>57005.223897000003</v>
      </c>
      <c r="CU61" s="11">
        <v>1.7590570000000001</v>
      </c>
      <c r="CV61" s="11">
        <v>0.204626</v>
      </c>
      <c r="CW61" s="11">
        <v>0.209258</v>
      </c>
      <c r="CX61" s="11">
        <v>99387.219394999993</v>
      </c>
      <c r="CY61" s="11">
        <v>8236.8988229999995</v>
      </c>
      <c r="CZ61" s="11">
        <v>25935.8907</v>
      </c>
      <c r="DA61" s="11">
        <v>9.4978999999999994E-2</v>
      </c>
      <c r="DB61" s="11">
        <v>52441.821953999999</v>
      </c>
      <c r="DC61" s="11">
        <v>0.47443800000000003</v>
      </c>
      <c r="DD61" s="11">
        <v>0.43057600000000001</v>
      </c>
      <c r="DE61" s="11">
        <v>0.67598800000000003</v>
      </c>
      <c r="DF61" s="11">
        <v>0.23438000000000001</v>
      </c>
      <c r="DG61" s="11">
        <v>0.124926</v>
      </c>
      <c r="DH61" s="11">
        <v>3.8455999999999997E-2</v>
      </c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</row>
    <row r="62" spans="1:144" x14ac:dyDescent="0.3">
      <c r="A62">
        <v>60</v>
      </c>
      <c r="B62" s="6">
        <v>400000</v>
      </c>
      <c r="C62" s="6">
        <v>231882.274061</v>
      </c>
      <c r="D62" s="6">
        <v>231759.095103</v>
      </c>
      <c r="E62" s="6">
        <f>(C61-Tableau6[[#This Row],[Total cost (M€/y) HIGH]])/(Tableau6[[#This Row],[Solid biomass availability (GWh/y)]]-B61)*1000</f>
        <v>25.512953199999174</v>
      </c>
      <c r="F62" s="6" t="s">
        <v>29</v>
      </c>
      <c r="G62" s="10">
        <f t="shared" si="10"/>
        <v>30.625052138461836</v>
      </c>
      <c r="H62" s="6" t="s">
        <v>10</v>
      </c>
      <c r="I62" s="11" cm="1">
        <f t="array" ref="I62">INDEX(Tableau3[Production cost (M€/GWh)],
       MATCH(1,
             (Tableau3[Resource]=Tableau6[[#This Row],[Marginal supply commodity HIGH]])*(Tableau3[Scenario]="HIGH_2050"),
             0))*1000</f>
        <v>24.512988996763799</v>
      </c>
      <c r="J62" s="11" cm="1">
        <f t="array" ref="J62">INDEX(Tableau3[GHG impact (tCO2eq/MWh)],
       MATCH(1,
             (Tableau3[Resource]=Tableau6[[#This Row],[Marginal supply commodity HIGH]])*(Tableau3[Scenario]="HIGH_2050"),
             0))*1000</f>
        <v>13.9178738926524</v>
      </c>
      <c r="K62" s="11">
        <f>(Tableau6[[#This Row],[Total cost (M€/y) HIGH]]-Tableau6[[#This Row],[Total Cost (M€) HIGH +1Mt CO2]])</f>
        <v>123.17895800000406</v>
      </c>
      <c r="L62" s="22">
        <f>Tableau6[[#This Row],[Marginal Carbon cost (€/tCO2) HIGH]]*Tableau6[[#This Row],[Marginal emission factor (kgCO2/MWh) HIGH]]/1000</f>
        <v>1.7143892036723831</v>
      </c>
      <c r="M62" s="22">
        <f>(CS62-CS61)*AVERAGE($E$3,E62)/(B62-B61)</f>
        <v>21.913788707020007</v>
      </c>
      <c r="N62" s="22">
        <f>(CS62-CS61)*Tableau6[[#This Row],[Marginal value of solid biomass (€/MWh) HIGH]]/(B62-B61)</f>
        <v>0.74868584213270961</v>
      </c>
      <c r="O62" s="22">
        <f>(CS62-CS61)*Tableau6[[#This Row],[Marginal supply cost (€/MWh) HIGH]]/(B62-B61)</f>
        <v>0.7193415700003144</v>
      </c>
      <c r="P62" s="22">
        <f>Tableau6[[#This Row],[Marginal supply cost (€/MWh) HIGH]]+Tableau6[[#This Row],[Carbon cost of marginal biomass (€/MWh) HIGH]]</f>
        <v>26.227378200436181</v>
      </c>
      <c r="Y62" s="10">
        <f>Tableau6[[#This Row],[Total cost (M€/y) MED]]-Tableau6[[#This Row],[Total cost (M€/y) MED +1Mt CO2]]</f>
        <v>0</v>
      </c>
      <c r="Z62" s="10">
        <f>Tableau6[[#This Row],[Marginal Carbon cost (€/tCO2) MED]]*Tableau6[[#This Row],[Marginal emission factor (kgCO2/MWh)]]/1000</f>
        <v>0</v>
      </c>
      <c r="AA62" s="10">
        <f>Tableau6[[#This Row],[Carbon cost of marginal biomass (€/MWh) MED]]+Tableau6[[#This Row],[Marginal supply cost (€/MWh) MED]]</f>
        <v>0</v>
      </c>
      <c r="AH62" s="15">
        <v>1.8545609999999999</v>
      </c>
      <c r="AI62" s="16">
        <v>52999.999613</v>
      </c>
      <c r="AJ62" s="16">
        <v>388.88628499999999</v>
      </c>
      <c r="AK62" s="16">
        <v>120840.12525300001</v>
      </c>
      <c r="AL62" s="17">
        <v>27019.377026999999</v>
      </c>
      <c r="AM62" s="16">
        <v>34138.888531999997</v>
      </c>
      <c r="AN62" s="16">
        <v>44388.888157000001</v>
      </c>
      <c r="AO62" s="16">
        <v>35431.344538999998</v>
      </c>
      <c r="AP62" s="16">
        <v>12472.222415</v>
      </c>
      <c r="AQ62" s="15">
        <v>1.0668139999999999</v>
      </c>
      <c r="AR62" s="16">
        <v>40333.000384999999</v>
      </c>
      <c r="AS62" s="15">
        <v>0.462339</v>
      </c>
      <c r="AT62" s="16">
        <v>88.833443000000003</v>
      </c>
      <c r="AU62" s="16">
        <v>8833.3336330000002</v>
      </c>
      <c r="AV62" s="16">
        <v>15166.666961000001</v>
      </c>
      <c r="AW62" s="15">
        <v>7.5831999999999997E-2</v>
      </c>
      <c r="AX62" s="16">
        <v>504.14741099999998</v>
      </c>
      <c r="AY62" s="16">
        <v>4444.4448640000001</v>
      </c>
      <c r="AZ62" s="15">
        <v>1.8219970000000001</v>
      </c>
      <c r="BA62" s="16">
        <v>2944.4442089999998</v>
      </c>
      <c r="BB62" s="15">
        <v>0.12955900000000001</v>
      </c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>
        <v>152135.46984599999</v>
      </c>
      <c r="CT62" s="17">
        <v>65789.916490000003</v>
      </c>
      <c r="CU62" s="11">
        <v>0.745201</v>
      </c>
      <c r="CV62" s="11">
        <v>9.4862000000000002E-2</v>
      </c>
      <c r="CW62" s="11">
        <v>9.4577999999999995E-2</v>
      </c>
      <c r="CX62" s="11">
        <v>99387.379033999998</v>
      </c>
      <c r="CY62" s="11">
        <v>8779.9752860000008</v>
      </c>
      <c r="CZ62" s="11">
        <v>22493.569041999999</v>
      </c>
      <c r="DA62" s="11">
        <v>4.4622000000000002E-2</v>
      </c>
      <c r="DB62" s="11">
        <v>51411.832145</v>
      </c>
      <c r="DC62" s="11">
        <v>0.20594499999999999</v>
      </c>
      <c r="DD62" s="11">
        <v>0.199599</v>
      </c>
      <c r="DE62" s="11">
        <v>0.30058299999999999</v>
      </c>
      <c r="DF62" s="11">
        <v>0.109388</v>
      </c>
      <c r="DG62" s="11">
        <v>5.8625999999999998E-2</v>
      </c>
      <c r="DH62" s="11">
        <v>1.8596999999999999E-2</v>
      </c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</row>
    <row r="63" spans="1:144" x14ac:dyDescent="0.3">
      <c r="A63">
        <v>61</v>
      </c>
      <c r="B63" s="6">
        <v>405000</v>
      </c>
      <c r="C63" s="6">
        <v>231763.44177899999</v>
      </c>
      <c r="D63" s="6">
        <v>231626.054041</v>
      </c>
      <c r="E63" s="6">
        <f>(C62-Tableau6[[#This Row],[Total cost (M€/y) HIGH]])/(Tableau6[[#This Row],[Solid biomass availability (GWh/y)]]-B62)*1000</f>
        <v>23.76645640000352</v>
      </c>
      <c r="F63" s="6" t="s">
        <v>29</v>
      </c>
      <c r="G63" s="10">
        <f t="shared" si="10"/>
        <v>30.625052138461836</v>
      </c>
      <c r="H63" s="6" t="s">
        <v>10</v>
      </c>
      <c r="I63" s="11" cm="1">
        <f t="array" ref="I63">INDEX(Tableau3[Production cost (M€/GWh)],
       MATCH(1,
             (Tableau3[Resource]=Tableau6[[#This Row],[Marginal supply commodity HIGH]])*(Tableau3[Scenario]="HIGH_2050"),
             0))*1000</f>
        <v>24.512988996763799</v>
      </c>
      <c r="J63" s="11" cm="1">
        <f t="array" ref="J63">INDEX(Tableau3[GHG impact (tCO2eq/MWh)],
       MATCH(1,
             (Tableau3[Resource]=Tableau6[[#This Row],[Marginal supply commodity HIGH]])*(Tableau3[Scenario]="HIGH_2050"),
             0))*1000</f>
        <v>13.9178738926524</v>
      </c>
      <c r="K63" s="11">
        <f>(Tableau6[[#This Row],[Total cost (M€/y) HIGH]]-Tableau6[[#This Row],[Total Cost (M€) HIGH +1Mt CO2]])</f>
        <v>137.38773799999035</v>
      </c>
      <c r="L63" s="22">
        <f>Tableau6[[#This Row],[Marginal Carbon cost (€/tCO2) HIGH]]*Tableau6[[#This Row],[Marginal emission factor (kgCO2/MWh) HIGH]]/1000</f>
        <v>1.9121452118806337</v>
      </c>
      <c r="M63" s="22">
        <f>(CS63-CS62)*AVERAGE($E$3,E63)/(B63-B62)</f>
        <v>22.177823739565451</v>
      </c>
      <c r="N63" s="22">
        <f>(CS63-CS62)*Tableau6[[#This Row],[Marginal value of solid biomass (€/MWh) HIGH]]/(B63-B62)</f>
        <v>0.70666394790069698</v>
      </c>
      <c r="O63" s="22">
        <f>(CS63-CS62)*Tableau6[[#This Row],[Marginal supply cost (€/MWh) HIGH]]/(B63-B62)</f>
        <v>0.72886110103047952</v>
      </c>
      <c r="P63" s="22">
        <f>Tableau6[[#This Row],[Marginal supply cost (€/MWh) HIGH]]+Tableau6[[#This Row],[Carbon cost of marginal biomass (€/MWh) HIGH]]</f>
        <v>26.425134208644433</v>
      </c>
      <c r="Y63" s="10">
        <f>Tableau6[[#This Row],[Total cost (M€/y) MED]]-Tableau6[[#This Row],[Total cost (M€/y) MED +1Mt CO2]]</f>
        <v>0</v>
      </c>
      <c r="Z63" s="10">
        <f>Tableau6[[#This Row],[Marginal Carbon cost (€/tCO2) MED]]*Tableau6[[#This Row],[Marginal emission factor (kgCO2/MWh)]]/1000</f>
        <v>0</v>
      </c>
      <c r="AA63" s="10">
        <f>Tableau6[[#This Row],[Carbon cost of marginal biomass (€/MWh) MED]]+Tableau6[[#This Row],[Marginal supply cost (€/MWh) MED]]</f>
        <v>0</v>
      </c>
      <c r="AH63" s="15">
        <v>0.17327699999999999</v>
      </c>
      <c r="AI63" s="16">
        <v>53000.000183999997</v>
      </c>
      <c r="AJ63" s="16">
        <v>388.88862699999999</v>
      </c>
      <c r="AK63" s="16">
        <v>120840.165524</v>
      </c>
      <c r="AL63" s="17">
        <v>32024.045427000001</v>
      </c>
      <c r="AM63" s="16">
        <v>34138.889075999999</v>
      </c>
      <c r="AN63" s="16">
        <v>44388.889073999999</v>
      </c>
      <c r="AO63" s="16">
        <v>35431.344654</v>
      </c>
      <c r="AP63" s="16">
        <v>12472.222431</v>
      </c>
      <c r="AQ63" s="15">
        <v>0.16606899999999999</v>
      </c>
      <c r="AR63" s="16">
        <v>40333.000239000001</v>
      </c>
      <c r="AS63" s="15">
        <v>5.3226999999999997E-2</v>
      </c>
      <c r="AT63" s="16">
        <v>88.833534</v>
      </c>
      <c r="AU63" s="16">
        <v>8833.3335580000003</v>
      </c>
      <c r="AV63" s="16">
        <v>15166.666896000001</v>
      </c>
      <c r="AW63" s="15">
        <v>1.444E-2</v>
      </c>
      <c r="AX63" s="16">
        <v>504.14744100000001</v>
      </c>
      <c r="AY63" s="16">
        <v>4444.4446959999996</v>
      </c>
      <c r="AZ63" s="15">
        <v>0.27078200000000002</v>
      </c>
      <c r="BA63" s="16">
        <v>2944.4445529999998</v>
      </c>
      <c r="BB63" s="15">
        <v>1.2642E-2</v>
      </c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>
        <v>152284.13819100001</v>
      </c>
      <c r="CT63" s="17">
        <v>74756.874647999997</v>
      </c>
      <c r="CU63" s="11">
        <v>0.16042999999999999</v>
      </c>
      <c r="CV63" s="11">
        <v>1.7215999999999999E-2</v>
      </c>
      <c r="CW63" s="11">
        <v>1.7939E-2</v>
      </c>
      <c r="CX63" s="11">
        <v>99387.557249000005</v>
      </c>
      <c r="CY63" s="11">
        <v>9295.8842700000005</v>
      </c>
      <c r="CZ63" s="11">
        <v>18979.951546</v>
      </c>
      <c r="DA63" s="11">
        <v>8.3379999999999999E-3</v>
      </c>
      <c r="DB63" s="11">
        <v>50295.224333999999</v>
      </c>
      <c r="DC63" s="11">
        <v>4.2391999999999999E-2</v>
      </c>
      <c r="DD63" s="11">
        <v>3.5133999999999999E-2</v>
      </c>
      <c r="DE63" s="11">
        <v>5.9891E-2</v>
      </c>
      <c r="DF63" s="11">
        <v>2.0219999999999998E-2</v>
      </c>
      <c r="DG63" s="11">
        <v>1.1004999999999999E-2</v>
      </c>
      <c r="DH63" s="11">
        <v>3.5509999999999999E-3</v>
      </c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</row>
    <row r="64" spans="1:144" x14ac:dyDescent="0.3">
      <c r="A64">
        <v>62</v>
      </c>
      <c r="B64" s="6">
        <v>410000</v>
      </c>
      <c r="C64" s="6">
        <v>231633.87149799999</v>
      </c>
      <c r="D64" s="6">
        <v>231502.681262</v>
      </c>
      <c r="E64" s="6">
        <f>(C63-Tableau6[[#This Row],[Total cost (M€/y) HIGH]])/(Tableau6[[#This Row],[Solid biomass availability (GWh/y)]]-B63)*1000</f>
        <v>25.914056199998594</v>
      </c>
      <c r="F64" s="6" t="s">
        <v>29</v>
      </c>
      <c r="G64" s="10">
        <f t="shared" si="10"/>
        <v>30.625052138461836</v>
      </c>
      <c r="H64" s="6" t="s">
        <v>10</v>
      </c>
      <c r="I64" s="11" cm="1">
        <f t="array" ref="I64">INDEX(Tableau3[Production cost (M€/GWh)],
       MATCH(1,
             (Tableau3[Resource]=Tableau6[[#This Row],[Marginal supply commodity HIGH]])*(Tableau3[Scenario]="HIGH_2050"),
             0))*1000</f>
        <v>24.512988996763799</v>
      </c>
      <c r="J64" s="11" cm="1">
        <f t="array" ref="J64">INDEX(Tableau3[GHG impact (tCO2eq/MWh)],
       MATCH(1,
             (Tableau3[Resource]=Tableau6[[#This Row],[Marginal supply commodity HIGH]])*(Tableau3[Scenario]="HIGH_2050"),
             0))*1000</f>
        <v>13.9178738926524</v>
      </c>
      <c r="K64" s="11">
        <f>(Tableau6[[#This Row],[Total cost (M€/y) HIGH]]-Tableau6[[#This Row],[Total Cost (M€) HIGH +1Mt CO2]])</f>
        <v>131.19023599999491</v>
      </c>
      <c r="L64" s="22">
        <f>Tableau6[[#This Row],[Marginal Carbon cost (€/tCO2) HIGH]]*Tableau6[[#This Row],[Marginal emission factor (kgCO2/MWh) HIGH]]/1000</f>
        <v>1.8258891605952363</v>
      </c>
      <c r="M64" s="22">
        <f>(CS64-CS63)*AVERAGE($E$3,E64)/(B64-B63)</f>
        <v>22.175739692239702</v>
      </c>
      <c r="N64" s="22">
        <f>(CS64-CS63)*Tableau6[[#This Row],[Marginal value of solid biomass (€/MWh) HIGH]]/(B64-B63)</f>
        <v>0.76933999368024653</v>
      </c>
      <c r="O64" s="22">
        <f>(CS64-CS63)*Tableau6[[#This Row],[Marginal supply cost (€/MWh) HIGH]]/(B64-B63)</f>
        <v>0.72774492168675775</v>
      </c>
      <c r="P64" s="22">
        <f>Tableau6[[#This Row],[Marginal supply cost (€/MWh) HIGH]]+Tableau6[[#This Row],[Carbon cost of marginal biomass (€/MWh) HIGH]]</f>
        <v>26.338878157359034</v>
      </c>
      <c r="Y64" s="10">
        <f>Tableau6[[#This Row],[Total cost (M€/y) MED]]-Tableau6[[#This Row],[Total cost (M€/y) MED +1Mt CO2]]</f>
        <v>0</v>
      </c>
      <c r="Z64" s="10">
        <f>Tableau6[[#This Row],[Marginal Carbon cost (€/tCO2) MED]]*Tableau6[[#This Row],[Marginal emission factor (kgCO2/MWh)]]/1000</f>
        <v>0</v>
      </c>
      <c r="AA64" s="10">
        <f>Tableau6[[#This Row],[Carbon cost of marginal biomass (€/MWh) MED]]+Tableau6[[#This Row],[Marginal supply cost (€/MWh) MED]]</f>
        <v>0</v>
      </c>
      <c r="AH64" s="15">
        <v>1.142957</v>
      </c>
      <c r="AI64" s="16">
        <v>53000.000784999997</v>
      </c>
      <c r="AJ64" s="16">
        <v>388.88728500000002</v>
      </c>
      <c r="AK64" s="16">
        <v>120840.149315</v>
      </c>
      <c r="AL64" s="17">
        <v>37021.419725</v>
      </c>
      <c r="AM64" s="16">
        <v>34138.889477999997</v>
      </c>
      <c r="AN64" s="16">
        <v>44388.889442</v>
      </c>
      <c r="AO64" s="16">
        <v>35431.345158999997</v>
      </c>
      <c r="AP64" s="16">
        <v>12472.222927999999</v>
      </c>
      <c r="AQ64" s="15">
        <v>0.71458999999999995</v>
      </c>
      <c r="AR64" s="16">
        <v>40333.001036000001</v>
      </c>
      <c r="AS64" s="15">
        <v>0.20628099999999999</v>
      </c>
      <c r="AT64" s="16">
        <v>88.833945</v>
      </c>
      <c r="AU64" s="16">
        <v>8833.3341060000002</v>
      </c>
      <c r="AV64" s="16">
        <v>15166.667466000001</v>
      </c>
      <c r="AW64" s="15">
        <v>5.6773999999999998E-2</v>
      </c>
      <c r="AX64" s="16">
        <v>504.14799199999999</v>
      </c>
      <c r="AY64" s="16">
        <v>4444.4453469999999</v>
      </c>
      <c r="AZ64" s="15">
        <v>1.1175060000000001</v>
      </c>
      <c r="BA64" s="16">
        <v>2944.4448130000001</v>
      </c>
      <c r="BB64" s="15">
        <v>0.10646600000000001</v>
      </c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>
        <v>152432.57886499999</v>
      </c>
      <c r="CT64" s="17">
        <v>83586.002630999996</v>
      </c>
      <c r="CU64" s="11">
        <v>0.60975500000000005</v>
      </c>
      <c r="CV64" s="11">
        <v>7.5050000000000006E-2</v>
      </c>
      <c r="CW64" s="11">
        <v>7.7557000000000001E-2</v>
      </c>
      <c r="CX64" s="11">
        <v>99387.384355000002</v>
      </c>
      <c r="CY64" s="11">
        <v>9828.0217069999999</v>
      </c>
      <c r="CZ64" s="11">
        <v>15520.5592</v>
      </c>
      <c r="DA64" s="11">
        <v>3.6486999999999999E-2</v>
      </c>
      <c r="DB64" s="11">
        <v>49243.932586000003</v>
      </c>
      <c r="DC64" s="11">
        <v>0.171792</v>
      </c>
      <c r="DD64" s="11">
        <v>0.158077</v>
      </c>
      <c r="DE64" s="11">
        <v>0.26564900000000002</v>
      </c>
      <c r="DF64" s="11">
        <v>8.6774000000000004E-2</v>
      </c>
      <c r="DG64" s="11">
        <v>4.7696000000000002E-2</v>
      </c>
      <c r="DH64" s="11">
        <v>1.5226E-2</v>
      </c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</row>
    <row r="65" spans="1:144" x14ac:dyDescent="0.3">
      <c r="A65">
        <v>63</v>
      </c>
      <c r="B65" s="6">
        <v>415000</v>
      </c>
      <c r="C65" s="6">
        <v>231511.08336799999</v>
      </c>
      <c r="D65" s="6">
        <v>231378.64566800001</v>
      </c>
      <c r="E65" s="6">
        <f>(C64-Tableau6[[#This Row],[Total cost (M€/y) HIGH]])/(Tableau6[[#This Row],[Solid biomass availability (GWh/y)]]-B64)*1000</f>
        <v>24.557626000000166</v>
      </c>
      <c r="F65" s="6" t="s">
        <v>29</v>
      </c>
      <c r="G65" s="10">
        <f t="shared" si="10"/>
        <v>30.625052138461836</v>
      </c>
      <c r="H65" s="6" t="s">
        <v>10</v>
      </c>
      <c r="I65" s="11" cm="1">
        <f t="array" ref="I65">INDEX(Tableau3[Production cost (M€/GWh)],
       MATCH(1,
             (Tableau3[Resource]=Tableau6[[#This Row],[Marginal supply commodity HIGH]])*(Tableau3[Scenario]="HIGH_2050"),
             0))*1000</f>
        <v>24.512988996763799</v>
      </c>
      <c r="J65" s="11" cm="1">
        <f t="array" ref="J65">INDEX(Tableau3[GHG impact (tCO2eq/MWh)],
       MATCH(1,
             (Tableau3[Resource]=Tableau6[[#This Row],[Marginal supply commodity HIGH]])*(Tableau3[Scenario]="HIGH_2050"),
             0))*1000</f>
        <v>13.9178738926524</v>
      </c>
      <c r="K65" s="11">
        <f>(Tableau6[[#This Row],[Total cost (M€/y) HIGH]]-Tableau6[[#This Row],[Total Cost (M€) HIGH +1Mt CO2]])</f>
        <v>132.4376999999804</v>
      </c>
      <c r="L65" s="22">
        <f>Tableau6[[#This Row],[Marginal Carbon cost (€/tCO2) HIGH]]*Tableau6[[#This Row],[Marginal emission factor (kgCO2/MWh) HIGH]]/1000</f>
        <v>1.8432512072326579</v>
      </c>
      <c r="M65" s="22">
        <f>(CS65-CS64)*AVERAGE($E$3,E65)/(B65-B64)</f>
        <v>22.192887610626205</v>
      </c>
      <c r="N65" s="22">
        <f>(CS65-CS64)*Tableau6[[#This Row],[Marginal value of solid biomass (€/MWh) HIGH]]/(B65-B64)</f>
        <v>0.73029697075874822</v>
      </c>
      <c r="O65" s="22">
        <f>(CS65-CS64)*Tableau6[[#This Row],[Marginal supply cost (€/MWh) HIGH]]/(B65-B64)</f>
        <v>0.72896955139633635</v>
      </c>
      <c r="P65" s="22">
        <f>Tableau6[[#This Row],[Marginal supply cost (€/MWh) HIGH]]+Tableau6[[#This Row],[Carbon cost of marginal biomass (€/MWh) HIGH]]</f>
        <v>26.356240203996457</v>
      </c>
      <c r="Y65" s="10">
        <f>Tableau6[[#This Row],[Total cost (M€/y) MED]]-Tableau6[[#This Row],[Total cost (M€/y) MED +1Mt CO2]]</f>
        <v>0</v>
      </c>
      <c r="Z65" s="10">
        <f>Tableau6[[#This Row],[Marginal Carbon cost (€/tCO2) MED]]*Tableau6[[#This Row],[Marginal emission factor (kgCO2/MWh)]]/1000</f>
        <v>0</v>
      </c>
      <c r="AA65" s="10">
        <f>Tableau6[[#This Row],[Carbon cost of marginal biomass (€/MWh) MED]]+Tableau6[[#This Row],[Marginal supply cost (€/MWh) MED]]</f>
        <v>0</v>
      </c>
      <c r="AH65" s="15">
        <v>1.324899</v>
      </c>
      <c r="AI65" s="16">
        <v>53000.002790999999</v>
      </c>
      <c r="AJ65" s="16">
        <v>388.888194</v>
      </c>
      <c r="AK65" s="16">
        <v>120840.139985</v>
      </c>
      <c r="AL65" s="17">
        <v>42018.741596</v>
      </c>
      <c r="AM65" s="16">
        <v>34138.891568999999</v>
      </c>
      <c r="AN65" s="16">
        <v>44388.891481999999</v>
      </c>
      <c r="AO65" s="16">
        <v>35431.347410000002</v>
      </c>
      <c r="AP65" s="16">
        <v>12472.225221999999</v>
      </c>
      <c r="AQ65" s="15">
        <v>1.541339</v>
      </c>
      <c r="AR65" s="16">
        <v>40333.002858</v>
      </c>
      <c r="AS65" s="15">
        <v>0.378222</v>
      </c>
      <c r="AT65" s="16">
        <v>88.836326999999997</v>
      </c>
      <c r="AU65" s="16">
        <v>8833.3364959999999</v>
      </c>
      <c r="AV65" s="16">
        <v>15166.669849</v>
      </c>
      <c r="AW65" s="15">
        <v>0.127389</v>
      </c>
      <c r="AX65" s="16">
        <v>504.15039999999999</v>
      </c>
      <c r="AY65" s="16">
        <v>4444.4478660000004</v>
      </c>
      <c r="AZ65" s="15">
        <v>2.4733429999999998</v>
      </c>
      <c r="BA65" s="16">
        <v>2944.4467209999998</v>
      </c>
      <c r="BB65" s="15">
        <v>0.21726300000000001</v>
      </c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>
        <v>152581.26933099999</v>
      </c>
      <c r="CT65" s="17">
        <v>92415.688548999999</v>
      </c>
      <c r="CU65" s="11">
        <v>1.4066860000000001</v>
      </c>
      <c r="CV65" s="11">
        <v>0.16527700000000001</v>
      </c>
      <c r="CW65" s="11">
        <v>0.17324100000000001</v>
      </c>
      <c r="CX65" s="11">
        <v>99387.153518000006</v>
      </c>
      <c r="CY65" s="11">
        <v>10365.032099</v>
      </c>
      <c r="CZ65" s="11">
        <v>12061.043467</v>
      </c>
      <c r="DA65" s="11">
        <v>8.0710000000000004E-2</v>
      </c>
      <c r="DB65" s="11">
        <v>48186.439270000003</v>
      </c>
      <c r="DC65" s="11">
        <v>0.372197</v>
      </c>
      <c r="DD65" s="11">
        <v>0.34571200000000002</v>
      </c>
      <c r="DE65" s="11">
        <v>0.58062999999999998</v>
      </c>
      <c r="DF65" s="11">
        <v>0.19097700000000001</v>
      </c>
      <c r="DG65" s="11">
        <v>0.10564900000000001</v>
      </c>
      <c r="DH65" s="11">
        <v>3.3922000000000001E-2</v>
      </c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</row>
    <row r="66" spans="1:144" x14ac:dyDescent="0.3">
      <c r="A66">
        <v>64</v>
      </c>
      <c r="B66" s="6">
        <v>420000</v>
      </c>
      <c r="C66" s="6">
        <v>231373.92004</v>
      </c>
      <c r="D66" s="6">
        <v>231237.85866699999</v>
      </c>
      <c r="E66" s="6">
        <f>(C65-Tableau6[[#This Row],[Total cost (M€/y) HIGH]])/(Tableau6[[#This Row],[Solid biomass availability (GWh/y)]]-B65)*1000</f>
        <v>27.432665599999019</v>
      </c>
      <c r="F66" s="6" t="s">
        <v>29</v>
      </c>
      <c r="G66" s="10">
        <f t="shared" si="10"/>
        <v>30.625052138461836</v>
      </c>
      <c r="H66" s="6" t="s">
        <v>10</v>
      </c>
      <c r="I66" s="11" cm="1">
        <f t="array" ref="I66">INDEX(Tableau3[Production cost (M€/GWh)],
       MATCH(1,
             (Tableau3[Resource]=Tableau6[[#This Row],[Marginal supply commodity HIGH]])*(Tableau3[Scenario]="HIGH_2050"),
             0))*1000</f>
        <v>24.512988996763799</v>
      </c>
      <c r="J66" s="11" cm="1">
        <f t="array" ref="J66">INDEX(Tableau3[GHG impact (tCO2eq/MWh)],
       MATCH(1,
             (Tableau3[Resource]=Tableau6[[#This Row],[Marginal supply commodity HIGH]])*(Tableau3[Scenario]="HIGH_2050"),
             0))*1000</f>
        <v>13.9178738926524</v>
      </c>
      <c r="K66" s="11">
        <f>(Tableau6[[#This Row],[Total cost (M€/y) HIGH]]-Tableau6[[#This Row],[Total Cost (M€) HIGH +1Mt CO2]])</f>
        <v>136.0613730000041</v>
      </c>
      <c r="L66" s="22">
        <f>Tableau6[[#This Row],[Marginal Carbon cost (€/tCO2) HIGH]]*Tableau6[[#This Row],[Marginal emission factor (kgCO2/MWh) HIGH]]/1000</f>
        <v>1.8936850310751971</v>
      </c>
      <c r="M66" s="22">
        <f>(CS66-CS65)*AVERAGE($E$3,E66)/(B66-B65)</f>
        <v>22.172758759942038</v>
      </c>
      <c r="N66" s="22">
        <f>(CS66-CS65)*Tableau6[[#This Row],[Marginal value of solid biomass (€/MWh) HIGH]]/(B66-B65)</f>
        <v>0.81348826021589826</v>
      </c>
      <c r="O66" s="22">
        <f>(CS66-CS65)*Tableau6[[#This Row],[Marginal supply cost (€/MWh) HIGH]]/(B66-B65)</f>
        <v>0.72690817080748982</v>
      </c>
      <c r="P66" s="22">
        <f>Tableau6[[#This Row],[Marginal supply cost (€/MWh) HIGH]]+Tableau6[[#This Row],[Carbon cost of marginal biomass (€/MWh) HIGH]]</f>
        <v>26.406674027838996</v>
      </c>
      <c r="Y66" s="10">
        <f>Tableau6[[#This Row],[Total cost (M€/y) MED]]-Tableau6[[#This Row],[Total cost (M€/y) MED +1Mt CO2]]</f>
        <v>0</v>
      </c>
      <c r="Z66" s="10">
        <f>Tableau6[[#This Row],[Marginal Carbon cost (€/tCO2) MED]]*Tableau6[[#This Row],[Marginal emission factor (kgCO2/MWh)]]/1000</f>
        <v>0</v>
      </c>
      <c r="AA66" s="10">
        <f>Tableau6[[#This Row],[Carbon cost of marginal biomass (€/MWh) MED]]+Tableau6[[#This Row],[Marginal supply cost (€/MWh) MED]]</f>
        <v>0</v>
      </c>
      <c r="AH66" s="15">
        <v>3.1705839999999998</v>
      </c>
      <c r="AI66" s="16">
        <v>53000.003482</v>
      </c>
      <c r="AJ66" s="16">
        <v>388.88361099999997</v>
      </c>
      <c r="AK66" s="16">
        <v>120840.171611</v>
      </c>
      <c r="AL66" s="17">
        <v>47013.489027000003</v>
      </c>
      <c r="AM66" s="16">
        <v>34138.892011999997</v>
      </c>
      <c r="AN66" s="16">
        <v>44388.892038999998</v>
      </c>
      <c r="AO66" s="16">
        <v>35431.347960999999</v>
      </c>
      <c r="AP66" s="16">
        <v>12472.225664</v>
      </c>
      <c r="AQ66" s="15">
        <v>2.4576310000000001</v>
      </c>
      <c r="AR66" s="16">
        <v>40332.943272999997</v>
      </c>
      <c r="AS66" s="15">
        <v>1.1431640000000001</v>
      </c>
      <c r="AT66" s="16">
        <v>88.836625999999995</v>
      </c>
      <c r="AU66" s="16">
        <v>8833.3370790000008</v>
      </c>
      <c r="AV66" s="16">
        <v>15166.670531</v>
      </c>
      <c r="AW66" s="15">
        <v>0.25552799999999998</v>
      </c>
      <c r="AX66" s="16">
        <v>504.15069399999999</v>
      </c>
      <c r="AY66" s="16">
        <v>4444.448703</v>
      </c>
      <c r="AZ66" s="15">
        <v>3.9489740000000002</v>
      </c>
      <c r="BA66" s="16">
        <v>2944.4458610000001</v>
      </c>
      <c r="BB66" s="15">
        <v>0.39487100000000003</v>
      </c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>
        <v>152729.53933</v>
      </c>
      <c r="CT66" s="17">
        <v>101164.00857000001</v>
      </c>
      <c r="CU66" s="11">
        <v>2.9475660000000001</v>
      </c>
      <c r="CV66" s="11">
        <v>0.32238600000000001</v>
      </c>
      <c r="CW66" s="11">
        <v>0.32867800000000003</v>
      </c>
      <c r="CX66" s="11">
        <v>99386.845772000001</v>
      </c>
      <c r="CY66" s="11">
        <v>10900.007325</v>
      </c>
      <c r="CZ66" s="11">
        <v>8633.4995830000007</v>
      </c>
      <c r="DA66" s="11">
        <v>0.14729900000000001</v>
      </c>
      <c r="DB66" s="11">
        <v>47179.448066999998</v>
      </c>
      <c r="DC66" s="11">
        <v>0.68862599999999996</v>
      </c>
      <c r="DD66" s="11">
        <v>0.64507400000000004</v>
      </c>
      <c r="DE66" s="11">
        <v>1.074476</v>
      </c>
      <c r="DF66" s="11">
        <v>0.35004999999999997</v>
      </c>
      <c r="DG66" s="11">
        <v>0.194716</v>
      </c>
      <c r="DH66" s="11">
        <v>6.1445E-2</v>
      </c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</row>
    <row r="67" spans="1:144" x14ac:dyDescent="0.3">
      <c r="A67">
        <v>65</v>
      </c>
      <c r="B67" s="6">
        <v>425000</v>
      </c>
      <c r="C67" s="6">
        <v>231230.17717499999</v>
      </c>
      <c r="D67" s="6">
        <v>231106.258466</v>
      </c>
      <c r="E67" s="6">
        <f>(C66-Tableau6[[#This Row],[Total cost (M€/y) HIGH]])/(Tableau6[[#This Row],[Solid biomass availability (GWh/y)]]-B66)*1000</f>
        <v>28.748573000001489</v>
      </c>
      <c r="F67" s="6" t="s">
        <v>29</v>
      </c>
      <c r="G67" s="10">
        <f t="shared" si="10"/>
        <v>30.625052138461836</v>
      </c>
      <c r="H67" s="6" t="s">
        <v>10</v>
      </c>
      <c r="I67" s="11" cm="1">
        <f t="array" ref="I67">INDEX(Tableau3[Production cost (M€/GWh)],
       MATCH(1,
             (Tableau3[Resource]=Tableau6[[#This Row],[Marginal supply commodity HIGH]])*(Tableau3[Scenario]="HIGH_2050"),
             0))*1000</f>
        <v>24.512988996763799</v>
      </c>
      <c r="J67" s="11" cm="1">
        <f t="array" ref="J67">INDEX(Tableau3[GHG impact (tCO2eq/MWh)],
       MATCH(1,
             (Tableau3[Resource]=Tableau6[[#This Row],[Marginal supply commodity HIGH]])*(Tableau3[Scenario]="HIGH_2050"),
             0))*1000</f>
        <v>13.9178738926524</v>
      </c>
      <c r="K67" s="11">
        <f>(Tableau6[[#This Row],[Total cost (M€/y) HIGH]]-Tableau6[[#This Row],[Total Cost (M€) HIGH +1Mt CO2]])</f>
        <v>123.91870899999049</v>
      </c>
      <c r="L67" s="22">
        <f>Tableau6[[#This Row],[Marginal Carbon cost (€/tCO2) HIGH]]*Tableau6[[#This Row],[Marginal emission factor (kgCO2/MWh) HIGH]]/1000</f>
        <v>1.7246849648021576</v>
      </c>
      <c r="M67" s="22">
        <f>(CS67-CS66)*AVERAGE($E$3,E67)/(B67-B66)</f>
        <v>21.496784905675387</v>
      </c>
      <c r="N67" s="22">
        <f>(CS67-CS66)*Tableau6[[#This Row],[Marginal value of solid biomass (€/MWh) HIGH]]/(B67-B66)</f>
        <v>0.82579331264397826</v>
      </c>
      <c r="O67" s="22">
        <f>(CS67-CS66)*Tableau6[[#This Row],[Marginal supply cost (€/MWh) HIGH]]/(B67-B66)</f>
        <v>0.70412755396387561</v>
      </c>
      <c r="P67" s="22">
        <f>Tableau6[[#This Row],[Marginal supply cost (€/MWh) HIGH]]+Tableau6[[#This Row],[Carbon cost of marginal biomass (€/MWh) HIGH]]</f>
        <v>26.237673961565957</v>
      </c>
      <c r="Y67" s="10">
        <f>Tableau6[[#This Row],[Total cost (M€/y) MED]]-Tableau6[[#This Row],[Total cost (M€/y) MED +1Mt CO2]]</f>
        <v>0</v>
      </c>
      <c r="Z67" s="10">
        <f>Tableau6[[#This Row],[Marginal Carbon cost (€/tCO2) MED]]*Tableau6[[#This Row],[Marginal emission factor (kgCO2/MWh)]]/1000</f>
        <v>0</v>
      </c>
      <c r="AA67" s="10">
        <f>Tableau6[[#This Row],[Carbon cost of marginal biomass (€/MWh) MED]]+Tableau6[[#This Row],[Marginal supply cost (€/MWh) MED]]</f>
        <v>0</v>
      </c>
      <c r="AH67" s="15">
        <v>2.2236720000000001</v>
      </c>
      <c r="AI67" s="16">
        <v>52999.996512999998</v>
      </c>
      <c r="AJ67" s="16">
        <v>388.88500499999998</v>
      </c>
      <c r="AK67" s="16">
        <v>120839.21798099999</v>
      </c>
      <c r="AL67" s="17">
        <v>52014.960627</v>
      </c>
      <c r="AM67" s="16">
        <v>34138.888471999999</v>
      </c>
      <c r="AN67" s="16">
        <v>44388.885927000003</v>
      </c>
      <c r="AO67" s="16">
        <v>35431.344860999998</v>
      </c>
      <c r="AP67" s="16">
        <v>12472.222874999999</v>
      </c>
      <c r="AQ67" s="15">
        <v>2.6755399999999998</v>
      </c>
      <c r="AR67" s="16">
        <v>40333.000906000001</v>
      </c>
      <c r="AS67" s="15">
        <v>0.685917</v>
      </c>
      <c r="AT67" s="16">
        <v>88.834243999999998</v>
      </c>
      <c r="AU67" s="16">
        <v>8833.3342379999995</v>
      </c>
      <c r="AV67" s="16">
        <v>15166.667579000001</v>
      </c>
      <c r="AW67" s="15">
        <v>0.19960900000000001</v>
      </c>
      <c r="AX67" s="16">
        <v>504.14815700000003</v>
      </c>
      <c r="AY67" s="16">
        <v>4444.4456829999999</v>
      </c>
      <c r="AZ67" s="15">
        <v>4.6395229999999996</v>
      </c>
      <c r="BA67" s="16">
        <v>2944.443777</v>
      </c>
      <c r="BB67" s="15">
        <v>0.33899899999999999</v>
      </c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>
        <v>152873.162687</v>
      </c>
      <c r="CT67" s="17">
        <v>106409.799206</v>
      </c>
      <c r="CU67" s="11">
        <v>2.6535319999999998</v>
      </c>
      <c r="CV67" s="11">
        <v>0.27856900000000001</v>
      </c>
      <c r="CW67" s="11">
        <v>0.27790999999999999</v>
      </c>
      <c r="CX67" s="11">
        <v>99387.035145999995</v>
      </c>
      <c r="CY67" s="11">
        <v>11510.712041000001</v>
      </c>
      <c r="CZ67" s="11">
        <v>6577.8703409999998</v>
      </c>
      <c r="DA67" s="11">
        <v>0.13030600000000001</v>
      </c>
      <c r="DB67" s="17">
        <v>48235.497512000002</v>
      </c>
      <c r="DC67" s="11">
        <v>0.59625499999999998</v>
      </c>
      <c r="DD67" s="11">
        <v>0.57398000000000005</v>
      </c>
      <c r="DE67" s="11">
        <v>0.90951300000000002</v>
      </c>
      <c r="DF67" s="11">
        <v>0.31921100000000002</v>
      </c>
      <c r="DG67" s="11">
        <v>0.17166999999999999</v>
      </c>
      <c r="DH67" s="11">
        <v>5.2255000000000003E-2</v>
      </c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</row>
    <row r="68" spans="1:144" x14ac:dyDescent="0.3">
      <c r="A68">
        <v>66</v>
      </c>
      <c r="B68" s="6">
        <v>430000</v>
      </c>
      <c r="C68" s="6">
        <v>231096.447996</v>
      </c>
      <c r="D68" s="6">
        <v>230982.86192</v>
      </c>
      <c r="E68" s="6">
        <f>(C67-Tableau6[[#This Row],[Total cost (M€/y) HIGH]])/(Tableau6[[#This Row],[Solid biomass availability (GWh/y)]]-B67)*1000</f>
        <v>26.74583579999744</v>
      </c>
      <c r="F68" s="6" t="s">
        <v>37</v>
      </c>
      <c r="G68" s="10">
        <f>AVERAGE($E$68:$E$74)</f>
        <v>22.399602400000109</v>
      </c>
      <c r="H68" s="6" t="s">
        <v>10</v>
      </c>
      <c r="I68" s="11" cm="1">
        <f t="array" ref="I68">INDEX(Tableau3[Production cost (M€/GWh)],
       MATCH(1,
             (Tableau3[Resource]=Tableau6[[#This Row],[Marginal supply commodity HIGH]])*(Tableau3[Scenario]="HIGH_2050"),
             0))*1000</f>
        <v>24.512988996763799</v>
      </c>
      <c r="J68" s="11" cm="1">
        <f t="array" ref="J68">INDEX(Tableau3[GHG impact (tCO2eq/MWh)],
       MATCH(1,
             (Tableau3[Resource]=Tableau6[[#This Row],[Marginal supply commodity HIGH]])*(Tableau3[Scenario]="HIGH_2050"),
             0))*1000</f>
        <v>13.9178738926524</v>
      </c>
      <c r="K68" s="11">
        <f>(Tableau6[[#This Row],[Total cost (M€/y) HIGH]]-Tableau6[[#This Row],[Total Cost (M€) HIGH +1Mt CO2]])</f>
        <v>113.58607600000687</v>
      </c>
      <c r="L68" s="22">
        <f>Tableau6[[#This Row],[Marginal Carbon cost (€/tCO2) HIGH]]*Tableau6[[#This Row],[Marginal emission factor (kgCO2/MWh) HIGH]]/1000</f>
        <v>1.5808766817293269</v>
      </c>
      <c r="M68" s="22">
        <f>(CS68-CS67)*AVERAGE($E$3,E68)/(B68-B67)</f>
        <v>21.550451142933628</v>
      </c>
      <c r="N68" s="22">
        <f>(CS68-CS67)*Tableau6[[#This Row],[Marginal value of solid biomass (€/MWh) HIGH]]/(B68-B67)</f>
        <v>0.77121523383943635</v>
      </c>
      <c r="O68" s="22">
        <f>(CS68-CS67)*Tableau6[[#This Row],[Marginal supply cost (€/MWh) HIGH]]/(B68-B67)</f>
        <v>0.70683117486440761</v>
      </c>
      <c r="P68" s="22">
        <f>Tableau6[[#This Row],[Marginal supply cost (€/MWh) HIGH]]+Tableau6[[#This Row],[Carbon cost of marginal biomass (€/MWh) HIGH]]</f>
        <v>26.093865678493124</v>
      </c>
      <c r="Y68" s="10">
        <f>Tableau6[[#This Row],[Total cost (M€/y) MED]]-Tableau6[[#This Row],[Total cost (M€/y) MED +1Mt CO2]]</f>
        <v>0</v>
      </c>
      <c r="Z68" s="10">
        <f>Tableau6[[#This Row],[Marginal Carbon cost (€/tCO2) MED]]*Tableau6[[#This Row],[Marginal emission factor (kgCO2/MWh)]]/1000</f>
        <v>0</v>
      </c>
      <c r="AA68" s="10">
        <f>Tableau6[[#This Row],[Carbon cost of marginal biomass (€/MWh) MED]]+Tableau6[[#This Row],[Marginal supply cost (€/MWh) MED]]</f>
        <v>0</v>
      </c>
      <c r="AH68" s="15">
        <v>0.25465900000000002</v>
      </c>
      <c r="AI68" s="16">
        <v>52999.999986000003</v>
      </c>
      <c r="AJ68" s="16">
        <v>388.88827300000003</v>
      </c>
      <c r="AK68" s="16">
        <v>120840.166667</v>
      </c>
      <c r="AL68" s="17">
        <v>57023.692644000002</v>
      </c>
      <c r="AM68" s="16">
        <v>34138.888872000003</v>
      </c>
      <c r="AN68" s="16">
        <v>44388.888866000001</v>
      </c>
      <c r="AO68" s="16">
        <v>35431.344450999997</v>
      </c>
      <c r="AP68" s="16">
        <v>12472.222229999999</v>
      </c>
      <c r="AQ68" s="15">
        <v>0.24440799999999999</v>
      </c>
      <c r="AR68" s="16">
        <v>40333.000046000001</v>
      </c>
      <c r="AS68" s="15">
        <v>4.2701000000000003E-2</v>
      </c>
      <c r="AT68" s="16">
        <v>88.833314999999999</v>
      </c>
      <c r="AU68" s="16">
        <v>8833.3333619999994</v>
      </c>
      <c r="AV68" s="16">
        <v>15166.666695</v>
      </c>
      <c r="AW68" s="15">
        <v>1.6577999999999999E-2</v>
      </c>
      <c r="AX68" s="16">
        <v>504.14723400000003</v>
      </c>
      <c r="AY68" s="16">
        <v>4444.4444990000002</v>
      </c>
      <c r="AZ68" s="15">
        <v>0.45581100000000002</v>
      </c>
      <c r="BA68" s="16">
        <v>2944.4443339999998</v>
      </c>
      <c r="BB68" s="15">
        <v>2.6668000000000001E-2</v>
      </c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>
        <v>153017.33751099999</v>
      </c>
      <c r="CT68" s="11">
        <v>106417.789792</v>
      </c>
      <c r="CU68" s="11">
        <v>0.25533299999999998</v>
      </c>
      <c r="CV68" s="11">
        <v>2.3737999999999999E-2</v>
      </c>
      <c r="CW68" s="11">
        <v>2.3401999999999999E-2</v>
      </c>
      <c r="CX68" s="11">
        <v>99387.559565000003</v>
      </c>
      <c r="CY68" s="11">
        <v>12128.101349</v>
      </c>
      <c r="CZ68" s="11">
        <v>6574.3591610000003</v>
      </c>
      <c r="DA68" s="11">
        <v>1.0602E-2</v>
      </c>
      <c r="DB68" s="17">
        <v>52474.321567999999</v>
      </c>
      <c r="DC68" s="11">
        <v>5.1135E-2</v>
      </c>
      <c r="DD68" s="11">
        <v>4.8641999999999998E-2</v>
      </c>
      <c r="DE68" s="11">
        <v>7.5381000000000004E-2</v>
      </c>
      <c r="DF68" s="11">
        <v>2.6765000000000001E-2</v>
      </c>
      <c r="DG68" s="11">
        <v>1.4033E-2</v>
      </c>
      <c r="DH68" s="11">
        <v>4.3229999999999996E-3</v>
      </c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</row>
    <row r="69" spans="1:144" x14ac:dyDescent="0.3">
      <c r="A69">
        <v>67</v>
      </c>
      <c r="B69" s="6">
        <v>435000</v>
      </c>
      <c r="C69" s="6">
        <v>230978.46144300001</v>
      </c>
      <c r="D69" s="6">
        <v>230859.09991700001</v>
      </c>
      <c r="E69" s="6">
        <f>(C68-Tableau6[[#This Row],[Total cost (M€/y) HIGH]])/(Tableau6[[#This Row],[Solid biomass availability (GWh/y)]]-B68)*1000</f>
        <v>23.597310599999037</v>
      </c>
      <c r="F69" s="6" t="s">
        <v>37</v>
      </c>
      <c r="G69" s="10">
        <f t="shared" ref="G69:G74" si="11">AVERAGE($E$68:$E$74)</f>
        <v>22.399602400000109</v>
      </c>
      <c r="H69" s="6" t="s">
        <v>10</v>
      </c>
      <c r="I69" s="11" cm="1">
        <f t="array" ref="I69">INDEX(Tableau3[Production cost (M€/GWh)],
       MATCH(1,
             (Tableau3[Resource]=Tableau6[[#This Row],[Marginal supply commodity HIGH]])*(Tableau3[Scenario]="HIGH_2050"),
             0))*1000</f>
        <v>24.512988996763799</v>
      </c>
      <c r="J69" s="11" cm="1">
        <f t="array" ref="J69">INDEX(Tableau3[GHG impact (tCO2eq/MWh)],
       MATCH(1,
             (Tableau3[Resource]=Tableau6[[#This Row],[Marginal supply commodity HIGH]])*(Tableau3[Scenario]="HIGH_2050"),
             0))*1000</f>
        <v>13.9178738926524</v>
      </c>
      <c r="K69" s="11">
        <f>(Tableau6[[#This Row],[Total cost (M€/y) HIGH]]-Tableau6[[#This Row],[Total Cost (M€) HIGH +1Mt CO2]])</f>
        <v>119.36152599999332</v>
      </c>
      <c r="L69" s="22">
        <f>Tableau6[[#This Row],[Marginal Carbon cost (€/tCO2) HIGH]]*Tableau6[[#This Row],[Marginal emission factor (kgCO2/MWh) HIGH]]/1000</f>
        <v>1.6612586665024576</v>
      </c>
      <c r="M69" s="22">
        <f>(CS69-CS68)*AVERAGE($E$3,E69)/(B69-B68)</f>
        <v>21.73291576018131</v>
      </c>
      <c r="N69" s="22">
        <f>(CS69-CS68)*Tableau6[[#This Row],[Marginal value of solid biomass (€/MWh) HIGH]]/(B69-B68)</f>
        <v>0.68763714165215417</v>
      </c>
      <c r="O69" s="22">
        <f>(CS69-CS68)*Tableau6[[#This Row],[Marginal supply cost (€/MWh) HIGH]]/(B69-B68)</f>
        <v>0.714320456801804</v>
      </c>
      <c r="P69" s="22">
        <f>Tableau6[[#This Row],[Marginal supply cost (€/MWh) HIGH]]+Tableau6[[#This Row],[Carbon cost of marginal biomass (€/MWh) HIGH]]</f>
        <v>26.174247663266257</v>
      </c>
      <c r="Y69" s="10">
        <f>Tableau6[[#This Row],[Total cost (M€/y) MED]]-Tableau6[[#This Row],[Total cost (M€/y) MED +1Mt CO2]]</f>
        <v>0</v>
      </c>
      <c r="Z69" s="10">
        <f>Tableau6[[#This Row],[Marginal Carbon cost (€/tCO2) MED]]*Tableau6[[#This Row],[Marginal emission factor (kgCO2/MWh)]]/1000</f>
        <v>0</v>
      </c>
      <c r="AA69" s="10">
        <f>Tableau6[[#This Row],[Carbon cost of marginal biomass (€/MWh) MED]]+Tableau6[[#This Row],[Marginal supply cost (€/MWh) MED]]</f>
        <v>0</v>
      </c>
      <c r="AH69" s="15">
        <v>0.52124499999999996</v>
      </c>
      <c r="AI69" s="16">
        <v>53000.000668000001</v>
      </c>
      <c r="AJ69" s="16">
        <v>388.88821999999999</v>
      </c>
      <c r="AK69" s="16">
        <v>120840.04203300001</v>
      </c>
      <c r="AL69" s="17">
        <v>62022.127490999999</v>
      </c>
      <c r="AM69" s="16">
        <v>34138.889536000002</v>
      </c>
      <c r="AN69" s="16">
        <v>44388.889574000001</v>
      </c>
      <c r="AO69" s="16">
        <v>35431.345029999997</v>
      </c>
      <c r="AP69" s="16">
        <v>12472.222754</v>
      </c>
      <c r="AQ69" s="15">
        <v>0.71138000000000001</v>
      </c>
      <c r="AR69" s="16">
        <v>40333.000639999998</v>
      </c>
      <c r="AS69" s="15">
        <v>8.7634000000000004E-2</v>
      </c>
      <c r="AT69" s="16">
        <v>88.833826000000002</v>
      </c>
      <c r="AU69" s="16">
        <v>8833.3338910000002</v>
      </c>
      <c r="AV69" s="16">
        <v>15166.667239</v>
      </c>
      <c r="AW69" s="15">
        <v>3.9574999999999999E-2</v>
      </c>
      <c r="AX69" s="16">
        <v>504.14776599999999</v>
      </c>
      <c r="AY69" s="16">
        <v>4444.4450639999995</v>
      </c>
      <c r="AZ69" s="15">
        <v>1.303145</v>
      </c>
      <c r="BA69" s="16">
        <v>2944.4447030000001</v>
      </c>
      <c r="BB69" s="15">
        <v>7.4384000000000006E-2</v>
      </c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>
        <v>153163.03995000001</v>
      </c>
      <c r="CT69" s="11">
        <v>106417.38140699999</v>
      </c>
      <c r="CU69" s="11">
        <v>0.61993299999999996</v>
      </c>
      <c r="CV69" s="11">
        <v>5.8410999999999998E-2</v>
      </c>
      <c r="CW69" s="11">
        <v>5.7931000000000003E-2</v>
      </c>
      <c r="CX69" s="11">
        <v>99387.467869</v>
      </c>
      <c r="CY69" s="11">
        <v>12753.517011</v>
      </c>
      <c r="CZ69" s="11">
        <v>6574.5754280000001</v>
      </c>
      <c r="DA69" s="11">
        <v>2.6797000000000001E-2</v>
      </c>
      <c r="DB69" s="17">
        <v>56702.728564999998</v>
      </c>
      <c r="DC69" s="11">
        <v>0.12309100000000001</v>
      </c>
      <c r="DD69" s="11">
        <v>0.117712</v>
      </c>
      <c r="DE69" s="11">
        <v>0.191362</v>
      </c>
      <c r="DF69" s="11">
        <v>6.4769999999999994E-2</v>
      </c>
      <c r="DG69" s="11">
        <v>3.4821999999999999E-2</v>
      </c>
      <c r="DH69" s="11">
        <v>1.0746E-2</v>
      </c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</row>
    <row r="70" spans="1:144" x14ac:dyDescent="0.3">
      <c r="A70">
        <v>68</v>
      </c>
      <c r="B70" s="6">
        <v>440000</v>
      </c>
      <c r="C70" s="6">
        <v>230862.92511899999</v>
      </c>
      <c r="D70" s="6">
        <v>230744.11736</v>
      </c>
      <c r="E70" s="6">
        <f>(C69-Tableau6[[#This Row],[Total cost (M€/y) HIGH]])/(Tableau6[[#This Row],[Solid biomass availability (GWh/y)]]-B69)*1000</f>
        <v>23.10726480000303</v>
      </c>
      <c r="F70" s="6" t="s">
        <v>37</v>
      </c>
      <c r="G70" s="10">
        <f t="shared" si="11"/>
        <v>22.399602400000109</v>
      </c>
      <c r="H70" s="6" t="s">
        <v>10</v>
      </c>
      <c r="I70" s="11" cm="1">
        <f t="array" ref="I70">INDEX(Tableau3[Production cost (M€/GWh)],
       MATCH(1,
             (Tableau3[Resource]=Tableau6[[#This Row],[Marginal supply commodity HIGH]])*(Tableau3[Scenario]="HIGH_2050"),
             0))*1000</f>
        <v>24.512988996763799</v>
      </c>
      <c r="J70" s="11" cm="1">
        <f t="array" ref="J70">INDEX(Tableau3[GHG impact (tCO2eq/MWh)],
       MATCH(1,
             (Tableau3[Resource]=Tableau6[[#This Row],[Marginal supply commodity HIGH]])*(Tableau3[Scenario]="HIGH_2050"),
             0))*1000</f>
        <v>13.9178738926524</v>
      </c>
      <c r="K70" s="11">
        <f>(Tableau6[[#This Row],[Total cost (M€/y) HIGH]]-Tableau6[[#This Row],[Total Cost (M€) HIGH +1Mt CO2]])</f>
        <v>118.80775899998844</v>
      </c>
      <c r="L70" s="22">
        <f>Tableau6[[#This Row],[Marginal Carbon cost (€/tCO2) HIGH]]*Tableau6[[#This Row],[Marginal emission factor (kgCO2/MWh) HIGH]]/1000</f>
        <v>1.6535514072304773</v>
      </c>
      <c r="M70" s="22">
        <f>(CS70-CS69)*AVERAGE($E$3,E70)/(B70-B69)</f>
        <v>21.946925605488264</v>
      </c>
      <c r="N70" s="22">
        <f>(CS70-CS69)*Tableau6[[#This Row],[Marginal value of solid biomass (€/MWh) HIGH]]/(B70-B69)</f>
        <v>0.68021116966006501</v>
      </c>
      <c r="O70" s="22">
        <f>(CS70-CS69)*Tableau6[[#This Row],[Marginal supply cost (€/MWh) HIGH]]/(B70-B69)</f>
        <v>0.72159163196809084</v>
      </c>
      <c r="P70" s="22">
        <f>Tableau6[[#This Row],[Marginal supply cost (€/MWh) HIGH]]+Tableau6[[#This Row],[Carbon cost of marginal biomass (€/MWh) HIGH]]</f>
        <v>26.166540403994276</v>
      </c>
      <c r="Y70" s="10">
        <f>Tableau6[[#This Row],[Total cost (M€/y) MED]]-Tableau6[[#This Row],[Total cost (M€/y) MED +1Mt CO2]]</f>
        <v>0</v>
      </c>
      <c r="Z70" s="10">
        <f>Tableau6[[#This Row],[Marginal Carbon cost (€/tCO2) MED]]*Tableau6[[#This Row],[Marginal emission factor (kgCO2/MWh)]]/1000</f>
        <v>0</v>
      </c>
      <c r="AA70" s="10">
        <f>Tableau6[[#This Row],[Carbon cost of marginal biomass (€/MWh) MED]]+Tableau6[[#This Row],[Marginal supply cost (€/MWh) MED]]</f>
        <v>0</v>
      </c>
      <c r="AH70" s="15">
        <v>1.529212</v>
      </c>
      <c r="AI70" s="16">
        <v>53000.002089000001</v>
      </c>
      <c r="AJ70" s="16">
        <v>388.88709599999999</v>
      </c>
      <c r="AK70" s="16">
        <v>120839.30882999999</v>
      </c>
      <c r="AL70" s="17">
        <v>67016.659669000001</v>
      </c>
      <c r="AM70" s="16">
        <v>34138.890505000003</v>
      </c>
      <c r="AN70" s="16">
        <v>44388.890490999998</v>
      </c>
      <c r="AO70" s="16">
        <v>35431.346247000001</v>
      </c>
      <c r="AP70" s="16">
        <v>12472.223977</v>
      </c>
      <c r="AQ70" s="15">
        <v>2.132558</v>
      </c>
      <c r="AR70" s="16">
        <v>40333.002023000001</v>
      </c>
      <c r="AS70" s="15">
        <v>0.28997200000000001</v>
      </c>
      <c r="AT70" s="16">
        <v>88.835183999999998</v>
      </c>
      <c r="AU70" s="16">
        <v>8833.3352350000005</v>
      </c>
      <c r="AV70" s="16">
        <v>15166.668608</v>
      </c>
      <c r="AW70" s="15">
        <v>0.13971900000000001</v>
      </c>
      <c r="AX70" s="16">
        <v>504.14910300000003</v>
      </c>
      <c r="AY70" s="16">
        <v>4444.4465849999997</v>
      </c>
      <c r="AZ70" s="15">
        <v>4.6438649999999999</v>
      </c>
      <c r="BA70" s="16">
        <v>2944.4453159999998</v>
      </c>
      <c r="BB70" s="15">
        <v>0.22719800000000001</v>
      </c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>
        <v>153310.22551600001</v>
      </c>
      <c r="CT70" s="11">
        <v>106416.409627</v>
      </c>
      <c r="CU70" s="11">
        <v>3.5208379999999999</v>
      </c>
      <c r="CV70" s="11">
        <v>0.20294300000000001</v>
      </c>
      <c r="CW70" s="11">
        <v>0.19977600000000001</v>
      </c>
      <c r="CX70" s="11">
        <v>99387.277189</v>
      </c>
      <c r="CY70" s="11">
        <v>13383.342546</v>
      </c>
      <c r="CZ70" s="11">
        <v>6575.1913430000004</v>
      </c>
      <c r="DA70" s="11">
        <v>8.5546999999999998E-2</v>
      </c>
      <c r="DB70" s="17">
        <v>60921.802445000001</v>
      </c>
      <c r="DC70" s="11">
        <v>0.42051899999999998</v>
      </c>
      <c r="DD70" s="11">
        <v>0.388185</v>
      </c>
      <c r="DE70" s="11">
        <v>0.63011399999999995</v>
      </c>
      <c r="DF70" s="11">
        <v>0.21274699999999999</v>
      </c>
      <c r="DG70" s="11">
        <v>0.111135</v>
      </c>
      <c r="DH70" s="11">
        <v>3.3042000000000002E-2</v>
      </c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</row>
    <row r="71" spans="1:144" x14ac:dyDescent="0.3">
      <c r="A71">
        <v>69</v>
      </c>
      <c r="B71" s="6">
        <v>445000</v>
      </c>
      <c r="C71" s="6">
        <v>230748.573213</v>
      </c>
      <c r="D71" s="6">
        <v>230637.623322</v>
      </c>
      <c r="E71" s="6">
        <f>(C70-Tableau6[[#This Row],[Total cost (M€/y) HIGH]])/(Tableau6[[#This Row],[Solid biomass availability (GWh/y)]]-B70)*1000</f>
        <v>22.870381199999247</v>
      </c>
      <c r="F71" s="6" t="s">
        <v>37</v>
      </c>
      <c r="G71" s="10">
        <f t="shared" si="11"/>
        <v>22.399602400000109</v>
      </c>
      <c r="H71" s="6" t="s">
        <v>10</v>
      </c>
      <c r="I71" s="11" cm="1">
        <f t="array" ref="I71">INDEX(Tableau3[Production cost (M€/GWh)],
       MATCH(1,
             (Tableau3[Resource]=Tableau6[[#This Row],[Marginal supply commodity HIGH]])*(Tableau3[Scenario]="HIGH_2050"),
             0))*1000</f>
        <v>24.512988996763799</v>
      </c>
      <c r="J71" s="11" cm="1">
        <f t="array" ref="J71">INDEX(Tableau3[GHG impact (tCO2eq/MWh)],
       MATCH(1,
             (Tableau3[Resource]=Tableau6[[#This Row],[Marginal supply commodity HIGH]])*(Tableau3[Scenario]="HIGH_2050"),
             0))*1000</f>
        <v>13.9178738926524</v>
      </c>
      <c r="K71" s="11">
        <f>(Tableau6[[#This Row],[Total cost (M€/y) HIGH]]-Tableau6[[#This Row],[Total Cost (M€) HIGH +1Mt CO2]])</f>
        <v>110.94989099999657</v>
      </c>
      <c r="L71" s="22">
        <f>Tableau6[[#This Row],[Marginal Carbon cost (€/tCO2) HIGH]]*Tableau6[[#This Row],[Marginal emission factor (kgCO2/MWh) HIGH]]/1000</f>
        <v>1.5441865913414818</v>
      </c>
      <c r="M71" s="22">
        <f>(CS71-CS70)*AVERAGE($E$3,E71)/(B71-B70)</f>
        <v>22.647728792608273</v>
      </c>
      <c r="N71" s="22">
        <f>(CS71-CS70)*Tableau6[[#This Row],[Marginal value of solid biomass (€/MWh) HIGH]]/(B71-B70)</f>
        <v>0.69484603709887682</v>
      </c>
      <c r="O71" s="22">
        <f>(CS71-CS70)*Tableau6[[#This Row],[Marginal supply cost (€/MWh) HIGH]]/(B71-B70)</f>
        <v>0.7447516118292884</v>
      </c>
      <c r="P71" s="22">
        <f>Tableau6[[#This Row],[Marginal supply cost (€/MWh) HIGH]]+Tableau6[[#This Row],[Carbon cost of marginal biomass (€/MWh) HIGH]]</f>
        <v>26.057175588105281</v>
      </c>
      <c r="Y71" s="10">
        <f>Tableau6[[#This Row],[Total cost (M€/y) MED]]-Tableau6[[#This Row],[Total cost (M€/y) MED +1Mt CO2]]</f>
        <v>0</v>
      </c>
      <c r="Z71" s="10">
        <f>Tableau6[[#This Row],[Marginal Carbon cost (€/tCO2) MED]]*Tableau6[[#This Row],[Marginal emission factor (kgCO2/MWh)]]/1000</f>
        <v>0</v>
      </c>
      <c r="AA71" s="10">
        <f>Tableau6[[#This Row],[Carbon cost of marginal biomass (€/MWh) MED]]+Tableau6[[#This Row],[Marginal supply cost (€/MWh) MED]]</f>
        <v>0</v>
      </c>
      <c r="AH71" s="15">
        <v>2.5419649999999998</v>
      </c>
      <c r="AI71" s="16">
        <v>53000.004240000002</v>
      </c>
      <c r="AJ71" s="16">
        <v>388.88617499999998</v>
      </c>
      <c r="AK71" s="16">
        <v>120838.79954199999</v>
      </c>
      <c r="AL71" s="17">
        <v>72008.001357999994</v>
      </c>
      <c r="AM71" s="16">
        <v>34138.893575000002</v>
      </c>
      <c r="AN71" s="16">
        <v>44388.891368999997</v>
      </c>
      <c r="AO71" s="16">
        <v>35431.349707000001</v>
      </c>
      <c r="AP71" s="16">
        <v>12472.227602000001</v>
      </c>
      <c r="AQ71" s="15">
        <v>4.1513080000000002</v>
      </c>
      <c r="AR71" s="16">
        <v>40333.005731999998</v>
      </c>
      <c r="AS71" s="15">
        <v>0.89938099999999999</v>
      </c>
      <c r="AT71" s="16">
        <v>88.838530000000006</v>
      </c>
      <c r="AU71" s="16">
        <v>8833.3389480000005</v>
      </c>
      <c r="AV71" s="16">
        <v>15166.672358</v>
      </c>
      <c r="AW71" s="15">
        <v>0.244897</v>
      </c>
      <c r="AX71" s="16">
        <v>504.15270400000003</v>
      </c>
      <c r="AY71" s="16">
        <v>4444.450452</v>
      </c>
      <c r="AZ71" s="15">
        <v>9.9492890000000003</v>
      </c>
      <c r="BA71" s="16">
        <v>2944.448077</v>
      </c>
      <c r="BB71" s="15">
        <v>0.39543899999999998</v>
      </c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>
        <v>153462.13510399999</v>
      </c>
      <c r="CT71" s="11">
        <v>106416.172809</v>
      </c>
      <c r="CU71" s="11">
        <v>7.2341259999999998</v>
      </c>
      <c r="CV71" s="11">
        <v>0.36878699999999998</v>
      </c>
      <c r="CW71" s="11">
        <v>0.35596</v>
      </c>
      <c r="CX71" s="11">
        <v>99387.115986999997</v>
      </c>
      <c r="CY71" s="11">
        <v>13981.596788999999</v>
      </c>
      <c r="CZ71" s="11">
        <v>6575.6389360000003</v>
      </c>
      <c r="DA71" s="11">
        <v>0.152088</v>
      </c>
      <c r="DB71" s="17">
        <v>65166.180614999997</v>
      </c>
      <c r="DC71" s="11">
        <v>0.75383</v>
      </c>
      <c r="DD71" s="11">
        <v>0.69431399999999999</v>
      </c>
      <c r="DE71" s="11">
        <v>1.095669</v>
      </c>
      <c r="DF71" s="11">
        <v>0.39113199999999998</v>
      </c>
      <c r="DG71" s="11">
        <v>0.197631</v>
      </c>
      <c r="DH71" s="11">
        <v>5.8911999999999999E-2</v>
      </c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</row>
    <row r="72" spans="1:144" x14ac:dyDescent="0.3">
      <c r="A72">
        <v>70</v>
      </c>
      <c r="B72" s="6">
        <v>450000</v>
      </c>
      <c r="C72" s="6">
        <v>230653.17514599999</v>
      </c>
      <c r="D72" s="6">
        <v>230533.40075100001</v>
      </c>
      <c r="E72" s="6">
        <f>(C71-Tableau6[[#This Row],[Total cost (M€/y) HIGH]])/(Tableau6[[#This Row],[Solid biomass availability (GWh/y)]]-B71)*1000</f>
        <v>19.07961340000038</v>
      </c>
      <c r="F72" s="6" t="s">
        <v>37</v>
      </c>
      <c r="G72" s="10">
        <f t="shared" si="11"/>
        <v>22.399602400000109</v>
      </c>
      <c r="H72" s="6" t="s">
        <v>10</v>
      </c>
      <c r="I72" s="11" cm="1">
        <f t="array" ref="I72">INDEX(Tableau3[Production cost (M€/GWh)],
       MATCH(1,
             (Tableau3[Resource]=Tableau6[[#This Row],[Marginal supply commodity HIGH]])*(Tableau3[Scenario]="HIGH_2050"),
             0))*1000</f>
        <v>24.512988996763799</v>
      </c>
      <c r="J72" s="11" cm="1">
        <f t="array" ref="J72">INDEX(Tableau3[GHG impact (tCO2eq/MWh)],
       MATCH(1,
             (Tableau3[Resource]=Tableau6[[#This Row],[Marginal supply commodity HIGH]])*(Tableau3[Scenario]="HIGH_2050"),
             0))*1000</f>
        <v>13.9178738926524</v>
      </c>
      <c r="K72" s="11">
        <f>(Tableau6[[#This Row],[Total cost (M€/y) HIGH]]-Tableau6[[#This Row],[Total Cost (M€) HIGH +1Mt CO2]])</f>
        <v>119.77439499998582</v>
      </c>
      <c r="L72" s="22">
        <f>Tableau6[[#This Row],[Marginal Carbon cost (€/tCO2) HIGH]]*Tableau6[[#This Row],[Marginal emission factor (kgCO2/MWh) HIGH]]/1000</f>
        <v>1.6670049251785388</v>
      </c>
      <c r="M72" s="22">
        <f>(CS72-CS71)*AVERAGE($E$3,E72)/(B72-B71)</f>
        <v>21.811970401992223</v>
      </c>
      <c r="N72" s="22">
        <f>(CS72-CS71)*Tableau6[[#This Row],[Marginal value of solid biomass (€/MWh) HIGH]]/(B72-B71)</f>
        <v>0.55970690418247282</v>
      </c>
      <c r="O72" s="22">
        <f>(CS72-CS71)*Tableau6[[#This Row],[Marginal supply cost (€/MWh) HIGH]]/(B72-B71)</f>
        <v>0.71909681270781989</v>
      </c>
      <c r="P72" s="22">
        <f>Tableau6[[#This Row],[Marginal supply cost (€/MWh) HIGH]]+Tableau6[[#This Row],[Carbon cost of marginal biomass (€/MWh) HIGH]]</f>
        <v>26.179993921942337</v>
      </c>
      <c r="Y72" s="10">
        <f>Tableau6[[#This Row],[Total cost (M€/y) MED]]-Tableau6[[#This Row],[Total cost (M€/y) MED +1Mt CO2]]</f>
        <v>0</v>
      </c>
      <c r="Z72" s="10">
        <f>Tableau6[[#This Row],[Marginal Carbon cost (€/tCO2) MED]]*Tableau6[[#This Row],[Marginal emission factor (kgCO2/MWh)]]/1000</f>
        <v>0</v>
      </c>
      <c r="AA72" s="10">
        <f>Tableau6[[#This Row],[Carbon cost of marginal biomass (€/MWh) MED]]+Tableau6[[#This Row],[Marginal supply cost (€/MWh) MED]]</f>
        <v>0</v>
      </c>
      <c r="AH72" s="15">
        <v>0.238285</v>
      </c>
      <c r="AI72" s="16">
        <v>53000.000519000001</v>
      </c>
      <c r="AJ72" s="16">
        <v>388.88861300000002</v>
      </c>
      <c r="AK72" s="16">
        <v>120840.167089</v>
      </c>
      <c r="AL72" s="17">
        <v>77022.388944999999</v>
      </c>
      <c r="AM72" s="16">
        <v>34138.889366000003</v>
      </c>
      <c r="AN72" s="16">
        <v>44388.889362000002</v>
      </c>
      <c r="AO72" s="16">
        <v>35431.344958000001</v>
      </c>
      <c r="AP72" s="16">
        <v>12472.222739999999</v>
      </c>
      <c r="AQ72" s="15">
        <v>0.49402800000000002</v>
      </c>
      <c r="AR72" s="16">
        <v>40333.000562000001</v>
      </c>
      <c r="AS72" s="15">
        <v>7.4371000000000007E-2</v>
      </c>
      <c r="AT72" s="16">
        <v>88.833845999999994</v>
      </c>
      <c r="AU72" s="16">
        <v>8833.3338779999995</v>
      </c>
      <c r="AV72" s="16">
        <v>15166.667216</v>
      </c>
      <c r="AW72" s="15">
        <v>2.6799E-2</v>
      </c>
      <c r="AX72" s="16">
        <v>504.147762</v>
      </c>
      <c r="AY72" s="16">
        <v>4444.4450319999996</v>
      </c>
      <c r="AZ72" s="15">
        <v>1.472235</v>
      </c>
      <c r="BA72" s="16">
        <v>2944.4447850000001</v>
      </c>
      <c r="BB72" s="15">
        <v>4.3706000000000002E-2</v>
      </c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>
        <v>153608.811793</v>
      </c>
      <c r="CT72" s="11">
        <v>106417.90513499999</v>
      </c>
      <c r="CU72" s="11">
        <v>1.3208880000000001</v>
      </c>
      <c r="CV72" s="11">
        <v>4.3402999999999997E-2</v>
      </c>
      <c r="CW72" s="11">
        <v>4.1531999999999999E-2</v>
      </c>
      <c r="CX72" s="11">
        <v>99387.534692999994</v>
      </c>
      <c r="CY72" s="11">
        <v>14564.425074999999</v>
      </c>
      <c r="CZ72" s="11">
        <v>6574.3526540000003</v>
      </c>
      <c r="DA72" s="11">
        <v>1.7528999999999999E-2</v>
      </c>
      <c r="DB72" s="17">
        <v>69445.191527000003</v>
      </c>
      <c r="DC72" s="11">
        <v>8.6850999999999998E-2</v>
      </c>
      <c r="DD72" s="11">
        <v>8.1485000000000002E-2</v>
      </c>
      <c r="DE72" s="11">
        <v>0.12759999999999999</v>
      </c>
      <c r="DF72" s="11">
        <v>4.4665999999999997E-2</v>
      </c>
      <c r="DG72" s="11">
        <v>2.2605E-2</v>
      </c>
      <c r="DH72" s="11">
        <v>6.6699999999999997E-3</v>
      </c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</row>
    <row r="73" spans="1:144" x14ac:dyDescent="0.3">
      <c r="A73">
        <v>71</v>
      </c>
      <c r="B73" s="6">
        <v>455000</v>
      </c>
      <c r="C73" s="6">
        <v>230525.129384</v>
      </c>
      <c r="D73" s="6">
        <v>230416.98427799999</v>
      </c>
      <c r="E73" s="6">
        <f>(C72-Tableau6[[#This Row],[Total cost (M€/y) HIGH]])/(Tableau6[[#This Row],[Solid biomass availability (GWh/y)]]-B72)*1000</f>
        <v>25.609152399998855</v>
      </c>
      <c r="F73" s="6" t="s">
        <v>37</v>
      </c>
      <c r="G73" s="10">
        <f t="shared" si="11"/>
        <v>22.399602400000109</v>
      </c>
      <c r="H73" s="6" t="s">
        <v>10</v>
      </c>
      <c r="I73" s="11" cm="1">
        <f t="array" ref="I73">INDEX(Tableau3[Production cost (M€/GWh)],
       MATCH(1,
             (Tableau3[Resource]=Tableau6[[#This Row],[Marginal supply commodity HIGH]])*(Tableau3[Scenario]="HIGH_2050"),
             0))*1000</f>
        <v>24.512988996763799</v>
      </c>
      <c r="J73" s="11" cm="1">
        <f t="array" ref="J73">INDEX(Tableau3[GHG impact (tCO2eq/MWh)],
       MATCH(1,
             (Tableau3[Resource]=Tableau6[[#This Row],[Marginal supply commodity HIGH]])*(Tableau3[Scenario]="HIGH_2050"),
             0))*1000</f>
        <v>13.9178738926524</v>
      </c>
      <c r="K73" s="11">
        <f>(Tableau6[[#This Row],[Total cost (M€/y) HIGH]]-Tableau6[[#This Row],[Total Cost (M€) HIGH +1Mt CO2]])</f>
        <v>108.14510600001086</v>
      </c>
      <c r="L73" s="22">
        <f>Tableau6[[#This Row],[Marginal Carbon cost (€/tCO2) HIGH]]*Tableau6[[#This Row],[Marginal emission factor (kgCO2/MWh) HIGH]]/1000</f>
        <v>1.5051499474156775</v>
      </c>
      <c r="M73" s="22">
        <f>(CS73-CS72)*AVERAGE($E$3,E73)/(B73-B72)</f>
        <v>480.87200473163205</v>
      </c>
      <c r="N73" s="22">
        <f>(CS73-CS72)*Tableau6[[#This Row],[Marginal value of solid biomass (€/MWh) HIGH]]/(B73-B72)</f>
        <v>16.489904652903533</v>
      </c>
      <c r="O73" s="22">
        <f>(CS73-CS72)*Tableau6[[#This Row],[Marginal supply cost (€/MWh) HIGH]]/(B73-B72)</f>
        <v>15.784077700061895</v>
      </c>
      <c r="P73" s="22">
        <f>Tableau6[[#This Row],[Marginal supply cost (€/MWh) HIGH]]+Tableau6[[#This Row],[Carbon cost of marginal biomass (€/MWh) HIGH]]</f>
        <v>26.018138944179476</v>
      </c>
      <c r="Y73" s="10">
        <f>Tableau6[[#This Row],[Total cost (M€/y) MED]]-Tableau6[[#This Row],[Total cost (M€/y) MED +1Mt CO2]]</f>
        <v>0</v>
      </c>
      <c r="Z73" s="10">
        <f>Tableau6[[#This Row],[Marginal Carbon cost (€/tCO2) MED]]*Tableau6[[#This Row],[Marginal emission factor (kgCO2/MWh)]]/1000</f>
        <v>0</v>
      </c>
      <c r="AA73" s="10">
        <f>Tableau6[[#This Row],[Carbon cost of marginal biomass (€/MWh) MED]]+Tableau6[[#This Row],[Marginal supply cost (€/MWh) MED]]</f>
        <v>0</v>
      </c>
      <c r="AH73" s="15">
        <v>0.88313799999999998</v>
      </c>
      <c r="AI73" s="16">
        <v>53000.001277000003</v>
      </c>
      <c r="AJ73" s="16">
        <v>388.88764400000002</v>
      </c>
      <c r="AK73" s="16">
        <v>120840.134968</v>
      </c>
      <c r="AL73" s="17">
        <v>82015.218703000006</v>
      </c>
      <c r="AM73" s="16">
        <v>34138.890028000002</v>
      </c>
      <c r="AN73" s="16">
        <v>44388.890026000001</v>
      </c>
      <c r="AO73" s="16">
        <v>35431.345728</v>
      </c>
      <c r="AP73" s="16">
        <v>12472.223457</v>
      </c>
      <c r="AQ73" s="15">
        <v>2.072362</v>
      </c>
      <c r="AR73" s="16">
        <v>40333.001848</v>
      </c>
      <c r="AS73" s="15">
        <v>0.36606499999999997</v>
      </c>
      <c r="AT73" s="16">
        <v>88.834698000000003</v>
      </c>
      <c r="AU73" s="16">
        <v>8833.3346619999993</v>
      </c>
      <c r="AV73" s="16">
        <v>15166.668062000001</v>
      </c>
      <c r="AW73" s="15">
        <v>0.119032</v>
      </c>
      <c r="AX73" s="16">
        <v>504.14856600000002</v>
      </c>
      <c r="AY73" s="16">
        <v>4444.4459749999996</v>
      </c>
      <c r="AZ73" s="15">
        <v>5.9477909999999996</v>
      </c>
      <c r="BA73" s="16">
        <v>2944.4448870000001</v>
      </c>
      <c r="BB73" s="15">
        <v>0.18032000000000001</v>
      </c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>
        <v>156828.34526199999</v>
      </c>
      <c r="CT73" s="11">
        <v>106417.107666</v>
      </c>
      <c r="CU73" s="11">
        <v>5.2002509999999997</v>
      </c>
      <c r="CV73" s="11">
        <v>0.17976400000000001</v>
      </c>
      <c r="CW73" s="11">
        <v>0.16841900000000001</v>
      </c>
      <c r="CX73" s="11">
        <v>99387.357459999999</v>
      </c>
      <c r="CY73" s="11">
        <v>14748.771247999999</v>
      </c>
      <c r="CZ73" s="11">
        <v>6574.8361260000001</v>
      </c>
      <c r="DA73" s="11">
        <v>6.7938999999999999E-2</v>
      </c>
      <c r="DB73" s="17">
        <v>71036.541924000005</v>
      </c>
      <c r="DC73" s="11">
        <v>0.34640700000000002</v>
      </c>
      <c r="DD73" s="11">
        <v>0.328235</v>
      </c>
      <c r="DE73" s="11">
        <v>0.50673299999999999</v>
      </c>
      <c r="DF73" s="11">
        <v>0.16947499999999999</v>
      </c>
      <c r="DG73" s="11">
        <v>8.7682999999999997E-2</v>
      </c>
      <c r="DH73" s="11">
        <v>2.4660000000000001E-2</v>
      </c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</row>
    <row r="74" spans="1:144" x14ac:dyDescent="0.3">
      <c r="A74">
        <v>72</v>
      </c>
      <c r="B74" s="6">
        <v>460000</v>
      </c>
      <c r="C74" s="6">
        <v>230446.19109099999</v>
      </c>
      <c r="D74" s="6">
        <v>230324.11480499999</v>
      </c>
      <c r="E74" s="6">
        <f>(C73-Tableau6[[#This Row],[Total cost (M€/y) HIGH]])/(Tableau6[[#This Row],[Solid biomass availability (GWh/y)]]-B73)*1000</f>
        <v>15.787658600002759</v>
      </c>
      <c r="F74" s="6" t="s">
        <v>37</v>
      </c>
      <c r="G74" s="10">
        <f t="shared" si="11"/>
        <v>22.399602400000109</v>
      </c>
      <c r="H74" s="6" t="s">
        <v>10</v>
      </c>
      <c r="I74" s="11" cm="1">
        <f t="array" ref="I74">INDEX(Tableau3[Production cost (M€/GWh)],
       MATCH(1,
             (Tableau3[Resource]=Tableau6[[#This Row],[Marginal supply commodity HIGH]])*(Tableau3[Scenario]="HIGH_2050"),
             0))*1000</f>
        <v>24.512988996763799</v>
      </c>
      <c r="J74" s="11" cm="1">
        <f t="array" ref="J74">INDEX(Tableau3[GHG impact (tCO2eq/MWh)],
       MATCH(1,
             (Tableau3[Resource]=Tableau6[[#This Row],[Marginal supply commodity HIGH]])*(Tableau3[Scenario]="HIGH_2050"),
             0))*1000</f>
        <v>13.9178738926524</v>
      </c>
      <c r="K74" s="11">
        <f>(Tableau6[[#This Row],[Total cost (M€/y) HIGH]]-Tableau6[[#This Row],[Total Cost (M€) HIGH +1Mt CO2]])</f>
        <v>122.07628599999589</v>
      </c>
      <c r="L74" s="22">
        <f>Tableau6[[#This Row],[Marginal Carbon cost (€/tCO2) HIGH]]*Tableau6[[#This Row],[Marginal emission factor (kgCO2/MWh) HIGH]]/1000</f>
        <v>1.6990423538313104</v>
      </c>
      <c r="M74" s="22">
        <f>(CS74-CS73)*AVERAGE($E$3,E74)/(B74-B73)</f>
        <v>76.969654475003239</v>
      </c>
      <c r="N74" s="22">
        <f>(CS74-CS73)*Tableau6[[#This Row],[Marginal value of solid biomass (€/MWh) HIGH]]/(B74-B73)</f>
        <v>1.6379322103624339</v>
      </c>
      <c r="O74" s="22">
        <f>(CS74-CS73)*Tableau6[[#This Row],[Marginal supply cost (€/MWh) HIGH]]/(B74-B73)</f>
        <v>2.5431645861693721</v>
      </c>
      <c r="P74" s="22">
        <f>Tableau6[[#This Row],[Marginal supply cost (€/MWh) HIGH]]+Tableau6[[#This Row],[Carbon cost of marginal biomass (€/MWh) HIGH]]</f>
        <v>26.212031350595108</v>
      </c>
      <c r="Y74" s="10">
        <f>Tableau6[[#This Row],[Total cost (M€/y) MED]]-Tableau6[[#This Row],[Total cost (M€/y) MED +1Mt CO2]]</f>
        <v>0</v>
      </c>
      <c r="Z74" s="10">
        <f>Tableau6[[#This Row],[Marginal Carbon cost (€/tCO2) MED]]*Tableau6[[#This Row],[Marginal emission factor (kgCO2/MWh)]]/1000</f>
        <v>0</v>
      </c>
      <c r="AA74" s="10">
        <f>Tableau6[[#This Row],[Carbon cost of marginal biomass (€/MWh) MED]]+Tableau6[[#This Row],[Marginal supply cost (€/MWh) MED]]</f>
        <v>0</v>
      </c>
      <c r="AH74" s="15">
        <v>1.069008</v>
      </c>
      <c r="AI74" s="16">
        <v>53000.002713000002</v>
      </c>
      <c r="AJ74" s="16">
        <v>388.88664299999999</v>
      </c>
      <c r="AK74" s="16">
        <v>120840.081479</v>
      </c>
      <c r="AL74" s="17">
        <v>87000.335496999993</v>
      </c>
      <c r="AM74" s="16">
        <v>34138.891337000001</v>
      </c>
      <c r="AN74" s="16">
        <v>44388.891323999997</v>
      </c>
      <c r="AO74" s="16">
        <v>35431.347136999997</v>
      </c>
      <c r="AP74" s="16">
        <v>12472.224909</v>
      </c>
      <c r="AQ74" s="15">
        <v>4.3269070000000003</v>
      </c>
      <c r="AR74" s="16">
        <v>40333.002961999999</v>
      </c>
      <c r="AS74" s="15">
        <v>0.58381899999999998</v>
      </c>
      <c r="AT74" s="16">
        <v>88.836108999999993</v>
      </c>
      <c r="AU74" s="16">
        <v>8833.3362020000004</v>
      </c>
      <c r="AV74" s="16">
        <v>15166.669582</v>
      </c>
      <c r="AW74" s="15">
        <v>0.19516900000000001</v>
      </c>
      <c r="AX74" s="16">
        <v>504.15006899999997</v>
      </c>
      <c r="AY74" s="16">
        <v>4444.4476260000001</v>
      </c>
      <c r="AZ74" s="15">
        <v>18.043697000000002</v>
      </c>
      <c r="BA74" s="16">
        <v>2944.4458279999999</v>
      </c>
      <c r="BB74" s="15">
        <v>0.310502</v>
      </c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>
        <v>157347.08342700001</v>
      </c>
      <c r="CT74" s="11">
        <v>106416.694571</v>
      </c>
      <c r="CU74" s="11">
        <v>19.0046</v>
      </c>
      <c r="CV74" s="11">
        <v>0.34087800000000001</v>
      </c>
      <c r="CW74" s="11">
        <v>0.31714199999999998</v>
      </c>
      <c r="CX74" s="11">
        <v>99387.228933999999</v>
      </c>
      <c r="CY74" s="11">
        <v>15366.708262</v>
      </c>
      <c r="CZ74" s="11">
        <v>6575.2175100000004</v>
      </c>
      <c r="DA74" s="11">
        <v>0.12765499999999999</v>
      </c>
      <c r="DB74" s="17">
        <v>74884.576233</v>
      </c>
      <c r="DC74" s="11">
        <v>0.66052999999999995</v>
      </c>
      <c r="DD74" s="11">
        <v>0.64405900000000005</v>
      </c>
      <c r="DE74" s="11">
        <v>0.92856099999999997</v>
      </c>
      <c r="DF74" s="11">
        <v>0.33480199999999999</v>
      </c>
      <c r="DG74" s="11">
        <v>0.16522600000000001</v>
      </c>
      <c r="DH74" s="11">
        <v>4.6156000000000003E-2</v>
      </c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</row>
    <row r="75" spans="1:144" x14ac:dyDescent="0.3">
      <c r="A75">
        <v>73</v>
      </c>
      <c r="B75" s="6">
        <v>465000</v>
      </c>
      <c r="C75" s="6">
        <v>230359.38039999999</v>
      </c>
      <c r="D75" s="6">
        <v>230256.752205</v>
      </c>
      <c r="E75" s="6">
        <f>(C74-Tableau6[[#This Row],[Total cost (M€/y) HIGH]])/(Tableau6[[#This Row],[Solid biomass availability (GWh/y)]]-B74)*1000</f>
        <v>17.362138199998299</v>
      </c>
      <c r="F75" s="6" t="s">
        <v>34</v>
      </c>
      <c r="G75" s="10">
        <f>AVERAGE($E$75:$E$79)</f>
        <v>19.112625079998981</v>
      </c>
      <c r="H75" s="6" t="s">
        <v>10</v>
      </c>
      <c r="I75" s="11" cm="1">
        <f t="array" ref="I75">INDEX(Tableau3[Production cost (M€/GWh)],
       MATCH(1,
             (Tableau3[Resource]=Tableau6[[#This Row],[Marginal supply commodity HIGH]])*(Tableau3[Scenario]="HIGH_2050"),
             0))*1000</f>
        <v>24.512988996763799</v>
      </c>
      <c r="J75" s="11" cm="1">
        <f t="array" ref="J75">INDEX(Tableau3[GHG impact (tCO2eq/MWh)],
       MATCH(1,
             (Tableau3[Resource]=Tableau6[[#This Row],[Marginal supply commodity HIGH]])*(Tableau3[Scenario]="HIGH_2050"),
             0))*1000</f>
        <v>13.9178738926524</v>
      </c>
      <c r="K75" s="11">
        <f>(Tableau6[[#This Row],[Total cost (M€/y) HIGH]]-Tableau6[[#This Row],[Total Cost (M€) HIGH +1Mt CO2]])</f>
        <v>102.6281949999975</v>
      </c>
      <c r="L75" s="22">
        <f>Tableau6[[#This Row],[Marginal Carbon cost (€/tCO2) HIGH]]*Tableau6[[#This Row],[Marginal emission factor (kgCO2/MWh) HIGH]]/1000</f>
        <v>1.4283662758405049</v>
      </c>
      <c r="M75" s="22">
        <f>(CS75-CS74)*AVERAGE($E$3,E75)/(B75-B74)</f>
        <v>20.723610432255175</v>
      </c>
      <c r="N75" s="22">
        <f>(CS75-CS74)*Tableau6[[#This Row],[Marginal value of solid biomass (€/MWh) HIGH]]/(B75-B74)</f>
        <v>0.48446978121952716</v>
      </c>
      <c r="O75" s="22">
        <f>(CS75-CS74)*Tableau6[[#This Row],[Marginal supply cost (€/MWh) HIGH]]/(B75-B74)</f>
        <v>0.68400575317963985</v>
      </c>
      <c r="P75" s="22">
        <f>Tableau6[[#This Row],[Marginal supply cost (€/MWh) HIGH]]+Tableau6[[#This Row],[Carbon cost of marginal biomass (€/MWh) HIGH]]</f>
        <v>25.941355272604305</v>
      </c>
      <c r="Y75" s="10">
        <f>Tableau6[[#This Row],[Total cost (M€/y) MED]]-Tableau6[[#This Row],[Total cost (M€/y) MED +1Mt CO2]]</f>
        <v>0</v>
      </c>
      <c r="Z75" s="10">
        <f>Tableau6[[#This Row],[Marginal Carbon cost (€/tCO2) MED]]*Tableau6[[#This Row],[Marginal emission factor (kgCO2/MWh)]]/1000</f>
        <v>0</v>
      </c>
      <c r="AA75" s="10">
        <f>Tableau6[[#This Row],[Carbon cost of marginal biomass (€/MWh) MED]]+Tableau6[[#This Row],[Marginal supply cost (€/MWh) MED]]</f>
        <v>0</v>
      </c>
      <c r="AH75" s="15">
        <v>1.157362</v>
      </c>
      <c r="AI75" s="16">
        <v>53000.000470999999</v>
      </c>
      <c r="AJ75" s="16">
        <v>388.88571899999999</v>
      </c>
      <c r="AK75" s="16">
        <v>120840.147199</v>
      </c>
      <c r="AL75" s="16">
        <v>92006.382047000006</v>
      </c>
      <c r="AM75" s="16">
        <v>34138.889247999999</v>
      </c>
      <c r="AN75" s="16">
        <v>44388.889244999998</v>
      </c>
      <c r="AO75" s="16">
        <v>35431.344924999998</v>
      </c>
      <c r="AP75" s="16">
        <v>12472.222691999999</v>
      </c>
      <c r="AQ75" s="15">
        <v>2.2999710000000002</v>
      </c>
      <c r="AR75" s="16">
        <v>40333.000631000003</v>
      </c>
      <c r="AS75" s="15">
        <v>0.36036800000000002</v>
      </c>
      <c r="AT75" s="16">
        <v>88.833669999999998</v>
      </c>
      <c r="AU75" s="16">
        <v>8833.3338930000009</v>
      </c>
      <c r="AV75" s="16">
        <v>15166.667251000001</v>
      </c>
      <c r="AW75" s="15">
        <v>9.5867999999999995E-2</v>
      </c>
      <c r="AX75" s="16">
        <v>504.14772900000003</v>
      </c>
      <c r="AY75" s="16">
        <v>4444.4451520000002</v>
      </c>
      <c r="AZ75" s="15">
        <v>14.318289</v>
      </c>
      <c r="BA75" s="16">
        <v>2944.4442210000002</v>
      </c>
      <c r="BB75" s="15">
        <v>0.155252</v>
      </c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>
        <v>157486.60247000001</v>
      </c>
      <c r="CT75" s="11">
        <v>106417.51959500001</v>
      </c>
      <c r="CU75" s="11">
        <v>24.552440000000001</v>
      </c>
      <c r="CV75" s="11">
        <v>0.17699000000000001</v>
      </c>
      <c r="CW75" s="11">
        <v>0.15903</v>
      </c>
      <c r="CX75" s="11">
        <v>99387.447662999999</v>
      </c>
      <c r="CY75" s="17">
        <v>19671.089615000001</v>
      </c>
      <c r="CZ75" s="11">
        <v>6574.6183499999997</v>
      </c>
      <c r="DA75" s="11">
        <v>6.3228999999999994E-2</v>
      </c>
      <c r="DB75" s="11">
        <v>75436.450517999998</v>
      </c>
      <c r="DC75" s="11">
        <v>0.32636199999999999</v>
      </c>
      <c r="DD75" s="11">
        <v>0.30506</v>
      </c>
      <c r="DE75" s="11">
        <v>0.44107800000000003</v>
      </c>
      <c r="DF75" s="11">
        <v>0.16520699999999999</v>
      </c>
      <c r="DG75" s="11">
        <v>8.0805000000000002E-2</v>
      </c>
      <c r="DH75" s="11">
        <v>2.2808999999999999E-2</v>
      </c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</row>
    <row r="76" spans="1:144" x14ac:dyDescent="0.3">
      <c r="A76">
        <v>74</v>
      </c>
      <c r="B76" s="6">
        <v>470000</v>
      </c>
      <c r="C76" s="6">
        <v>230245.47980100001</v>
      </c>
      <c r="D76" s="6">
        <v>230157.807619</v>
      </c>
      <c r="E76" s="6">
        <f>(C75-Tableau6[[#This Row],[Total cost (M€/y) HIGH]])/(Tableau6[[#This Row],[Solid biomass availability (GWh/y)]]-B75)*1000</f>
        <v>22.780119799997191</v>
      </c>
      <c r="F76" s="6" t="s">
        <v>34</v>
      </c>
      <c r="G76" s="10">
        <f t="shared" ref="G76:G79" si="12">AVERAGE($E$75:$E$79)</f>
        <v>19.112625079998981</v>
      </c>
      <c r="H76" s="6" t="s">
        <v>24</v>
      </c>
      <c r="I76" s="11" cm="1">
        <f t="array" ref="I76">INDEX(Tableau3[Production cost (M€/GWh)],
       MATCH(1,
             (Tableau3[Resource]=Tableau6[[#This Row],[Marginal supply commodity HIGH]])*(Tableau3[Scenario]="HIGH_2050"),
             0))*1000</f>
        <v>16.663244636678201</v>
      </c>
      <c r="J76" s="11" cm="1">
        <f t="array" ref="J76">INDEX(Tableau3[GHG impact (tCO2eq/MWh)],
       MATCH(1,
             (Tableau3[Resource]=Tableau6[[#This Row],[Marginal supply commodity HIGH]])*(Tableau3[Scenario]="HIGH_2050"),
             0))*1000</f>
        <v>66.960000000000008</v>
      </c>
      <c r="K76" s="11">
        <f>(Tableau6[[#This Row],[Total cost (M€/y) HIGH]]-Tableau6[[#This Row],[Total Cost (M€) HIGH +1Mt CO2]])</f>
        <v>87.672182000009343</v>
      </c>
      <c r="L76" s="22">
        <f>Tableau6[[#This Row],[Marginal Carbon cost (€/tCO2) HIGH]]*Tableau6[[#This Row],[Marginal emission factor (kgCO2/MWh) HIGH]]/1000</f>
        <v>5.870529306720627</v>
      </c>
      <c r="M76" s="22">
        <f>(CS76-CS75)*AVERAGE($E$3,E76)/(B76-B75)</f>
        <v>104.35240097232365</v>
      </c>
      <c r="N76" s="22">
        <f>(CS76-CS75)*Tableau6[[#This Row],[Marginal value of solid biomass (€/MWh) HIGH]]/(B76-B75)</f>
        <v>3.1891523726009097</v>
      </c>
      <c r="O76" s="22">
        <f>(CS76-CS75)*Tableau6[[#This Row],[Marginal supply cost (€/MWh) HIGH]]/(B76-B75)</f>
        <v>2.332807142142344</v>
      </c>
      <c r="P76" s="22">
        <f>Tableau6[[#This Row],[Marginal supply cost (€/MWh) HIGH]]+Tableau6[[#This Row],[Carbon cost of marginal biomass (€/MWh) HIGH]]</f>
        <v>22.533773943398828</v>
      </c>
      <c r="Y76" s="10">
        <f>Tableau6[[#This Row],[Total cost (M€/y) MED]]-Tableau6[[#This Row],[Total cost (M€/y) MED +1Mt CO2]]</f>
        <v>0</v>
      </c>
      <c r="Z76" s="10">
        <f>Tableau6[[#This Row],[Marginal Carbon cost (€/tCO2) MED]]*Tableau6[[#This Row],[Marginal emission factor (kgCO2/MWh)]]/1000</f>
        <v>0</v>
      </c>
      <c r="AA76" s="10">
        <f>Tableau6[[#This Row],[Carbon cost of marginal biomass (€/MWh) MED]]+Tableau6[[#This Row],[Marginal supply cost (€/MWh) MED]]</f>
        <v>0</v>
      </c>
      <c r="AH76" s="15">
        <v>0.34440500000000002</v>
      </c>
      <c r="AI76" s="16">
        <v>53000.000512999999</v>
      </c>
      <c r="AJ76" s="16">
        <v>388.88787400000001</v>
      </c>
      <c r="AK76" s="16">
        <v>120840.166684</v>
      </c>
      <c r="AL76" s="16">
        <v>92999.410520000005</v>
      </c>
      <c r="AM76" s="16">
        <v>34138.889324999996</v>
      </c>
      <c r="AN76" s="16">
        <v>44388.889329999998</v>
      </c>
      <c r="AO76" s="16">
        <v>35431.344946999998</v>
      </c>
      <c r="AP76" s="16">
        <v>12472.22271</v>
      </c>
      <c r="AQ76" s="15">
        <v>1.497865</v>
      </c>
      <c r="AR76" s="16">
        <v>40333.000574999998</v>
      </c>
      <c r="AS76" s="15">
        <v>0.18234700000000001</v>
      </c>
      <c r="AT76" s="16">
        <v>88.833813000000006</v>
      </c>
      <c r="AU76" s="16">
        <v>8833.333869</v>
      </c>
      <c r="AV76" s="16">
        <v>15166.667219999999</v>
      </c>
      <c r="AW76" s="15">
        <v>5.6640999999999997E-2</v>
      </c>
      <c r="AX76" s="16">
        <v>504.14774999999997</v>
      </c>
      <c r="AY76" s="16">
        <v>4444.4450649999999</v>
      </c>
      <c r="AZ76" s="17">
        <v>4023.1611029999999</v>
      </c>
      <c r="BA76" s="16">
        <v>2944.4445759999999</v>
      </c>
      <c r="BB76" s="15">
        <v>8.8998999999999995E-2</v>
      </c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>
        <v>158186.58833500001</v>
      </c>
      <c r="CT76" s="11">
        <v>106417.743329</v>
      </c>
      <c r="CU76" s="11">
        <v>15.064170000000001</v>
      </c>
      <c r="CV76" s="11">
        <v>9.6708000000000002E-2</v>
      </c>
      <c r="CW76" s="11">
        <v>8.8775999999999994E-2</v>
      </c>
      <c r="CX76" s="11">
        <v>99387.505510000003</v>
      </c>
      <c r="CY76" s="17">
        <v>24447.845039</v>
      </c>
      <c r="CZ76" s="11">
        <v>6574.4757079999999</v>
      </c>
      <c r="DA76" s="11">
        <v>3.4547000000000001E-2</v>
      </c>
      <c r="DB76" s="11">
        <v>74969.806756000005</v>
      </c>
      <c r="DC76" s="11">
        <v>0.18593399999999999</v>
      </c>
      <c r="DD76" s="11">
        <v>0.17710899999999999</v>
      </c>
      <c r="DE76" s="11">
        <v>0.25679600000000002</v>
      </c>
      <c r="DF76" s="11">
        <v>9.0979000000000004E-2</v>
      </c>
      <c r="DG76" s="11">
        <v>4.4186999999999997E-2</v>
      </c>
      <c r="DH76" s="11">
        <v>1.2256E-2</v>
      </c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</row>
    <row r="77" spans="1:144" x14ac:dyDescent="0.3">
      <c r="A77">
        <v>75</v>
      </c>
      <c r="B77" s="6">
        <v>475000</v>
      </c>
      <c r="C77" s="6">
        <v>230153.95745099999</v>
      </c>
      <c r="D77" s="6">
        <v>230045.24796800001</v>
      </c>
      <c r="E77" s="6">
        <f>(C76-Tableau6[[#This Row],[Total cost (M€/y) HIGH]])/(Tableau6[[#This Row],[Solid biomass availability (GWh/y)]]-B76)*1000</f>
        <v>18.304470000002766</v>
      </c>
      <c r="F77" s="6" t="s">
        <v>34</v>
      </c>
      <c r="G77" s="10">
        <f t="shared" si="12"/>
        <v>19.112625079998981</v>
      </c>
      <c r="H77" s="6" t="s">
        <v>24</v>
      </c>
      <c r="I77" s="11" cm="1">
        <f t="array" ref="I77">INDEX(Tableau3[Production cost (M€/GWh)],
       MATCH(1,
             (Tableau3[Resource]=Tableau6[[#This Row],[Marginal supply commodity HIGH]])*(Tableau3[Scenario]="HIGH_2050"),
             0))*1000</f>
        <v>16.663244636678201</v>
      </c>
      <c r="J77" s="11" cm="1">
        <f t="array" ref="J77">INDEX(Tableau3[GHG impact (tCO2eq/MWh)],
       MATCH(1,
             (Tableau3[Resource]=Tableau6[[#This Row],[Marginal supply commodity HIGH]])*(Tableau3[Scenario]="HIGH_2050"),
             0))*1000</f>
        <v>66.960000000000008</v>
      </c>
      <c r="K77" s="11">
        <f>(Tableau6[[#This Row],[Total cost (M€/y) HIGH]]-Tableau6[[#This Row],[Total Cost (M€) HIGH +1Mt CO2]])</f>
        <v>108.70948299998417</v>
      </c>
      <c r="L77" s="22">
        <f>Tableau6[[#This Row],[Marginal Carbon cost (€/tCO2) HIGH]]*Tableau6[[#This Row],[Marginal emission factor (kgCO2/MWh) HIGH]]/1000</f>
        <v>7.279186981678941</v>
      </c>
      <c r="M77" s="22">
        <f>(CS77-CS76)*AVERAGE($E$3,E77)/(B77-B76)</f>
        <v>124.7330117226236</v>
      </c>
      <c r="N77" s="22">
        <f>(CS77-CS76)*Tableau6[[#This Row],[Marginal value of solid biomass (€/MWh) HIGH]]/(B77-B76)</f>
        <v>3.0722828545615259</v>
      </c>
      <c r="O77" s="22">
        <f>(CS77-CS76)*Tableau6[[#This Row],[Marginal supply cost (€/MWh) HIGH]]/(B77-B76)</f>
        <v>2.7968141551557082</v>
      </c>
      <c r="P77" s="22">
        <f>Tableau6[[#This Row],[Marginal supply cost (€/MWh) HIGH]]+Tableau6[[#This Row],[Carbon cost of marginal biomass (€/MWh) HIGH]]</f>
        <v>23.942431618357141</v>
      </c>
      <c r="Y77" s="10">
        <f>Tableau6[[#This Row],[Total cost (M€/y) MED]]-Tableau6[[#This Row],[Total cost (M€/y) MED +1Mt CO2]]</f>
        <v>0</v>
      </c>
      <c r="Z77" s="10">
        <f>Tableau6[[#This Row],[Marginal Carbon cost (€/tCO2) MED]]*Tableau6[[#This Row],[Marginal emission factor (kgCO2/MWh)]]/1000</f>
        <v>0</v>
      </c>
      <c r="AA77" s="10">
        <f>Tableau6[[#This Row],[Carbon cost of marginal biomass (€/MWh) MED]]+Tableau6[[#This Row],[Marginal supply cost (€/MWh) MED]]</f>
        <v>0</v>
      </c>
      <c r="AH77" s="15">
        <v>1.8127850000000001</v>
      </c>
      <c r="AI77" s="16">
        <v>53000.003349999999</v>
      </c>
      <c r="AJ77" s="16">
        <v>388.887946</v>
      </c>
      <c r="AK77" s="16">
        <v>120840.095418</v>
      </c>
      <c r="AL77" s="16">
        <v>92999.944566000006</v>
      </c>
      <c r="AM77" s="16">
        <v>34138.892028000002</v>
      </c>
      <c r="AN77" s="16">
        <v>44388.892041999999</v>
      </c>
      <c r="AO77" s="16">
        <v>35431.347779999996</v>
      </c>
      <c r="AP77" s="16">
        <v>12472.225445</v>
      </c>
      <c r="AQ77" s="15">
        <v>3.7203279999999999</v>
      </c>
      <c r="AR77" s="16">
        <v>40333.002712000001</v>
      </c>
      <c r="AS77" s="15">
        <v>0.53161499999999995</v>
      </c>
      <c r="AT77" s="16">
        <v>88.836534</v>
      </c>
      <c r="AU77" s="16">
        <v>8833.3367280000002</v>
      </c>
      <c r="AV77" s="16">
        <v>15166.670133</v>
      </c>
      <c r="AW77" s="15">
        <v>0.14593</v>
      </c>
      <c r="AX77" s="16">
        <v>504.15060799999998</v>
      </c>
      <c r="AY77" s="16">
        <v>4444.4481210000004</v>
      </c>
      <c r="AZ77" s="17">
        <v>9018.4577509999999</v>
      </c>
      <c r="BA77" s="16">
        <v>2944.4467009999998</v>
      </c>
      <c r="BB77" s="15">
        <v>0.238843</v>
      </c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>
        <v>159025.80489100001</v>
      </c>
      <c r="CT77" s="11">
        <v>106417.44296499999</v>
      </c>
      <c r="CU77" s="11">
        <v>87.965868999999998</v>
      </c>
      <c r="CV77" s="11">
        <v>0.26580399999999998</v>
      </c>
      <c r="CW77" s="11">
        <v>0.24243400000000001</v>
      </c>
      <c r="CX77" s="11">
        <v>99387.361369000006</v>
      </c>
      <c r="CY77" s="17">
        <v>28389.340174000001</v>
      </c>
      <c r="CZ77" s="11">
        <v>6574.8729480000002</v>
      </c>
      <c r="DA77" s="11">
        <v>9.3214000000000005E-2</v>
      </c>
      <c r="DB77" s="11">
        <v>75114.648142999999</v>
      </c>
      <c r="DC77" s="11">
        <v>0.49554799999999999</v>
      </c>
      <c r="DD77" s="11">
        <v>0.45804600000000001</v>
      </c>
      <c r="DE77" s="11">
        <v>0.70076799999999995</v>
      </c>
      <c r="DF77" s="11">
        <v>0.24291299999999999</v>
      </c>
      <c r="DG77" s="11">
        <v>0.11848</v>
      </c>
      <c r="DH77" s="11">
        <v>3.3818000000000001E-2</v>
      </c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</row>
    <row r="78" spans="1:144" x14ac:dyDescent="0.3">
      <c r="A78">
        <v>76</v>
      </c>
      <c r="B78" s="6">
        <v>480000</v>
      </c>
      <c r="C78" s="6">
        <v>230062.09575199999</v>
      </c>
      <c r="D78" s="6">
        <v>229950.26043600001</v>
      </c>
      <c r="E78" s="6">
        <f>(C77-Tableau6[[#This Row],[Total cost (M€/y) HIGH]])/(Tableau6[[#This Row],[Solid biomass availability (GWh/y)]]-B77)*1000</f>
        <v>18.372339800000191</v>
      </c>
      <c r="F78" s="6" t="s">
        <v>34</v>
      </c>
      <c r="G78" s="10">
        <f t="shared" si="12"/>
        <v>19.112625079998981</v>
      </c>
      <c r="H78" s="6" t="s">
        <v>24</v>
      </c>
      <c r="I78" s="11" cm="1">
        <f t="array" ref="I78">INDEX(Tableau3[Production cost (M€/GWh)],
       MATCH(1,
             (Tableau3[Resource]=Tableau6[[#This Row],[Marginal supply commodity HIGH]])*(Tableau3[Scenario]="HIGH_2050"),
             0))*1000</f>
        <v>16.663244636678201</v>
      </c>
      <c r="J78" s="11" cm="1">
        <f t="array" ref="J78">INDEX(Tableau3[GHG impact (tCO2eq/MWh)],
       MATCH(1,
             (Tableau3[Resource]=Tableau6[[#This Row],[Marginal supply commodity HIGH]])*(Tableau3[Scenario]="HIGH_2050"),
             0))*1000</f>
        <v>66.960000000000008</v>
      </c>
      <c r="K78" s="11">
        <f>(Tableau6[[#This Row],[Total cost (M€/y) HIGH]]-Tableau6[[#This Row],[Total Cost (M€) HIGH +1Mt CO2]])</f>
        <v>111.83531599998241</v>
      </c>
      <c r="L78" s="22">
        <f>Tableau6[[#This Row],[Marginal Carbon cost (€/tCO2) HIGH]]*Tableau6[[#This Row],[Marginal emission factor (kgCO2/MWh) HIGH]]/1000</f>
        <v>7.4884927593588237</v>
      </c>
      <c r="M78" s="22">
        <f>(CS78-CS77)*AVERAGE($E$3,E78)/(B78-B77)</f>
        <v>124.27276199715722</v>
      </c>
      <c r="N78" s="22">
        <f>(CS78-CS77)*Tableau6[[#This Row],[Marginal value of solid biomass (€/MWh) HIGH]]/(B78-B77)</f>
        <v>3.0721556758050834</v>
      </c>
      <c r="O78" s="22">
        <f>(CS78-CS77)*Tableau6[[#This Row],[Marginal supply cost (€/MWh) HIGH]]/(B78-B77)</f>
        <v>2.7863670139553496</v>
      </c>
      <c r="P78" s="22">
        <f>Tableau6[[#This Row],[Marginal supply cost (€/MWh) HIGH]]+Tableau6[[#This Row],[Carbon cost of marginal biomass (€/MWh) HIGH]]</f>
        <v>24.151737396037024</v>
      </c>
      <c r="Y78" s="10">
        <f>Tableau6[[#This Row],[Total cost (M€/y) MED]]-Tableau6[[#This Row],[Total cost (M€/y) MED +1Mt CO2]]</f>
        <v>0</v>
      </c>
      <c r="Z78" s="10">
        <f>Tableau6[[#This Row],[Marginal Carbon cost (€/tCO2) MED]]*Tableau6[[#This Row],[Marginal emission factor (kgCO2/MWh)]]/1000</f>
        <v>0</v>
      </c>
      <c r="AA78" s="10">
        <f>Tableau6[[#This Row],[Carbon cost of marginal biomass (€/MWh) MED]]+Tableau6[[#This Row],[Marginal supply cost (€/MWh) MED]]</f>
        <v>0</v>
      </c>
      <c r="AH78" s="15">
        <v>1.7370829999999999</v>
      </c>
      <c r="AI78" s="16">
        <v>53000.002292999998</v>
      </c>
      <c r="AJ78" s="16">
        <v>388.88537700000001</v>
      </c>
      <c r="AK78" s="16">
        <v>120840.14096800001</v>
      </c>
      <c r="AL78" s="16">
        <v>92999.971176999999</v>
      </c>
      <c r="AM78" s="16">
        <v>34138.890949000001</v>
      </c>
      <c r="AN78" s="16">
        <v>44388.890955000003</v>
      </c>
      <c r="AO78" s="16">
        <v>35431.346752999998</v>
      </c>
      <c r="AP78" s="16">
        <v>12472.224488</v>
      </c>
      <c r="AQ78" s="15">
        <v>5.5492210000000002</v>
      </c>
      <c r="AR78" s="16">
        <v>40333.002542000002</v>
      </c>
      <c r="AS78" s="15">
        <v>0.63081799999999999</v>
      </c>
      <c r="AT78" s="16">
        <v>88.835521999999997</v>
      </c>
      <c r="AU78" s="16">
        <v>8833.3357820000001</v>
      </c>
      <c r="AV78" s="16">
        <v>15166.669172</v>
      </c>
      <c r="AW78" s="15">
        <v>0.20920900000000001</v>
      </c>
      <c r="AX78" s="16">
        <v>504.149587</v>
      </c>
      <c r="AY78" s="16">
        <v>4444.4471949999997</v>
      </c>
      <c r="AZ78" s="17">
        <v>14016.37902</v>
      </c>
      <c r="BA78" s="16">
        <v>2944.445299</v>
      </c>
      <c r="BB78" s="15">
        <v>0.327959</v>
      </c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>
        <v>159861.886661</v>
      </c>
      <c r="CT78" s="11">
        <v>106416.720418</v>
      </c>
      <c r="CU78" s="11">
        <v>108.050274</v>
      </c>
      <c r="CV78" s="11">
        <v>0.36306899999999998</v>
      </c>
      <c r="CW78" s="11">
        <v>0.32824700000000001</v>
      </c>
      <c r="CX78" s="11">
        <v>99387.374899999995</v>
      </c>
      <c r="CY78" s="17">
        <v>33181.941331000002</v>
      </c>
      <c r="CZ78" s="11">
        <v>6575.2749670000003</v>
      </c>
      <c r="DA78" s="11">
        <v>0.127941</v>
      </c>
      <c r="DB78" s="11">
        <v>74465.191036999997</v>
      </c>
      <c r="DC78" s="11">
        <v>0.68489100000000003</v>
      </c>
      <c r="DD78" s="11">
        <v>0.63531899999999997</v>
      </c>
      <c r="DE78" s="11">
        <v>0.94364300000000001</v>
      </c>
      <c r="DF78" s="11">
        <v>0.338951</v>
      </c>
      <c r="DG78" s="11">
        <v>0.163826</v>
      </c>
      <c r="DH78" s="11">
        <v>4.5926000000000002E-2</v>
      </c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</row>
    <row r="79" spans="1:144" x14ac:dyDescent="0.3">
      <c r="A79">
        <v>77</v>
      </c>
      <c r="B79" s="6">
        <v>485000</v>
      </c>
      <c r="C79" s="6">
        <v>229968.37546400001</v>
      </c>
      <c r="D79" s="6">
        <v>229850.88602100001</v>
      </c>
      <c r="E79" s="6">
        <f>(C78-Tableau6[[#This Row],[Total cost (M€/y) HIGH]])/(Tableau6[[#This Row],[Solid biomass availability (GWh/y)]]-B78)*1000</f>
        <v>18.744057599996449</v>
      </c>
      <c r="F79" s="6" t="s">
        <v>34</v>
      </c>
      <c r="G79" s="10">
        <f t="shared" si="12"/>
        <v>19.112625079998981</v>
      </c>
      <c r="H79" s="6" t="s">
        <v>24</v>
      </c>
      <c r="I79" s="11" cm="1">
        <f t="array" ref="I79">INDEX(Tableau3[Production cost (M€/GWh)],
       MATCH(1,
             (Tableau3[Resource]=Tableau6[[#This Row],[Marginal supply commodity HIGH]])*(Tableau3[Scenario]="HIGH_2050"),
             0))*1000</f>
        <v>16.663244636678201</v>
      </c>
      <c r="J79" s="11" cm="1">
        <f t="array" ref="J79">INDEX(Tableau3[GHG impact (tCO2eq/MWh)],
       MATCH(1,
             (Tableau3[Resource]=Tableau6[[#This Row],[Marginal supply commodity HIGH]])*(Tableau3[Scenario]="HIGH_2050"),
             0))*1000</f>
        <v>66.960000000000008</v>
      </c>
      <c r="K79" s="11">
        <f>(Tableau6[[#This Row],[Total cost (M€/y) HIGH]]-Tableau6[[#This Row],[Total Cost (M€) HIGH +1Mt CO2]])</f>
        <v>117.48944299999857</v>
      </c>
      <c r="L79" s="22">
        <f>Tableau6[[#This Row],[Marginal Carbon cost (€/tCO2) HIGH]]*Tableau6[[#This Row],[Marginal emission factor (kgCO2/MWh) HIGH]]/1000</f>
        <v>7.8670931032799052</v>
      </c>
      <c r="M79" s="22">
        <f>(CS79-CS78)*AVERAGE($E$3,E79)/(B79-B78)</f>
        <v>124.40171068174399</v>
      </c>
      <c r="N79" s="22">
        <f>(CS79-CS78)*Tableau6[[#This Row],[Marginal value of solid biomass (€/MWh) HIGH]]/(B79-B78)</f>
        <v>3.1367807574288467</v>
      </c>
      <c r="O79" s="22">
        <f>(CS79-CS78)*Tableau6[[#This Row],[Marginal supply cost (€/MWh) HIGH]]/(B79-B78)</f>
        <v>2.7885608467545211</v>
      </c>
      <c r="P79" s="22">
        <f>Tableau6[[#This Row],[Marginal supply cost (€/MWh) HIGH]]+Tableau6[[#This Row],[Carbon cost of marginal biomass (€/MWh) HIGH]]</f>
        <v>24.530337739958107</v>
      </c>
      <c r="Y79" s="10">
        <f>Tableau6[[#This Row],[Total cost (M€/y) MED]]-Tableau6[[#This Row],[Total cost (M€/y) MED +1Mt CO2]]</f>
        <v>0</v>
      </c>
      <c r="Z79" s="10">
        <f>Tableau6[[#This Row],[Marginal Carbon cost (€/tCO2) MED]]*Tableau6[[#This Row],[Marginal emission factor (kgCO2/MWh)]]/1000</f>
        <v>0</v>
      </c>
      <c r="AA79" s="10">
        <f>Tableau6[[#This Row],[Carbon cost of marginal biomass (€/MWh) MED]]+Tableau6[[#This Row],[Marginal supply cost (€/MWh) MED]]</f>
        <v>0</v>
      </c>
      <c r="AH79" s="15">
        <v>0.99592499999999995</v>
      </c>
      <c r="AI79" s="16">
        <v>53000.000289000003</v>
      </c>
      <c r="AJ79" s="16">
        <v>388.88501600000001</v>
      </c>
      <c r="AK79" s="16">
        <v>120840.14782</v>
      </c>
      <c r="AL79" s="16">
        <v>92998.178895999998</v>
      </c>
      <c r="AM79" s="16">
        <v>34138.888996000001</v>
      </c>
      <c r="AN79" s="16">
        <v>44388.888998000002</v>
      </c>
      <c r="AO79" s="16">
        <v>35431.344762000001</v>
      </c>
      <c r="AP79" s="16">
        <v>12472.222513999999</v>
      </c>
      <c r="AQ79" s="15">
        <v>4.6952480000000003</v>
      </c>
      <c r="AR79" s="16">
        <v>40333.000192</v>
      </c>
      <c r="AS79" s="15">
        <v>0.565384</v>
      </c>
      <c r="AT79" s="16">
        <v>88.83381</v>
      </c>
      <c r="AU79" s="16">
        <v>8833.3337800000008</v>
      </c>
      <c r="AV79" s="16">
        <v>15166.667153</v>
      </c>
      <c r="AW79" s="15">
        <v>0.187722</v>
      </c>
      <c r="AX79" s="16">
        <v>504.14768299999997</v>
      </c>
      <c r="AY79" s="16">
        <v>4444.4451440000003</v>
      </c>
      <c r="AZ79" s="17">
        <v>19019.881082</v>
      </c>
      <c r="BA79" s="16">
        <v>2944.4436329999999</v>
      </c>
      <c r="BB79" s="15">
        <v>0.27150099999999999</v>
      </c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>
        <v>160698.626716</v>
      </c>
      <c r="CT79" s="11">
        <v>106416.700535</v>
      </c>
      <c r="CU79" s="11">
        <v>263.40418199999999</v>
      </c>
      <c r="CV79" s="11">
        <v>0.28997099999999998</v>
      </c>
      <c r="CW79" s="11">
        <v>0.25966800000000001</v>
      </c>
      <c r="CX79" s="11">
        <v>99387.438133000003</v>
      </c>
      <c r="CY79" s="17">
        <v>37811.307159999997</v>
      </c>
      <c r="CZ79" s="11">
        <v>6575.0929599999999</v>
      </c>
      <c r="DA79" s="11">
        <v>0.106476</v>
      </c>
      <c r="DB79" s="11">
        <v>73844.467204</v>
      </c>
      <c r="DC79" s="11">
        <v>0.56353799999999998</v>
      </c>
      <c r="DD79" s="11">
        <v>0.56148100000000001</v>
      </c>
      <c r="DE79" s="11">
        <v>0.75405</v>
      </c>
      <c r="DF79" s="11">
        <v>0.281663</v>
      </c>
      <c r="DG79" s="11">
        <v>0.134242</v>
      </c>
      <c r="DH79" s="11">
        <v>3.7597999999999999E-2</v>
      </c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</row>
    <row r="80" spans="1:144" x14ac:dyDescent="0.3">
      <c r="A80">
        <v>78</v>
      </c>
      <c r="B80" s="6">
        <v>490000</v>
      </c>
      <c r="C80" s="6">
        <v>229868.11596299999</v>
      </c>
      <c r="D80" s="6">
        <v>229774.85041499999</v>
      </c>
      <c r="E80" s="6">
        <f>(C79-Tableau6[[#This Row],[Total cost (M€/y) HIGH]])/(Tableau6[[#This Row],[Solid biomass availability (GWh/y)]]-B79)*1000</f>
        <v>20.051900200004454</v>
      </c>
      <c r="F80" s="6" t="s">
        <v>30</v>
      </c>
      <c r="G80" s="10">
        <f>AVERAGE($E$80:$E$95)</f>
        <v>15.509992825000152</v>
      </c>
      <c r="H80" s="6" t="s">
        <v>24</v>
      </c>
      <c r="I80" s="11" cm="1">
        <f t="array" ref="I80">INDEX(Tableau3[Production cost (M€/GWh)],
       MATCH(1,
             (Tableau3[Resource]=Tableau6[[#This Row],[Marginal supply commodity HIGH]])*(Tableau3[Scenario]="HIGH_2050"),
             0))*1000</f>
        <v>16.663244636678201</v>
      </c>
      <c r="J80" s="11" cm="1">
        <f t="array" ref="J80">INDEX(Tableau3[GHG impact (tCO2eq/MWh)],
       MATCH(1,
             (Tableau3[Resource]=Tableau6[[#This Row],[Marginal supply commodity HIGH]])*(Tableau3[Scenario]="HIGH_2050"),
             0))*1000</f>
        <v>66.960000000000008</v>
      </c>
      <c r="K80" s="11">
        <f>(Tableau6[[#This Row],[Total cost (M€/y) HIGH]]-Tableau6[[#This Row],[Total Cost (M€) HIGH +1Mt CO2]])</f>
        <v>93.265547999995761</v>
      </c>
      <c r="L80" s="22">
        <f>Tableau6[[#This Row],[Marginal Carbon cost (€/tCO2) HIGH]]*Tableau6[[#This Row],[Marginal emission factor (kgCO2/MWh) HIGH]]/1000</f>
        <v>6.2450610940797171</v>
      </c>
      <c r="M80" s="22">
        <f>(CS80-CS79)*AVERAGE($E$3,E80)/(B80-B79)</f>
        <v>125.34537634534745</v>
      </c>
      <c r="N80" s="22">
        <f>(CS80-CS79)*Tableau6[[#This Row],[Marginal value of solid biomass (€/MWh) HIGH]]/(B80-B79)</f>
        <v>3.3781286719875316</v>
      </c>
      <c r="O80" s="22">
        <f>(CS80-CS79)*Tableau6[[#This Row],[Marginal supply cost (€/MWh) HIGH]]/(B80-B79)</f>
        <v>2.8072443964932852</v>
      </c>
      <c r="P80" s="22">
        <f>Tableau6[[#This Row],[Marginal supply cost (€/MWh) HIGH]]+Tableau6[[#This Row],[Carbon cost of marginal biomass (€/MWh) HIGH]]</f>
        <v>22.908305730757917</v>
      </c>
      <c r="Y80" s="10">
        <f>Tableau6[[#This Row],[Total cost (M€/y) MED]]-Tableau6[[#This Row],[Total cost (M€/y) MED +1Mt CO2]]</f>
        <v>0</v>
      </c>
      <c r="Z80" s="10">
        <f>Tableau6[[#This Row],[Marginal Carbon cost (€/tCO2) MED]]*Tableau6[[#This Row],[Marginal emission factor (kgCO2/MWh)]]/1000</f>
        <v>0</v>
      </c>
      <c r="AA80" s="10">
        <f>Tableau6[[#This Row],[Carbon cost of marginal biomass (€/MWh) MED]]+Tableau6[[#This Row],[Marginal supply cost (€/MWh) MED]]</f>
        <v>0</v>
      </c>
      <c r="AH80" s="15">
        <v>0.92408800000000002</v>
      </c>
      <c r="AI80" s="16">
        <v>53000.002025000002</v>
      </c>
      <c r="AJ80" s="16">
        <v>388.888372</v>
      </c>
      <c r="AK80" s="16">
        <v>120840.13541</v>
      </c>
      <c r="AL80" s="16">
        <v>92999.497096999999</v>
      </c>
      <c r="AM80" s="16">
        <v>34138.890811999998</v>
      </c>
      <c r="AN80" s="16">
        <v>44388.890813999998</v>
      </c>
      <c r="AO80" s="16">
        <v>35431.346477999999</v>
      </c>
      <c r="AP80" s="16">
        <v>12472.224241</v>
      </c>
      <c r="AQ80" s="15">
        <v>2.4016069999999998</v>
      </c>
      <c r="AR80" s="16">
        <v>40333.002162999997</v>
      </c>
      <c r="AS80" s="15">
        <v>0.25563000000000002</v>
      </c>
      <c r="AT80" s="16">
        <v>88.835325999999995</v>
      </c>
      <c r="AU80" s="16">
        <v>8833.3354350000009</v>
      </c>
      <c r="AV80" s="16">
        <v>15166.668791</v>
      </c>
      <c r="AW80" s="15">
        <v>9.1568999999999998E-2</v>
      </c>
      <c r="AX80" s="16">
        <v>504.14929599999999</v>
      </c>
      <c r="AY80" s="16">
        <v>4444.4466810000004</v>
      </c>
      <c r="AZ80" s="17">
        <v>24021.476658</v>
      </c>
      <c r="BA80" s="16">
        <v>2944.4458490000002</v>
      </c>
      <c r="BB80" s="15">
        <v>0.14449999999999999</v>
      </c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>
        <v>161540.97298699999</v>
      </c>
      <c r="CT80" s="11">
        <v>106417.59437399999</v>
      </c>
      <c r="CU80" s="17">
        <v>2813.6663579999999</v>
      </c>
      <c r="CV80" s="11">
        <v>0.16397</v>
      </c>
      <c r="CW80" s="11">
        <v>0.148783</v>
      </c>
      <c r="CX80" s="11">
        <v>99387.476206000007</v>
      </c>
      <c r="CY80" s="11">
        <v>38246.526830000003</v>
      </c>
      <c r="CZ80" s="11">
        <v>6574.6605019999997</v>
      </c>
      <c r="DA80" s="11">
        <v>5.7548000000000002E-2</v>
      </c>
      <c r="DB80" s="11">
        <v>75017.526501</v>
      </c>
      <c r="DC80" s="11">
        <v>0.30782500000000002</v>
      </c>
      <c r="DD80" s="11">
        <v>0.28311199999999997</v>
      </c>
      <c r="DE80" s="11">
        <v>0.42034899999999997</v>
      </c>
      <c r="DF80" s="11">
        <v>0.15296399999999999</v>
      </c>
      <c r="DG80" s="11">
        <v>7.3632000000000003E-2</v>
      </c>
      <c r="DH80" s="11">
        <v>2.0915E-2</v>
      </c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</row>
    <row r="81" spans="1:144" x14ac:dyDescent="0.3">
      <c r="A81">
        <v>79</v>
      </c>
      <c r="B81" s="6">
        <v>495000</v>
      </c>
      <c r="C81" s="6">
        <v>229810.853588</v>
      </c>
      <c r="D81" s="6">
        <v>229681.09611700001</v>
      </c>
      <c r="E81" s="6">
        <f>(C80-Tableau6[[#This Row],[Total cost (M€/y) HIGH]])/(Tableau6[[#This Row],[Solid biomass availability (GWh/y)]]-B80)*1000</f>
        <v>11.45247499999823</v>
      </c>
      <c r="F81" s="6" t="s">
        <v>30</v>
      </c>
      <c r="G81" s="10">
        <f t="shared" ref="G81:G95" si="13">AVERAGE($E$80:$E$95)</f>
        <v>15.509992825000152</v>
      </c>
      <c r="H81" s="6" t="s">
        <v>24</v>
      </c>
      <c r="I81" s="11" cm="1">
        <f t="array" ref="I81">INDEX(Tableau3[Production cost (M€/GWh)],
       MATCH(1,
             (Tableau3[Resource]=Tableau6[[#This Row],[Marginal supply commodity HIGH]])*(Tableau3[Scenario]="HIGH_2050"),
             0))*1000</f>
        <v>16.663244636678201</v>
      </c>
      <c r="J81" s="11" cm="1">
        <f t="array" ref="J81">INDEX(Tableau3[GHG impact (tCO2eq/MWh)],
       MATCH(1,
             (Tableau3[Resource]=Tableau6[[#This Row],[Marginal supply commodity HIGH]])*(Tableau3[Scenario]="HIGH_2050"),
             0))*1000</f>
        <v>66.960000000000008</v>
      </c>
      <c r="K81" s="11">
        <f>(Tableau6[[#This Row],[Total cost (M€/y) HIGH]]-Tableau6[[#This Row],[Total Cost (M€) HIGH +1Mt CO2]])</f>
        <v>129.75747099998989</v>
      </c>
      <c r="L81" s="22">
        <f>Tableau6[[#This Row],[Marginal Carbon cost (€/tCO2) HIGH]]*Tableau6[[#This Row],[Marginal emission factor (kgCO2/MWh) HIGH]]/1000</f>
        <v>8.688560258159324</v>
      </c>
      <c r="M81" s="22">
        <f>(CS81-CS80)*AVERAGE($E$3,E81)/(B81-B80)</f>
        <v>124.17936671878758</v>
      </c>
      <c r="N81" s="22">
        <f>(CS81-CS80)*Tableau6[[#This Row],[Marginal value of solid biomass (€/MWh) HIGH]]/(B81-B80)</f>
        <v>1.9225524210681901</v>
      </c>
      <c r="O81" s="22">
        <f>(CS81-CS80)*Tableau6[[#This Row],[Marginal supply cost (€/MWh) HIGH]]/(B81-B80)</f>
        <v>2.7972958962234942</v>
      </c>
      <c r="P81" s="22">
        <f>Tableau6[[#This Row],[Marginal supply cost (€/MWh) HIGH]]+Tableau6[[#This Row],[Carbon cost of marginal biomass (€/MWh) HIGH]]</f>
        <v>25.351804894837525</v>
      </c>
      <c r="Y81" s="10">
        <f>Tableau6[[#This Row],[Total cost (M€/y) MED]]-Tableau6[[#This Row],[Total cost (M€/y) MED +1Mt CO2]]</f>
        <v>0</v>
      </c>
      <c r="Z81" s="10">
        <f>Tableau6[[#This Row],[Marginal Carbon cost (€/tCO2) MED]]*Tableau6[[#This Row],[Marginal emission factor (kgCO2/MWh)]]/1000</f>
        <v>0</v>
      </c>
      <c r="AA81" s="10">
        <f>Tableau6[[#This Row],[Carbon cost of marginal biomass (€/MWh) MED]]+Tableau6[[#This Row],[Marginal supply cost (€/MWh) MED]]</f>
        <v>0</v>
      </c>
      <c r="AH81" s="15">
        <v>1.0540639999999999</v>
      </c>
      <c r="AI81" s="16">
        <v>53000.000156000002</v>
      </c>
      <c r="AJ81" s="16">
        <v>388.88638900000001</v>
      </c>
      <c r="AK81" s="16">
        <v>120840.159619</v>
      </c>
      <c r="AL81" s="16">
        <v>92999.959801999998</v>
      </c>
      <c r="AM81" s="16">
        <v>34138.888980999996</v>
      </c>
      <c r="AN81" s="16">
        <v>44388.888971</v>
      </c>
      <c r="AO81" s="16">
        <v>35431.344627999999</v>
      </c>
      <c r="AP81" s="16">
        <v>12472.222435</v>
      </c>
      <c r="AQ81" s="15">
        <v>2.3121230000000002</v>
      </c>
      <c r="AR81" s="16">
        <v>40333.000295999998</v>
      </c>
      <c r="AS81" s="15">
        <v>0.28728100000000001</v>
      </c>
      <c r="AT81" s="16">
        <v>88.833408000000006</v>
      </c>
      <c r="AU81" s="16">
        <v>8833.3336149999996</v>
      </c>
      <c r="AV81" s="16">
        <v>15166.666939999999</v>
      </c>
      <c r="AW81" s="15">
        <v>7.8412999999999997E-2</v>
      </c>
      <c r="AX81" s="16">
        <v>504.14739500000002</v>
      </c>
      <c r="AY81" s="16">
        <v>4444.4448229999998</v>
      </c>
      <c r="AZ81" s="17">
        <v>29020.943630999998</v>
      </c>
      <c r="BA81" s="16">
        <v>2944.444047</v>
      </c>
      <c r="BB81" s="15">
        <v>0.115624</v>
      </c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>
        <v>162380.334095</v>
      </c>
      <c r="CT81" s="11">
        <v>106417.584703</v>
      </c>
      <c r="CU81" s="17">
        <v>7143.8439799999996</v>
      </c>
      <c r="CV81" s="11">
        <v>0.147868</v>
      </c>
      <c r="CW81" s="11">
        <v>0.12842600000000001</v>
      </c>
      <c r="CX81" s="11">
        <v>99387.510880000002</v>
      </c>
      <c r="CY81" s="11">
        <v>37813.902289999998</v>
      </c>
      <c r="CZ81" s="11">
        <v>6574.5660660000003</v>
      </c>
      <c r="DA81" s="11">
        <v>4.9986999999999997E-2</v>
      </c>
      <c r="DB81" s="11">
        <v>75280.859391999998</v>
      </c>
      <c r="DC81" s="11">
        <v>0.26158100000000001</v>
      </c>
      <c r="DD81" s="11">
        <v>0.25609300000000002</v>
      </c>
      <c r="DE81" s="11">
        <v>0.35135</v>
      </c>
      <c r="DF81" s="11">
        <v>0.13328699999999999</v>
      </c>
      <c r="DG81" s="11">
        <v>6.4694000000000002E-2</v>
      </c>
      <c r="DH81" s="11">
        <v>1.796E-2</v>
      </c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</row>
    <row r="82" spans="1:144" x14ac:dyDescent="0.3">
      <c r="A82">
        <v>80</v>
      </c>
      <c r="B82" s="6">
        <v>500000</v>
      </c>
      <c r="C82" s="6">
        <v>229685.10768700001</v>
      </c>
      <c r="D82" s="6">
        <v>229591.38108200001</v>
      </c>
      <c r="E82" s="6">
        <f>(C81-Tableau6[[#This Row],[Total cost (M€/y) HIGH]])/(Tableau6[[#This Row],[Solid biomass availability (GWh/y)]]-B81)*1000</f>
        <v>25.149180199997499</v>
      </c>
      <c r="F82" s="6" t="s">
        <v>30</v>
      </c>
      <c r="G82" s="10">
        <f t="shared" si="13"/>
        <v>15.509992825000152</v>
      </c>
      <c r="H82" s="6" t="s">
        <v>24</v>
      </c>
      <c r="I82" s="11" cm="1">
        <f t="array" ref="I82">INDEX(Tableau3[Production cost (M€/GWh)],
       MATCH(1,
             (Tableau3[Resource]=Tableau6[[#This Row],[Marginal supply commodity HIGH]])*(Tableau3[Scenario]="HIGH_2050"),
             0))*1000</f>
        <v>16.663244636678201</v>
      </c>
      <c r="J82" s="11" cm="1">
        <f t="array" ref="J82">INDEX(Tableau3[GHG impact (tCO2eq/MWh)],
       MATCH(1,
             (Tableau3[Resource]=Tableau6[[#This Row],[Marginal supply commodity HIGH]])*(Tableau3[Scenario]="HIGH_2050"),
             0))*1000</f>
        <v>66.960000000000008</v>
      </c>
      <c r="K82" s="11">
        <f>(Tableau6[[#This Row],[Total cost (M€/y) HIGH]]-Tableau6[[#This Row],[Total Cost (M€) HIGH +1Mt CO2]])</f>
        <v>93.726605000003474</v>
      </c>
      <c r="L82" s="22">
        <f>Tableau6[[#This Row],[Marginal Carbon cost (€/tCO2) HIGH]]*Tableau6[[#This Row],[Marginal emission factor (kgCO2/MWh) HIGH]]/1000</f>
        <v>6.2759334708002337</v>
      </c>
      <c r="M82" s="22">
        <f>(CS82-CS81)*AVERAGE($E$3,E82)/(B82-B81)</f>
        <v>125.02090877347237</v>
      </c>
      <c r="N82" s="22">
        <f>(CS82-CS81)*Tableau6[[#This Row],[Marginal value of solid biomass (€/MWh) HIGH]]/(B82-B81)</f>
        <v>4.211469850908423</v>
      </c>
      <c r="O82" s="22">
        <f>(CS82-CS81)*Tableau6[[#This Row],[Marginal supply cost (€/MWh) HIGH]]/(B82-B81)</f>
        <v>2.7904190851393516</v>
      </c>
      <c r="P82" s="22">
        <f>Tableau6[[#This Row],[Marginal supply cost (€/MWh) HIGH]]+Tableau6[[#This Row],[Carbon cost of marginal biomass (€/MWh) HIGH]]</f>
        <v>22.939178107478433</v>
      </c>
      <c r="Y82" s="10">
        <f>Tableau6[[#This Row],[Total cost (M€/y) MED]]-Tableau6[[#This Row],[Total cost (M€/y) MED +1Mt CO2]]</f>
        <v>0</v>
      </c>
      <c r="Z82" s="10">
        <f>Tableau6[[#This Row],[Marginal Carbon cost (€/tCO2) MED]]*Tableau6[[#This Row],[Marginal emission factor (kgCO2/MWh)]]/1000</f>
        <v>0</v>
      </c>
      <c r="AA82" s="10">
        <f>Tableau6[[#This Row],[Carbon cost of marginal biomass (€/MWh) MED]]+Tableau6[[#This Row],[Marginal supply cost (€/MWh) MED]]</f>
        <v>0</v>
      </c>
      <c r="AH82" s="15">
        <v>1.4221630000000001</v>
      </c>
      <c r="AI82" s="16">
        <v>53000.000321</v>
      </c>
      <c r="AJ82" s="16">
        <v>388.88328300000001</v>
      </c>
      <c r="AK82" s="16">
        <v>120840.16601299999</v>
      </c>
      <c r="AL82" s="16">
        <v>92998.974214999995</v>
      </c>
      <c r="AM82" s="16">
        <v>34138.888980000003</v>
      </c>
      <c r="AN82" s="16">
        <v>44388.888991</v>
      </c>
      <c r="AO82" s="16">
        <v>35431.344736999999</v>
      </c>
      <c r="AP82" s="16">
        <v>12472.222470000001</v>
      </c>
      <c r="AQ82" s="15">
        <v>4.3384530000000003</v>
      </c>
      <c r="AR82" s="16">
        <v>40333.000466999998</v>
      </c>
      <c r="AS82" s="15">
        <v>0.50800299999999998</v>
      </c>
      <c r="AT82" s="16">
        <v>88.833395999999993</v>
      </c>
      <c r="AU82" s="16">
        <v>8833.3337300000003</v>
      </c>
      <c r="AV82" s="16">
        <v>15166.667104</v>
      </c>
      <c r="AW82" s="15">
        <v>0.15851999999999999</v>
      </c>
      <c r="AX82" s="16">
        <v>504.147535</v>
      </c>
      <c r="AY82" s="16">
        <v>4444.4450820000002</v>
      </c>
      <c r="AZ82" s="17">
        <v>34019.104830999997</v>
      </c>
      <c r="BA82" s="16">
        <v>2944.443499</v>
      </c>
      <c r="BB82" s="15">
        <v>0.25226799999999999</v>
      </c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>
        <v>163217.63173600001</v>
      </c>
      <c r="CT82" s="11">
        <v>106417.096443</v>
      </c>
      <c r="CU82" s="17">
        <v>11866.862261</v>
      </c>
      <c r="CV82" s="11">
        <v>0.27850200000000003</v>
      </c>
      <c r="CW82" s="11">
        <v>0.24298800000000001</v>
      </c>
      <c r="CX82" s="11">
        <v>99387.461227000007</v>
      </c>
      <c r="CY82" s="11">
        <v>37304.758382</v>
      </c>
      <c r="CZ82" s="11">
        <v>6574.9155940000001</v>
      </c>
      <c r="DA82" s="11">
        <v>9.7266000000000005E-2</v>
      </c>
      <c r="DB82" s="11">
        <v>75228.570535999999</v>
      </c>
      <c r="DC82" s="11">
        <v>0.51868899999999996</v>
      </c>
      <c r="DD82" s="11">
        <v>0.51537999999999995</v>
      </c>
      <c r="DE82" s="11">
        <v>0.66049999999999998</v>
      </c>
      <c r="DF82" s="11">
        <v>0.25722200000000001</v>
      </c>
      <c r="DG82" s="11">
        <v>0.123779</v>
      </c>
      <c r="DH82" s="11">
        <v>3.3582000000000001E-2</v>
      </c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</row>
    <row r="83" spans="1:144" x14ac:dyDescent="0.3">
      <c r="A83">
        <v>81</v>
      </c>
      <c r="B83" s="6">
        <v>505000</v>
      </c>
      <c r="C83" s="6">
        <v>229613.050155</v>
      </c>
      <c r="D83" s="6">
        <v>229502.34625</v>
      </c>
      <c r="E83" s="6">
        <f>(C82-Tableau6[[#This Row],[Total cost (M€/y) HIGH]])/(Tableau6[[#This Row],[Solid biomass availability (GWh/y)]]-B82)*1000</f>
        <v>14.411506400001235</v>
      </c>
      <c r="F83" s="6" t="s">
        <v>30</v>
      </c>
      <c r="G83" s="10">
        <f t="shared" si="13"/>
        <v>15.509992825000152</v>
      </c>
      <c r="H83" s="6" t="s">
        <v>24</v>
      </c>
      <c r="I83" s="11" cm="1">
        <f t="array" ref="I83">INDEX(Tableau3[Production cost (M€/GWh)],
       MATCH(1,
             (Tableau3[Resource]=Tableau6[[#This Row],[Marginal supply commodity HIGH]])*(Tableau3[Scenario]="HIGH_2050"),
             0))*1000</f>
        <v>16.663244636678201</v>
      </c>
      <c r="J83" s="11" cm="1">
        <f t="array" ref="J83">INDEX(Tableau3[GHG impact (tCO2eq/MWh)],
       MATCH(1,
             (Tableau3[Resource]=Tableau6[[#This Row],[Marginal supply commodity HIGH]])*(Tableau3[Scenario]="HIGH_2050"),
             0))*1000</f>
        <v>66.960000000000008</v>
      </c>
      <c r="K83" s="11">
        <f>(Tableau6[[#This Row],[Total cost (M€/y) HIGH]]-Tableau6[[#This Row],[Total Cost (M€) HIGH +1Mt CO2]])</f>
        <v>110.70390500000212</v>
      </c>
      <c r="L83" s="22">
        <f>Tableau6[[#This Row],[Marginal Carbon cost (€/tCO2) HIGH]]*Tableau6[[#This Row],[Marginal emission factor (kgCO2/MWh) HIGH]]/1000</f>
        <v>7.4127334788001429</v>
      </c>
      <c r="M83" s="22">
        <f>(CS83-CS82)*AVERAGE($E$3,E83)/(B83-B82)</f>
        <v>124.49172913259564</v>
      </c>
      <c r="N83" s="22">
        <f>(CS83-CS82)*Tableau6[[#This Row],[Marginal value of solid biomass (€/MWh) HIGH]]/(B83-B82)</f>
        <v>2.4205358306696749</v>
      </c>
      <c r="O83" s="22">
        <f>(CS83-CS82)*Tableau6[[#This Row],[Marginal supply cost (€/MWh) HIGH]]/(B83-B82)</f>
        <v>2.798734537445053</v>
      </c>
      <c r="P83" s="22">
        <f>Tableau6[[#This Row],[Marginal supply cost (€/MWh) HIGH]]+Tableau6[[#This Row],[Carbon cost of marginal biomass (€/MWh) HIGH]]</f>
        <v>24.075978115478343</v>
      </c>
      <c r="Y83" s="10">
        <f>Tableau6[[#This Row],[Total cost (M€/y) MED]]-Tableau6[[#This Row],[Total cost (M€/y) MED +1Mt CO2]]</f>
        <v>0</v>
      </c>
      <c r="Z83" s="10">
        <f>Tableau6[[#This Row],[Marginal Carbon cost (€/tCO2) MED]]*Tableau6[[#This Row],[Marginal emission factor (kgCO2/MWh)]]/1000</f>
        <v>0</v>
      </c>
      <c r="AA83" s="10">
        <f>Tableau6[[#This Row],[Carbon cost of marginal biomass (€/MWh) MED]]+Tableau6[[#This Row],[Marginal supply cost (€/MWh) MED]]</f>
        <v>0</v>
      </c>
      <c r="AH83" s="15">
        <v>1.9429860000000001</v>
      </c>
      <c r="AI83" s="16">
        <v>53000.000779000002</v>
      </c>
      <c r="AJ83" s="16">
        <v>388.88579099999998</v>
      </c>
      <c r="AK83" s="16">
        <v>120840.15842399999</v>
      </c>
      <c r="AL83" s="16">
        <v>92998.758428000001</v>
      </c>
      <c r="AM83" s="16">
        <v>34138.889494000003</v>
      </c>
      <c r="AN83" s="16">
        <v>44388.889509000001</v>
      </c>
      <c r="AO83" s="16">
        <v>35431.345205999998</v>
      </c>
      <c r="AP83" s="16">
        <v>12472.22294</v>
      </c>
      <c r="AQ83" s="15">
        <v>3.3257880000000002</v>
      </c>
      <c r="AR83" s="16">
        <v>40333.000946</v>
      </c>
      <c r="AS83" s="15">
        <v>0.32669799999999999</v>
      </c>
      <c r="AT83" s="16">
        <v>88.834018999999998</v>
      </c>
      <c r="AU83" s="16">
        <v>8833.3341569999993</v>
      </c>
      <c r="AV83" s="16">
        <v>15166.667527</v>
      </c>
      <c r="AW83" s="15">
        <v>0.121099</v>
      </c>
      <c r="AX83" s="16">
        <v>504.148055</v>
      </c>
      <c r="AY83" s="16">
        <v>4444.4454720000003</v>
      </c>
      <c r="AZ83" s="17">
        <v>39020.072858</v>
      </c>
      <c r="BA83" s="16">
        <v>2944.4443489999999</v>
      </c>
      <c r="BB83" s="15">
        <v>0.21462300000000001</v>
      </c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>
        <v>164057.42452500001</v>
      </c>
      <c r="CT83" s="11">
        <v>106417.406924</v>
      </c>
      <c r="CU83" s="17">
        <v>16489.885333999999</v>
      </c>
      <c r="CV83" s="11">
        <v>0.22347900000000001</v>
      </c>
      <c r="CW83" s="11">
        <v>0.19539599999999999</v>
      </c>
      <c r="CX83" s="11">
        <v>99387.411795000007</v>
      </c>
      <c r="CY83" s="11">
        <v>36833.702482000001</v>
      </c>
      <c r="CZ83" s="11">
        <v>6574.7268489999997</v>
      </c>
      <c r="DA83" s="11">
        <v>7.6361999999999999E-2</v>
      </c>
      <c r="DB83" s="11">
        <v>75237.268410000004</v>
      </c>
      <c r="DC83" s="11">
        <v>0.40726299999999999</v>
      </c>
      <c r="DD83" s="11">
        <v>0.40004299999999998</v>
      </c>
      <c r="DE83" s="11">
        <v>0.57886800000000005</v>
      </c>
      <c r="DF83" s="11">
        <v>0.20010900000000001</v>
      </c>
      <c r="DG83" s="11">
        <v>9.5062999999999995E-2</v>
      </c>
      <c r="DH83" s="11">
        <v>2.6265E-2</v>
      </c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</row>
    <row r="84" spans="1:144" x14ac:dyDescent="0.3">
      <c r="A84">
        <v>82</v>
      </c>
      <c r="B84" s="6">
        <v>510000</v>
      </c>
      <c r="C84" s="6">
        <v>229516.787843</v>
      </c>
      <c r="D84" s="6">
        <v>229419.96051899999</v>
      </c>
      <c r="E84" s="6">
        <f>(C83-Tableau6[[#This Row],[Total cost (M€/y) HIGH]])/(Tableau6[[#This Row],[Solid biomass availability (GWh/y)]]-B83)*1000</f>
        <v>19.252462400001242</v>
      </c>
      <c r="F84" s="6" t="s">
        <v>30</v>
      </c>
      <c r="G84" s="10">
        <f t="shared" si="13"/>
        <v>15.509992825000152</v>
      </c>
      <c r="H84" s="6" t="s">
        <v>24</v>
      </c>
      <c r="I84" s="11" cm="1">
        <f t="array" ref="I84">INDEX(Tableau3[Production cost (M€/GWh)],
       MATCH(1,
             (Tableau3[Resource]=Tableau6[[#This Row],[Marginal supply commodity HIGH]])*(Tableau3[Scenario]="HIGH_2050"),
             0))*1000</f>
        <v>16.663244636678201</v>
      </c>
      <c r="J84" s="11" cm="1">
        <f t="array" ref="J84">INDEX(Tableau3[GHG impact (tCO2eq/MWh)],
       MATCH(1,
             (Tableau3[Resource]=Tableau6[[#This Row],[Marginal supply commodity HIGH]])*(Tableau3[Scenario]="HIGH_2050"),
             0))*1000</f>
        <v>66.960000000000008</v>
      </c>
      <c r="K84" s="11">
        <f>(Tableau6[[#This Row],[Total cost (M€/y) HIGH]]-Tableau6[[#This Row],[Total Cost (M€) HIGH +1Mt CO2]])</f>
        <v>96.827324000012595</v>
      </c>
      <c r="L84" s="22">
        <f>Tableau6[[#This Row],[Marginal Carbon cost (€/tCO2) HIGH]]*Tableau6[[#This Row],[Marginal emission factor (kgCO2/MWh) HIGH]]/1000</f>
        <v>6.4835576150408443</v>
      </c>
      <c r="M84" s="22">
        <f>(CS84-CS83)*AVERAGE($E$3,E84)/(B84-B83)</f>
        <v>124.59614002871898</v>
      </c>
      <c r="N84" s="22">
        <f>(CS84-CS83)*Tableau6[[#This Row],[Marginal value of solid biomass (€/MWh) HIGH]]/(B84-B83)</f>
        <v>3.2257936973495172</v>
      </c>
      <c r="O84" s="22">
        <f>(CS84-CS83)*Tableau6[[#This Row],[Marginal supply cost (€/MWh) HIGH]]/(B84-B83)</f>
        <v>2.7919643944551331</v>
      </c>
      <c r="P84" s="22">
        <f>Tableau6[[#This Row],[Marginal supply cost (€/MWh) HIGH]]+Tableau6[[#This Row],[Carbon cost of marginal biomass (€/MWh) HIGH]]</f>
        <v>23.146802251719045</v>
      </c>
      <c r="Y84" s="10">
        <f>Tableau6[[#This Row],[Total cost (M€/y) MED]]-Tableau6[[#This Row],[Total cost (M€/y) MED +1Mt CO2]]</f>
        <v>0</v>
      </c>
      <c r="Z84" s="10">
        <f>Tableau6[[#This Row],[Marginal Carbon cost (€/tCO2) MED]]*Tableau6[[#This Row],[Marginal emission factor (kgCO2/MWh)]]/1000</f>
        <v>0</v>
      </c>
      <c r="AA84" s="10">
        <f>Tableau6[[#This Row],[Carbon cost of marginal biomass (€/MWh) MED]]+Tableau6[[#This Row],[Marginal supply cost (€/MWh) MED]]</f>
        <v>0</v>
      </c>
      <c r="AH84" s="15">
        <v>1.079709</v>
      </c>
      <c r="AI84" s="16">
        <v>53000.001554000002</v>
      </c>
      <c r="AJ84" s="16">
        <v>388.88708700000001</v>
      </c>
      <c r="AK84" s="16">
        <v>120840.160013</v>
      </c>
      <c r="AL84" s="16">
        <v>92999.100395999994</v>
      </c>
      <c r="AM84" s="16">
        <v>34138.890302</v>
      </c>
      <c r="AN84" s="16">
        <v>44388.890303</v>
      </c>
      <c r="AO84" s="16">
        <v>35431.345994000003</v>
      </c>
      <c r="AP84" s="16">
        <v>12472.223754000001</v>
      </c>
      <c r="AQ84" s="15">
        <v>3.056657</v>
      </c>
      <c r="AR84" s="16">
        <v>40333.001741</v>
      </c>
      <c r="AS84" s="15">
        <v>0.23555400000000001</v>
      </c>
      <c r="AT84" s="16">
        <v>88.834828000000002</v>
      </c>
      <c r="AU84" s="16">
        <v>8833.3349660000003</v>
      </c>
      <c r="AV84" s="16">
        <v>15166.668329</v>
      </c>
      <c r="AW84" s="15">
        <v>0.114506</v>
      </c>
      <c r="AX84" s="16">
        <v>504.14881500000001</v>
      </c>
      <c r="AY84" s="16">
        <v>4444.4462460000004</v>
      </c>
      <c r="AZ84" s="17">
        <v>44021.000107</v>
      </c>
      <c r="BA84" s="16">
        <v>2944.4451909999998</v>
      </c>
      <c r="BB84" s="15">
        <v>0.17893200000000001</v>
      </c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>
        <v>164895.18585400001</v>
      </c>
      <c r="CT84" s="11">
        <v>106417.514098</v>
      </c>
      <c r="CU84" s="17">
        <v>21207.6934</v>
      </c>
      <c r="CV84" s="11">
        <v>0.20814199999999999</v>
      </c>
      <c r="CW84" s="11">
        <v>0.186249</v>
      </c>
      <c r="CX84" s="11">
        <v>99387.484700000001</v>
      </c>
      <c r="CY84" s="11">
        <v>36320.633979999999</v>
      </c>
      <c r="CZ84" s="11">
        <v>6574.7191640000001</v>
      </c>
      <c r="DA84" s="11">
        <v>7.2511999999999993E-2</v>
      </c>
      <c r="DB84" s="11">
        <v>75194.758329999997</v>
      </c>
      <c r="DC84" s="11">
        <v>0.38271699999999997</v>
      </c>
      <c r="DD84" s="11">
        <v>0.36261599999999999</v>
      </c>
      <c r="DE84" s="11">
        <v>0.53283800000000003</v>
      </c>
      <c r="DF84" s="11">
        <v>0.191826</v>
      </c>
      <c r="DG84" s="11">
        <v>9.2767000000000002E-2</v>
      </c>
      <c r="DH84" s="11">
        <v>2.5805999999999999E-2</v>
      </c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</row>
    <row r="85" spans="1:144" x14ac:dyDescent="0.3">
      <c r="A85">
        <v>83</v>
      </c>
      <c r="B85" s="6">
        <v>515000</v>
      </c>
      <c r="C85" s="6">
        <v>229441.92554500001</v>
      </c>
      <c r="D85" s="6">
        <v>229330.97479899999</v>
      </c>
      <c r="E85" s="6">
        <f>(C84-Tableau6[[#This Row],[Total cost (M€/y) HIGH]])/(Tableau6[[#This Row],[Solid biomass availability (GWh/y)]]-B84)*1000</f>
        <v>14.972459599998546</v>
      </c>
      <c r="F85" s="6" t="s">
        <v>30</v>
      </c>
      <c r="G85" s="10">
        <f t="shared" si="13"/>
        <v>15.509992825000152</v>
      </c>
      <c r="H85" s="6" t="s">
        <v>15</v>
      </c>
      <c r="I85" s="11" cm="1">
        <f t="array" ref="I85">INDEX(Tableau3[Production cost (M€/GWh)],
       MATCH(1,
             (Tableau3[Resource]=Tableau6[[#This Row],[Marginal supply commodity HIGH]])*(Tableau3[Scenario]="HIGH_2050"),
             0))*1000</f>
        <v>17.576198730734401</v>
      </c>
      <c r="J85" s="11" cm="1">
        <f t="array" ref="J85">INDEX(Tableau3[GHG impact (tCO2eq/MWh)],
       MATCH(1,
             (Tableau3[Resource]=Tableau6[[#This Row],[Marginal supply commodity HIGH]])*(Tableau3[Scenario]="HIGH_2050"),
             0))*1000</f>
        <v>66.960000000000008</v>
      </c>
      <c r="K85" s="11">
        <f>(Tableau6[[#This Row],[Total cost (M€/y) HIGH]]-Tableau6[[#This Row],[Total Cost (M€) HIGH +1Mt CO2]])</f>
        <v>110.95074600001681</v>
      </c>
      <c r="L85" s="22">
        <f>Tableau6[[#This Row],[Marginal Carbon cost (€/tCO2) HIGH]]*Tableau6[[#This Row],[Marginal emission factor (kgCO2/MWh) HIGH]]/1000</f>
        <v>7.4292619521611263</v>
      </c>
      <c r="M85" s="22">
        <f>(CS85-CS84)*AVERAGE($E$3,E85)/(B85-B84)</f>
        <v>124.15349586078761</v>
      </c>
      <c r="N85" s="22">
        <f>(CS85-CS84)*Tableau6[[#This Row],[Marginal value of solid biomass (€/MWh) HIGH]]/(B85-B84)</f>
        <v>2.5069717015719375</v>
      </c>
      <c r="O85" s="22">
        <f>(CS85-CS84)*Tableau6[[#This Row],[Marginal supply cost (€/MWh) HIGH]]/(B85-B84)</f>
        <v>2.9429388367933904</v>
      </c>
      <c r="P85" s="22">
        <f>Tableau6[[#This Row],[Marginal supply cost (€/MWh) HIGH]]+Tableau6[[#This Row],[Carbon cost of marginal biomass (€/MWh) HIGH]]</f>
        <v>25.005460682895528</v>
      </c>
      <c r="Y85" s="10">
        <f>Tableau6[[#This Row],[Total cost (M€/y) MED]]-Tableau6[[#This Row],[Total cost (M€/y) MED +1Mt CO2]]</f>
        <v>0</v>
      </c>
      <c r="Z85" s="10">
        <f>Tableau6[[#This Row],[Marginal Carbon cost (€/tCO2) MED]]*Tableau6[[#This Row],[Marginal emission factor (kgCO2/MWh)]]/1000</f>
        <v>0</v>
      </c>
      <c r="AA85" s="10">
        <f>Tableau6[[#This Row],[Carbon cost of marginal biomass (€/MWh) MED]]+Tableau6[[#This Row],[Marginal supply cost (€/MWh) MED]]</f>
        <v>0</v>
      </c>
      <c r="AH85" s="15">
        <v>0.19503400000000001</v>
      </c>
      <c r="AI85" s="16">
        <v>53000.000071000002</v>
      </c>
      <c r="AJ85" s="16">
        <v>388.88707099999999</v>
      </c>
      <c r="AK85" s="16">
        <v>120840.15524399999</v>
      </c>
      <c r="AL85" s="16">
        <v>92999.422479999994</v>
      </c>
      <c r="AM85" s="16">
        <v>34138.888826000002</v>
      </c>
      <c r="AN85" s="16">
        <v>44388.888787999997</v>
      </c>
      <c r="AO85" s="16">
        <v>35431.344531000002</v>
      </c>
      <c r="AP85" s="16">
        <v>12472.222404</v>
      </c>
      <c r="AQ85" s="17">
        <v>4968.8921529999998</v>
      </c>
      <c r="AR85" s="16">
        <v>40333.00043</v>
      </c>
      <c r="AS85" s="15">
        <v>0.42298599999999997</v>
      </c>
      <c r="AT85" s="16">
        <v>88.833635000000001</v>
      </c>
      <c r="AU85" s="16">
        <v>8833.3336350000009</v>
      </c>
      <c r="AV85" s="16">
        <v>15166.666947</v>
      </c>
      <c r="AW85" s="15">
        <v>0.12335599999999999</v>
      </c>
      <c r="AX85" s="16">
        <v>504.147581</v>
      </c>
      <c r="AY85" s="16">
        <v>4444.4449210000002</v>
      </c>
      <c r="AZ85" s="16">
        <v>44055.439902999999</v>
      </c>
      <c r="BA85" s="16">
        <v>2944.4440140000002</v>
      </c>
      <c r="BB85" s="15">
        <v>0.26302300000000001</v>
      </c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>
        <v>165732.38019900001</v>
      </c>
      <c r="CT85" s="11">
        <v>106417.007031</v>
      </c>
      <c r="CU85" s="17">
        <v>25826.034005000001</v>
      </c>
      <c r="CV85" s="11">
        <v>0.27346300000000001</v>
      </c>
      <c r="CW85" s="11">
        <v>0.239008</v>
      </c>
      <c r="CX85" s="11">
        <v>99387.736199000006</v>
      </c>
      <c r="CY85" s="11">
        <v>35876.936121999999</v>
      </c>
      <c r="CZ85" s="11">
        <v>6574.7982050000001</v>
      </c>
      <c r="DA85" s="11">
        <v>9.7002000000000005E-2</v>
      </c>
      <c r="DB85" s="11">
        <v>75182.346661999996</v>
      </c>
      <c r="DC85" s="11">
        <v>0.53401699999999996</v>
      </c>
      <c r="DD85" s="11">
        <v>0.56240400000000002</v>
      </c>
      <c r="DE85" s="11">
        <v>0.65719700000000003</v>
      </c>
      <c r="DF85" s="11">
        <v>0.25977899999999998</v>
      </c>
      <c r="DG85" s="11">
        <v>0.123225</v>
      </c>
      <c r="DH85" s="11">
        <v>3.2537999999999997E-2</v>
      </c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</row>
    <row r="86" spans="1:144" x14ac:dyDescent="0.3">
      <c r="A86">
        <v>84</v>
      </c>
      <c r="B86" s="6">
        <v>520000</v>
      </c>
      <c r="C86" s="6">
        <v>229333.728474</v>
      </c>
      <c r="D86" s="6">
        <v>229237.159927</v>
      </c>
      <c r="E86" s="6">
        <f>(C85-Tableau6[[#This Row],[Total cost (M€/y) HIGH]])/(Tableau6[[#This Row],[Solid biomass availability (GWh/y)]]-B85)*1000</f>
        <v>21.639414200000463</v>
      </c>
      <c r="F86" s="6" t="s">
        <v>30</v>
      </c>
      <c r="G86" s="10">
        <f t="shared" si="13"/>
        <v>15.509992825000152</v>
      </c>
      <c r="H86" s="6" t="s">
        <v>15</v>
      </c>
      <c r="I86" s="11" cm="1">
        <f t="array" ref="I86">INDEX(Tableau3[Production cost (M€/GWh)],
       MATCH(1,
             (Tableau3[Resource]=Tableau6[[#This Row],[Marginal supply commodity HIGH]])*(Tableau3[Scenario]="HIGH_2050"),
             0))*1000</f>
        <v>17.576198730734401</v>
      </c>
      <c r="J86" s="11" cm="1">
        <f t="array" ref="J86">INDEX(Tableau3[GHG impact (tCO2eq/MWh)],
       MATCH(1,
             (Tableau3[Resource]=Tableau6[[#This Row],[Marginal supply commodity HIGH]])*(Tableau3[Scenario]="HIGH_2050"),
             0))*1000</f>
        <v>66.960000000000008</v>
      </c>
      <c r="K86" s="11">
        <f>(Tableau6[[#This Row],[Total cost (M€/y) HIGH]]-Tableau6[[#This Row],[Total Cost (M€) HIGH +1Mt CO2]])</f>
        <v>96.568547000002582</v>
      </c>
      <c r="L86" s="22">
        <f>Tableau6[[#This Row],[Marginal Carbon cost (€/tCO2) HIGH]]*Tableau6[[#This Row],[Marginal emission factor (kgCO2/MWh) HIGH]]/1000</f>
        <v>6.466229907120173</v>
      </c>
      <c r="M86" s="22">
        <f>(CS86-CS85)*AVERAGE($E$3,E86)/(B86-B85)</f>
        <v>124.07799238938128</v>
      </c>
      <c r="N86" s="22">
        <f>(CS86-CS85)*Tableau6[[#This Row],[Marginal value of solid biomass (€/MWh) HIGH]]/(B86-B85)</f>
        <v>3.6048692385937864</v>
      </c>
      <c r="O86" s="22">
        <f>(CS86-CS85)*Tableau6[[#This Row],[Marginal supply cost (€/MWh) HIGH]]/(B86-B85)</f>
        <v>2.927985829479351</v>
      </c>
      <c r="P86" s="22">
        <f>Tableau6[[#This Row],[Marginal supply cost (€/MWh) HIGH]]+Tableau6[[#This Row],[Carbon cost of marginal biomass (€/MWh) HIGH]]</f>
        <v>24.042428637854574</v>
      </c>
      <c r="Y86" s="10">
        <f>Tableau6[[#This Row],[Total cost (M€/y) MED]]-Tableau6[[#This Row],[Total cost (M€/y) MED +1Mt CO2]]</f>
        <v>0</v>
      </c>
      <c r="Z86" s="10">
        <f>Tableau6[[#This Row],[Marginal Carbon cost (€/tCO2) MED]]*Tableau6[[#This Row],[Marginal emission factor (kgCO2/MWh)]]/1000</f>
        <v>0</v>
      </c>
      <c r="AA86" s="10">
        <f>Tableau6[[#This Row],[Carbon cost of marginal biomass (€/MWh) MED]]+Tableau6[[#This Row],[Marginal supply cost (€/MWh) MED]]</f>
        <v>0</v>
      </c>
      <c r="AH86" s="15">
        <v>1.860419</v>
      </c>
      <c r="AI86" s="16">
        <v>53000.000741000003</v>
      </c>
      <c r="AJ86" s="16">
        <v>388.88787100000002</v>
      </c>
      <c r="AK86" s="16">
        <v>120840.092471</v>
      </c>
      <c r="AL86" s="16">
        <v>92999.783832999994</v>
      </c>
      <c r="AM86" s="16">
        <v>34138.889540999997</v>
      </c>
      <c r="AN86" s="16">
        <v>44388.889533000001</v>
      </c>
      <c r="AO86" s="16">
        <v>35431.345220000003</v>
      </c>
      <c r="AP86" s="16">
        <v>12472.22301</v>
      </c>
      <c r="AQ86" s="17">
        <v>9966.9143760000006</v>
      </c>
      <c r="AR86" s="16">
        <v>40333.001112999998</v>
      </c>
      <c r="AS86" s="15">
        <v>0.39581899999999998</v>
      </c>
      <c r="AT86" s="16">
        <v>88.834181000000001</v>
      </c>
      <c r="AU86" s="16">
        <v>8833.3342389999998</v>
      </c>
      <c r="AV86" s="16">
        <v>15166.667557000001</v>
      </c>
      <c r="AW86" s="15">
        <v>0.12112299999999999</v>
      </c>
      <c r="AX86" s="16">
        <v>504.14810799999998</v>
      </c>
      <c r="AY86" s="16">
        <v>4444.445479</v>
      </c>
      <c r="AZ86" s="16">
        <v>44055.554984000002</v>
      </c>
      <c r="BA86" s="16">
        <v>2944.4446389999998</v>
      </c>
      <c r="BB86" s="15">
        <v>0.19417200000000001</v>
      </c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>
        <v>166565.32077799999</v>
      </c>
      <c r="CT86" s="11">
        <v>106417.365815</v>
      </c>
      <c r="CU86" s="17">
        <v>30450.742627</v>
      </c>
      <c r="CV86" s="11">
        <v>0.22107599999999999</v>
      </c>
      <c r="CW86" s="11">
        <v>0.19524</v>
      </c>
      <c r="CX86" s="11">
        <v>99387.424346</v>
      </c>
      <c r="CY86" s="11">
        <v>35443.446871</v>
      </c>
      <c r="CZ86" s="11">
        <v>6574.7442639999999</v>
      </c>
      <c r="DA86" s="11">
        <v>7.6114000000000001E-2</v>
      </c>
      <c r="DB86" s="11">
        <v>75158.829226999995</v>
      </c>
      <c r="DC86" s="11">
        <v>0.40498099999999998</v>
      </c>
      <c r="DD86" s="11">
        <v>0.39591700000000002</v>
      </c>
      <c r="DE86" s="11">
        <v>0.53187499999999999</v>
      </c>
      <c r="DF86" s="11">
        <v>0.20554800000000001</v>
      </c>
      <c r="DG86" s="11">
        <v>9.6742999999999996E-2</v>
      </c>
      <c r="DH86" s="11">
        <v>2.7025E-2</v>
      </c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</row>
    <row r="87" spans="1:144" x14ac:dyDescent="0.3">
      <c r="A87">
        <v>85</v>
      </c>
      <c r="B87" s="6">
        <v>525000</v>
      </c>
      <c r="C87" s="6">
        <v>229273.73811899999</v>
      </c>
      <c r="D87" s="6">
        <v>229153.512147</v>
      </c>
      <c r="E87" s="6">
        <f>(C86-Tableau6[[#This Row],[Total cost (M€/y) HIGH]])/(Tableau6[[#This Row],[Solid biomass availability (GWh/y)]]-B86)*1000</f>
        <v>11.998071000003256</v>
      </c>
      <c r="F87" s="6" t="s">
        <v>30</v>
      </c>
      <c r="G87" s="10">
        <f t="shared" si="13"/>
        <v>15.509992825000152</v>
      </c>
      <c r="H87" s="6" t="s">
        <v>15</v>
      </c>
      <c r="I87" s="11" cm="1">
        <f t="array" ref="I87">INDEX(Tableau3[Production cost (M€/GWh)],
       MATCH(1,
             (Tableau3[Resource]=Tableau6[[#This Row],[Marginal supply commodity HIGH]])*(Tableau3[Scenario]="HIGH_2050"),
             0))*1000</f>
        <v>17.576198730734401</v>
      </c>
      <c r="J87" s="11" cm="1">
        <f t="array" ref="J87">INDEX(Tableau3[GHG impact (tCO2eq/MWh)],
       MATCH(1,
             (Tableau3[Resource]=Tableau6[[#This Row],[Marginal supply commodity HIGH]])*(Tableau3[Scenario]="HIGH_2050"),
             0))*1000</f>
        <v>66.960000000000008</v>
      </c>
      <c r="K87" s="11">
        <f>(Tableau6[[#This Row],[Total cost (M€/y) HIGH]]-Tableau6[[#This Row],[Total Cost (M€) HIGH +1Mt CO2]])</f>
        <v>120.22597199998563</v>
      </c>
      <c r="L87" s="22">
        <f>Tableau6[[#This Row],[Marginal Carbon cost (€/tCO2) HIGH]]*Tableau6[[#This Row],[Marginal emission factor (kgCO2/MWh) HIGH]]/1000</f>
        <v>8.0503310851190388</v>
      </c>
      <c r="M87" s="22">
        <f>(CS87-CS86)*AVERAGE($E$3,E87)/(B87-B86)</f>
        <v>124.5262641334289</v>
      </c>
      <c r="N87" s="22">
        <f>(CS87-CS86)*Tableau6[[#This Row],[Marginal value of solid biomass (€/MWh) HIGH]]/(B87-B86)</f>
        <v>2.0190247983830987</v>
      </c>
      <c r="O87" s="22">
        <f>(CS87-CS86)*Tableau6[[#This Row],[Marginal supply cost (€/MWh) HIGH]]/(B87-B86)</f>
        <v>2.9577072096550077</v>
      </c>
      <c r="P87" s="22">
        <f>Tableau6[[#This Row],[Marginal supply cost (€/MWh) HIGH]]+Tableau6[[#This Row],[Carbon cost of marginal biomass (€/MWh) HIGH]]</f>
        <v>25.626529815853438</v>
      </c>
      <c r="Y87" s="10">
        <f>Tableau6[[#This Row],[Total cost (M€/y) MED]]-Tableau6[[#This Row],[Total cost (M€/y) MED +1Mt CO2]]</f>
        <v>0</v>
      </c>
      <c r="Z87" s="10">
        <f>Tableau6[[#This Row],[Marginal Carbon cost (€/tCO2) MED]]*Tableau6[[#This Row],[Marginal emission factor (kgCO2/MWh)]]/1000</f>
        <v>0</v>
      </c>
      <c r="AA87" s="10">
        <f>Tableau6[[#This Row],[Carbon cost of marginal biomass (€/MWh) MED]]+Tableau6[[#This Row],[Marginal supply cost (€/MWh) MED]]</f>
        <v>0</v>
      </c>
      <c r="AH87" s="15">
        <v>1.7818210000000001</v>
      </c>
      <c r="AI87" s="16">
        <v>53000.001255000003</v>
      </c>
      <c r="AJ87" s="16">
        <v>388.88772699999998</v>
      </c>
      <c r="AK87" s="16">
        <v>120840.167718</v>
      </c>
      <c r="AL87" s="16">
        <v>92999.878014000002</v>
      </c>
      <c r="AM87" s="16">
        <v>34138.890033999996</v>
      </c>
      <c r="AN87" s="16">
        <v>44388.890033999996</v>
      </c>
      <c r="AO87" s="16">
        <v>35431.345703999999</v>
      </c>
      <c r="AP87" s="16">
        <v>12472.223453000001</v>
      </c>
      <c r="AQ87" s="17">
        <v>14966.902253</v>
      </c>
      <c r="AR87" s="16">
        <v>40333.001398</v>
      </c>
      <c r="AS87" s="15">
        <v>0.34305400000000003</v>
      </c>
      <c r="AT87" s="16">
        <v>88.834495000000004</v>
      </c>
      <c r="AU87" s="16">
        <v>8833.3346459999993</v>
      </c>
      <c r="AV87" s="16">
        <v>15166.668014000001</v>
      </c>
      <c r="AW87" s="15">
        <v>0.12865499999999999</v>
      </c>
      <c r="AX87" s="16">
        <v>504.148416</v>
      </c>
      <c r="AY87" s="16">
        <v>4444.4458780000004</v>
      </c>
      <c r="AZ87" s="16">
        <v>44055.548067999996</v>
      </c>
      <c r="BA87" s="16">
        <v>2944.4448069999999</v>
      </c>
      <c r="BB87" s="15">
        <v>0.17222199999999999</v>
      </c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>
        <v>167406.716365</v>
      </c>
      <c r="CT87" s="11">
        <v>106417.54945799999</v>
      </c>
      <c r="CU87" s="17">
        <v>35145.578904000002</v>
      </c>
      <c r="CV87" s="11">
        <v>0.197542</v>
      </c>
      <c r="CW87" s="11">
        <v>0.17304</v>
      </c>
      <c r="CX87" s="11">
        <v>99387.553788999998</v>
      </c>
      <c r="CY87" s="11">
        <v>34943.167253</v>
      </c>
      <c r="CZ87" s="11">
        <v>6574.6374569999998</v>
      </c>
      <c r="DA87" s="11">
        <v>6.5809000000000006E-2</v>
      </c>
      <c r="DB87" s="11">
        <v>75122.911898999999</v>
      </c>
      <c r="DC87" s="11">
        <v>0.35995100000000002</v>
      </c>
      <c r="DD87" s="11">
        <v>0.34760799999999997</v>
      </c>
      <c r="DE87" s="11">
        <v>0.48486600000000002</v>
      </c>
      <c r="DF87" s="11">
        <v>0.18557399999999999</v>
      </c>
      <c r="DG87" s="11">
        <v>8.5241999999999998E-2</v>
      </c>
      <c r="DH87" s="11">
        <v>2.2925000000000001E-2</v>
      </c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</row>
    <row r="88" spans="1:144" x14ac:dyDescent="0.3">
      <c r="A88">
        <v>86</v>
      </c>
      <c r="B88" s="6">
        <v>530000</v>
      </c>
      <c r="C88" s="6">
        <v>229182.84281100001</v>
      </c>
      <c r="D88" s="6">
        <v>229064.76597800001</v>
      </c>
      <c r="E88" s="6">
        <f>(C87-Tableau6[[#This Row],[Total cost (M€/y) HIGH]])/(Tableau6[[#This Row],[Solid biomass availability (GWh/y)]]-B87)*1000</f>
        <v>18.179061599995478</v>
      </c>
      <c r="F88" s="6" t="s">
        <v>30</v>
      </c>
      <c r="G88" s="10">
        <f t="shared" si="13"/>
        <v>15.509992825000152</v>
      </c>
      <c r="H88" s="6" t="s">
        <v>15</v>
      </c>
      <c r="I88" s="11" cm="1">
        <f t="array" ref="I88">INDEX(Tableau3[Production cost (M€/GWh)],
       MATCH(1,
             (Tableau3[Resource]=Tableau6[[#This Row],[Marginal supply commodity HIGH]])*(Tableau3[Scenario]="HIGH_2050"),
             0))*1000</f>
        <v>17.576198730734401</v>
      </c>
      <c r="J88" s="11" cm="1">
        <f t="array" ref="J88">INDEX(Tableau3[GHG impact (tCO2eq/MWh)],
       MATCH(1,
             (Tableau3[Resource]=Tableau6[[#This Row],[Marginal supply commodity HIGH]])*(Tableau3[Scenario]="HIGH_2050"),
             0))*1000</f>
        <v>66.960000000000008</v>
      </c>
      <c r="K88" s="11">
        <f>(Tableau6[[#This Row],[Total cost (M€/y) HIGH]]-Tableau6[[#This Row],[Total Cost (M€) HIGH +1Mt CO2]])</f>
        <v>118.07683299999917</v>
      </c>
      <c r="L88" s="22">
        <f>Tableau6[[#This Row],[Marginal Carbon cost (€/tCO2) HIGH]]*Tableau6[[#This Row],[Marginal emission factor (kgCO2/MWh) HIGH]]/1000</f>
        <v>7.906424737679945</v>
      </c>
      <c r="M88" s="22">
        <f>(CS88-CS87)*AVERAGE($E$3,E88)/(B88-B87)</f>
        <v>123.57749898993943</v>
      </c>
      <c r="N88" s="22">
        <f>(CS88-CS87)*Tableau6[[#This Row],[Marginal value of solid biomass (€/MWh) HIGH]]/(B88-B87)</f>
        <v>3.02322269002146</v>
      </c>
      <c r="O88" s="22">
        <f>(CS88-CS87)*Tableau6[[#This Row],[Marginal supply cost (€/MWh) HIGH]]/(B88-B87)</f>
        <v>2.9229651109766768</v>
      </c>
      <c r="P88" s="22">
        <f>Tableau6[[#This Row],[Marginal supply cost (€/MWh) HIGH]]+Tableau6[[#This Row],[Carbon cost of marginal biomass (€/MWh) HIGH]]</f>
        <v>25.482623468414346</v>
      </c>
      <c r="Y88" s="10">
        <f>Tableau6[[#This Row],[Total cost (M€/y) MED]]-Tableau6[[#This Row],[Total cost (M€/y) MED +1Mt CO2]]</f>
        <v>0</v>
      </c>
      <c r="Z88" s="10">
        <f>Tableau6[[#This Row],[Marginal Carbon cost (€/tCO2) MED]]*Tableau6[[#This Row],[Marginal emission factor (kgCO2/MWh)]]/1000</f>
        <v>0</v>
      </c>
      <c r="AA88" s="10">
        <f>Tableau6[[#This Row],[Carbon cost of marginal biomass (€/MWh) MED]]+Tableau6[[#This Row],[Marginal supply cost (€/MWh) MED]]</f>
        <v>0</v>
      </c>
      <c r="AH88" s="15">
        <v>2.504213</v>
      </c>
      <c r="AI88" s="16">
        <v>53000.003361000003</v>
      </c>
      <c r="AJ88" s="16">
        <v>388.88924700000001</v>
      </c>
      <c r="AK88" s="16">
        <v>120840.16894800001</v>
      </c>
      <c r="AL88" s="16">
        <v>92999.994116999995</v>
      </c>
      <c r="AM88" s="16">
        <v>34138.892039999999</v>
      </c>
      <c r="AN88" s="16">
        <v>44388.892016999998</v>
      </c>
      <c r="AO88" s="16">
        <v>35431.347824999997</v>
      </c>
      <c r="AP88" s="16">
        <v>12472.225671</v>
      </c>
      <c r="AQ88" s="17">
        <v>19965.899918999999</v>
      </c>
      <c r="AR88" s="16">
        <v>40333.003718</v>
      </c>
      <c r="AS88" s="15">
        <v>0.297875</v>
      </c>
      <c r="AT88" s="16">
        <v>88.836958999999993</v>
      </c>
      <c r="AU88" s="16">
        <v>8833.3369710000006</v>
      </c>
      <c r="AV88" s="16">
        <v>15166.670286</v>
      </c>
      <c r="AW88" s="15">
        <v>0.19640199999999999</v>
      </c>
      <c r="AX88" s="16">
        <v>504.15088800000001</v>
      </c>
      <c r="AY88" s="16">
        <v>4444.4483689999997</v>
      </c>
      <c r="AZ88" s="16">
        <v>44055.554633</v>
      </c>
      <c r="BA88" s="16">
        <v>2944.4468710000001</v>
      </c>
      <c r="BB88" s="15">
        <v>0.33390900000000001</v>
      </c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>
        <v>168238.228672</v>
      </c>
      <c r="CT88" s="11">
        <v>106416.659845</v>
      </c>
      <c r="CU88" s="17">
        <v>39549.598690999999</v>
      </c>
      <c r="CV88" s="11">
        <v>0.38216699999999998</v>
      </c>
      <c r="CW88" s="11">
        <v>0.34214600000000001</v>
      </c>
      <c r="CX88" s="11">
        <v>99387.482124999995</v>
      </c>
      <c r="CY88" s="11">
        <v>34618.951000000001</v>
      </c>
      <c r="CZ88" s="11">
        <v>6575.1783750000004</v>
      </c>
      <c r="DA88" s="11">
        <v>0.14024400000000001</v>
      </c>
      <c r="DB88" s="11">
        <v>75210.108873999998</v>
      </c>
      <c r="DC88" s="11">
        <v>0.70726900000000004</v>
      </c>
      <c r="DD88" s="11">
        <v>0.72749299999999995</v>
      </c>
      <c r="DE88" s="11">
        <v>0.97996899999999998</v>
      </c>
      <c r="DF88" s="11">
        <v>0.37739800000000001</v>
      </c>
      <c r="DG88" s="11">
        <v>0.17902899999999999</v>
      </c>
      <c r="DH88" s="11">
        <v>5.0971000000000002E-2</v>
      </c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</row>
    <row r="89" spans="1:144" x14ac:dyDescent="0.3">
      <c r="A89">
        <v>87</v>
      </c>
      <c r="B89" s="6">
        <v>535000</v>
      </c>
      <c r="C89" s="6">
        <v>229093.883803</v>
      </c>
      <c r="D89" s="6">
        <v>228968.84494099999</v>
      </c>
      <c r="E89" s="6">
        <f>(C88-Tableau6[[#This Row],[Total cost (M€/y) HIGH]])/(Tableau6[[#This Row],[Solid biomass availability (GWh/y)]]-B88)*1000</f>
        <v>17.791801600001055</v>
      </c>
      <c r="F89" s="6" t="s">
        <v>30</v>
      </c>
      <c r="G89" s="10">
        <f t="shared" si="13"/>
        <v>15.509992825000152</v>
      </c>
      <c r="H89" s="6" t="s">
        <v>15</v>
      </c>
      <c r="I89" s="11" cm="1">
        <f t="array" ref="I89">INDEX(Tableau3[Production cost (M€/GWh)],
       MATCH(1,
             (Tableau3[Resource]=Tableau6[[#This Row],[Marginal supply commodity HIGH]])*(Tableau3[Scenario]="HIGH_2050"),
             0))*1000</f>
        <v>17.576198730734401</v>
      </c>
      <c r="J89" s="11" cm="1">
        <f t="array" ref="J89">INDEX(Tableau3[GHG impact (tCO2eq/MWh)],
       MATCH(1,
             (Tableau3[Resource]=Tableau6[[#This Row],[Marginal supply commodity HIGH]])*(Tableau3[Scenario]="HIGH_2050"),
             0))*1000</f>
        <v>66.960000000000008</v>
      </c>
      <c r="K89" s="11">
        <f>(Tableau6[[#This Row],[Total cost (M€/y) HIGH]]-Tableau6[[#This Row],[Total Cost (M€) HIGH +1Mt CO2]])</f>
        <v>125.0388620000158</v>
      </c>
      <c r="L89" s="22">
        <f>Tableau6[[#This Row],[Marginal Carbon cost (€/tCO2) HIGH]]*Tableau6[[#This Row],[Marginal emission factor (kgCO2/MWh) HIGH]]/1000</f>
        <v>8.3726021995210598</v>
      </c>
      <c r="M89" s="22">
        <f>(CS89-CS88)*AVERAGE($E$3,E89)/(B89-B88)</f>
        <v>124.23340718396017</v>
      </c>
      <c r="N89" s="22">
        <f>(CS89-CS88)*Tableau6[[#This Row],[Marginal value of solid biomass (€/MWh) HIGH]]/(B89-B88)</f>
        <v>2.9753001191031014</v>
      </c>
      <c r="O89" s="22">
        <f>(CS89-CS88)*Tableau6[[#This Row],[Marginal supply cost (€/MWh) HIGH]]/(B89-B88)</f>
        <v>2.939245128325326</v>
      </c>
      <c r="P89" s="22">
        <f>Tableau6[[#This Row],[Marginal supply cost (€/MWh) HIGH]]+Tableau6[[#This Row],[Carbon cost of marginal biomass (€/MWh) HIGH]]</f>
        <v>25.948800930255459</v>
      </c>
      <c r="Y89" s="10">
        <f>Tableau6[[#This Row],[Total cost (M€/y) MED]]-Tableau6[[#This Row],[Total cost (M€/y) MED +1Mt CO2]]</f>
        <v>0</v>
      </c>
      <c r="Z89" s="10">
        <f>Tableau6[[#This Row],[Marginal Carbon cost (€/tCO2) MED]]*Tableau6[[#This Row],[Marginal emission factor (kgCO2/MWh)]]/1000</f>
        <v>0</v>
      </c>
      <c r="AA89" s="10">
        <f>Tableau6[[#This Row],[Carbon cost of marginal biomass (€/MWh) MED]]+Tableau6[[#This Row],[Marginal supply cost (€/MWh) MED]]</f>
        <v>0</v>
      </c>
      <c r="AH89" s="15">
        <v>2.398107</v>
      </c>
      <c r="AI89" s="16">
        <v>53000.002889000003</v>
      </c>
      <c r="AJ89" s="16">
        <v>388.88952599999999</v>
      </c>
      <c r="AK89" s="16">
        <v>120840.169203</v>
      </c>
      <c r="AL89" s="16">
        <v>92999.922133999993</v>
      </c>
      <c r="AM89" s="16">
        <v>34138.891632999999</v>
      </c>
      <c r="AN89" s="16">
        <v>44388.891640000002</v>
      </c>
      <c r="AO89" s="16">
        <v>35431.347314999999</v>
      </c>
      <c r="AP89" s="16">
        <v>12472.225063</v>
      </c>
      <c r="AQ89" s="17">
        <v>24966.202944000001</v>
      </c>
      <c r="AR89" s="16">
        <v>40333.003053</v>
      </c>
      <c r="AS89" s="15">
        <v>0.43373699999999998</v>
      </c>
      <c r="AT89" s="16">
        <v>88.836196000000001</v>
      </c>
      <c r="AU89" s="16">
        <v>8833.3362739999993</v>
      </c>
      <c r="AV89" s="16">
        <v>15166.669631000001</v>
      </c>
      <c r="AW89" s="15">
        <v>0.12845799999999999</v>
      </c>
      <c r="AX89" s="16">
        <v>504.15016000000003</v>
      </c>
      <c r="AY89" s="16">
        <v>4444.4475540000003</v>
      </c>
      <c r="AZ89" s="16">
        <v>44055.499233000002</v>
      </c>
      <c r="BA89" s="16">
        <v>2944.4466379999999</v>
      </c>
      <c r="BB89" s="15">
        <v>0.18112500000000001</v>
      </c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>
        <v>169074.37224699999</v>
      </c>
      <c r="CT89" s="11">
        <v>106417.386119</v>
      </c>
      <c r="CU89" s="17">
        <v>43895.549348</v>
      </c>
      <c r="CV89" s="11">
        <v>0.21653500000000001</v>
      </c>
      <c r="CW89" s="11">
        <v>0.19183700000000001</v>
      </c>
      <c r="CX89" s="11">
        <v>99387.646106</v>
      </c>
      <c r="CY89" s="11">
        <v>34266.768905999998</v>
      </c>
      <c r="CZ89" s="11">
        <v>6574.7707360000004</v>
      </c>
      <c r="DA89" s="11">
        <v>7.5156000000000001E-2</v>
      </c>
      <c r="DB89" s="11">
        <v>75381.425237999996</v>
      </c>
      <c r="DC89" s="11">
        <v>0.40015499999999998</v>
      </c>
      <c r="DD89" s="11">
        <v>0.38707599999999998</v>
      </c>
      <c r="DE89" s="11">
        <v>0.55889800000000001</v>
      </c>
      <c r="DF89" s="11">
        <v>0.201377</v>
      </c>
      <c r="DG89" s="11">
        <v>9.6194000000000002E-2</v>
      </c>
      <c r="DH89" s="11">
        <v>2.6599999999999999E-2</v>
      </c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</row>
    <row r="90" spans="1:144" x14ac:dyDescent="0.3">
      <c r="A90">
        <v>88</v>
      </c>
      <c r="B90" s="6">
        <v>540000</v>
      </c>
      <c r="C90" s="6">
        <v>229011.10003199999</v>
      </c>
      <c r="D90" s="6">
        <v>228894.142654</v>
      </c>
      <c r="E90" s="6">
        <f>(C89-Tableau6[[#This Row],[Total cost (M€/y) HIGH]])/(Tableau6[[#This Row],[Solid biomass availability (GWh/y)]]-B89)*1000</f>
        <v>16.556754200003343</v>
      </c>
      <c r="F90" s="6" t="s">
        <v>30</v>
      </c>
      <c r="G90" s="10">
        <f t="shared" si="13"/>
        <v>15.509992825000152</v>
      </c>
      <c r="H90" s="6" t="s">
        <v>15</v>
      </c>
      <c r="I90" s="11" cm="1">
        <f t="array" ref="I90">INDEX(Tableau3[Production cost (M€/GWh)],
       MATCH(1,
             (Tableau3[Resource]=Tableau6[[#This Row],[Marginal supply commodity HIGH]])*(Tableau3[Scenario]="HIGH_2050"),
             0))*1000</f>
        <v>17.576198730734401</v>
      </c>
      <c r="J90" s="11" cm="1">
        <f t="array" ref="J90">INDEX(Tableau3[GHG impact (tCO2eq/MWh)],
       MATCH(1,
             (Tableau3[Resource]=Tableau6[[#This Row],[Marginal supply commodity HIGH]])*(Tableau3[Scenario]="HIGH_2050"),
             0))*1000</f>
        <v>66.960000000000008</v>
      </c>
      <c r="K90" s="11">
        <f>(Tableau6[[#This Row],[Total cost (M€/y) HIGH]]-Tableau6[[#This Row],[Total Cost (M€) HIGH +1Mt CO2]])</f>
        <v>116.95737799999188</v>
      </c>
      <c r="L90" s="22">
        <f>Tableau6[[#This Row],[Marginal Carbon cost (€/tCO2) HIGH]]*Tableau6[[#This Row],[Marginal emission factor (kgCO2/MWh) HIGH]]/1000</f>
        <v>7.831466030879457</v>
      </c>
      <c r="M90" s="22">
        <f>(CS90-CS89)*AVERAGE($E$3,E90)/(B90-B89)</f>
        <v>124.10752273415171</v>
      </c>
      <c r="N90" s="22">
        <f>(CS90-CS89)*Tableau6[[#This Row],[Marginal value of solid biomass (€/MWh) HIGH]]/(B90-B89)</f>
        <v>2.7682602550709872</v>
      </c>
      <c r="O90" s="22">
        <f>(CS90-CS89)*Tableau6[[#This Row],[Marginal supply cost (€/MWh) HIGH]]/(B90-B89)</f>
        <v>2.9387095920957349</v>
      </c>
      <c r="P90" s="22">
        <f>Tableau6[[#This Row],[Marginal supply cost (€/MWh) HIGH]]+Tableau6[[#This Row],[Carbon cost of marginal biomass (€/MWh) HIGH]]</f>
        <v>25.407664761613859</v>
      </c>
      <c r="Y90" s="10">
        <f>Tableau6[[#This Row],[Total cost (M€/y) MED]]-Tableau6[[#This Row],[Total cost (M€/y) MED +1Mt CO2]]</f>
        <v>0</v>
      </c>
      <c r="Z90" s="10">
        <f>Tableau6[[#This Row],[Marginal Carbon cost (€/tCO2) MED]]*Tableau6[[#This Row],[Marginal emission factor (kgCO2/MWh)]]/1000</f>
        <v>0</v>
      </c>
      <c r="AA90" s="10">
        <f>Tableau6[[#This Row],[Carbon cost of marginal biomass (€/MWh) MED]]+Tableau6[[#This Row],[Marginal supply cost (€/MWh) MED]]</f>
        <v>0</v>
      </c>
      <c r="AH90" s="15">
        <v>1.794591</v>
      </c>
      <c r="AI90" s="16">
        <v>53000.000274999999</v>
      </c>
      <c r="AJ90" s="16">
        <v>388.888238</v>
      </c>
      <c r="AK90" s="16">
        <v>120840.166682</v>
      </c>
      <c r="AL90" s="16">
        <v>92999.973668999999</v>
      </c>
      <c r="AM90" s="16">
        <v>34138.889123000001</v>
      </c>
      <c r="AN90" s="16">
        <v>44388.88912</v>
      </c>
      <c r="AO90" s="16">
        <v>35431.344733999998</v>
      </c>
      <c r="AP90" s="16">
        <v>12472.222524000001</v>
      </c>
      <c r="AQ90" s="17">
        <v>29967.116223000001</v>
      </c>
      <c r="AR90" s="16">
        <v>40333.000390000001</v>
      </c>
      <c r="AS90" s="15">
        <v>0.15134800000000001</v>
      </c>
      <c r="AT90" s="16">
        <v>88.833622000000005</v>
      </c>
      <c r="AU90" s="16">
        <v>8833.3336859999999</v>
      </c>
      <c r="AV90" s="16">
        <v>15166.667009000001</v>
      </c>
      <c r="AW90" s="15">
        <v>5.8187000000000003E-2</v>
      </c>
      <c r="AX90" s="16">
        <v>504.14756799999998</v>
      </c>
      <c r="AY90" s="16">
        <v>4444.4448730000004</v>
      </c>
      <c r="AZ90" s="16">
        <v>44055.553630000002</v>
      </c>
      <c r="BA90" s="16">
        <v>2944.4445420000002</v>
      </c>
      <c r="BB90" s="15">
        <v>9.1773999999999994E-2</v>
      </c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>
        <v>169910.36347499999</v>
      </c>
      <c r="CT90" s="11">
        <v>106417.80633000001</v>
      </c>
      <c r="CU90" s="17">
        <v>48605.774455999999</v>
      </c>
      <c r="CV90" s="11">
        <v>9.8555000000000004E-2</v>
      </c>
      <c r="CW90" s="11">
        <v>8.7831000000000006E-2</v>
      </c>
      <c r="CX90" s="11">
        <v>99387.519287999996</v>
      </c>
      <c r="CY90" s="11">
        <v>33789.661265000002</v>
      </c>
      <c r="CZ90" s="11">
        <v>6574.4296999999997</v>
      </c>
      <c r="DA90" s="11">
        <v>3.5598999999999999E-2</v>
      </c>
      <c r="DB90" s="11">
        <v>75313.454167999997</v>
      </c>
      <c r="DC90" s="11">
        <v>0.18773500000000001</v>
      </c>
      <c r="DD90" s="11">
        <v>0.18387300000000001</v>
      </c>
      <c r="DE90" s="11">
        <v>0.254075</v>
      </c>
      <c r="DF90" s="11">
        <v>9.7907999999999995E-2</v>
      </c>
      <c r="DG90" s="11">
        <v>4.4929999999999998E-2</v>
      </c>
      <c r="DH90" s="11">
        <v>1.2631E-2</v>
      </c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</row>
    <row r="91" spans="1:144" x14ac:dyDescent="0.3">
      <c r="A91">
        <v>89</v>
      </c>
      <c r="B91" s="6">
        <v>545000</v>
      </c>
      <c r="C91" s="6">
        <v>228913.564308</v>
      </c>
      <c r="D91" s="6">
        <v>228807.58754000001</v>
      </c>
      <c r="E91" s="6">
        <f>(C90-Tableau6[[#This Row],[Total cost (M€/y) HIGH]])/(Tableau6[[#This Row],[Solid biomass availability (GWh/y)]]-B90)*1000</f>
        <v>19.507144799997334</v>
      </c>
      <c r="F91" s="6" t="s">
        <v>30</v>
      </c>
      <c r="G91" s="10">
        <f t="shared" si="13"/>
        <v>15.509992825000152</v>
      </c>
      <c r="H91" s="6" t="s">
        <v>15</v>
      </c>
      <c r="I91" s="11" cm="1">
        <f t="array" ref="I91">INDEX(Tableau3[Production cost (M€/GWh)],
       MATCH(1,
             (Tableau3[Resource]=Tableau6[[#This Row],[Marginal supply commodity HIGH]])*(Tableau3[Scenario]="HIGH_2050"),
             0))*1000</f>
        <v>17.576198730734401</v>
      </c>
      <c r="J91" s="11" cm="1">
        <f t="array" ref="J91">INDEX(Tableau3[GHG impact (tCO2eq/MWh)],
       MATCH(1,
             (Tableau3[Resource]=Tableau6[[#This Row],[Marginal supply commodity HIGH]])*(Tableau3[Scenario]="HIGH_2050"),
             0))*1000</f>
        <v>66.960000000000008</v>
      </c>
      <c r="K91" s="11">
        <f>(Tableau6[[#This Row],[Total cost (M€/y) HIGH]]-Tableau6[[#This Row],[Total Cost (M€) HIGH +1Mt CO2]])</f>
        <v>105.97676799999317</v>
      </c>
      <c r="L91" s="22">
        <f>Tableau6[[#This Row],[Marginal Carbon cost (€/tCO2) HIGH]]*Tableau6[[#This Row],[Marginal emission factor (kgCO2/MWh) HIGH]]/1000</f>
        <v>7.0962043852795436</v>
      </c>
      <c r="M91" s="22">
        <f>(CS91-CS90)*AVERAGE($E$3,E91)/(B91-B90)</f>
        <v>123.77517949761059</v>
      </c>
      <c r="N91" s="22">
        <f>(CS91-CS90)*Tableau6[[#This Row],[Marginal value of solid biomass (€/MWh) HIGH]]/(B91-B90)</f>
        <v>3.2463745548737477</v>
      </c>
      <c r="O91" s="22">
        <f>(CS91-CS90)*Tableau6[[#This Row],[Marginal supply cost (€/MWh) HIGH]]/(B91-B90)</f>
        <v>2.9250269537584104</v>
      </c>
      <c r="P91" s="22">
        <f>Tableau6[[#This Row],[Marginal supply cost (€/MWh) HIGH]]+Tableau6[[#This Row],[Carbon cost of marginal biomass (€/MWh) HIGH]]</f>
        <v>24.672403116013946</v>
      </c>
      <c r="Y91" s="10">
        <f>Tableau6[[#This Row],[Total cost (M€/y) MED]]-Tableau6[[#This Row],[Total cost (M€/y) MED +1Mt CO2]]</f>
        <v>0</v>
      </c>
      <c r="Z91" s="10">
        <f>Tableau6[[#This Row],[Marginal Carbon cost (€/tCO2) MED]]*Tableau6[[#This Row],[Marginal emission factor (kgCO2/MWh)]]/1000</f>
        <v>0</v>
      </c>
      <c r="AA91" s="10">
        <f>Tableau6[[#This Row],[Carbon cost of marginal biomass (€/MWh) MED]]+Tableau6[[#This Row],[Marginal supply cost (€/MWh) MED]]</f>
        <v>0</v>
      </c>
      <c r="AH91" s="15">
        <v>2.0882100000000001</v>
      </c>
      <c r="AI91" s="16">
        <v>53000.001364000003</v>
      </c>
      <c r="AJ91" s="16">
        <v>388.88842699999998</v>
      </c>
      <c r="AK91" s="16">
        <v>120840.165681</v>
      </c>
      <c r="AL91" s="16">
        <v>92999.984851999994</v>
      </c>
      <c r="AM91" s="16">
        <v>34138.890163999997</v>
      </c>
      <c r="AN91" s="16">
        <v>44388.890168999998</v>
      </c>
      <c r="AO91" s="16">
        <v>35431.345799000002</v>
      </c>
      <c r="AP91" s="16">
        <v>12472.22356</v>
      </c>
      <c r="AQ91" s="17">
        <v>34966.620599000002</v>
      </c>
      <c r="AR91" s="16">
        <v>40333.001475999998</v>
      </c>
      <c r="AS91" s="15">
        <v>0.29860500000000001</v>
      </c>
      <c r="AT91" s="16">
        <v>88.834598</v>
      </c>
      <c r="AU91" s="16">
        <v>8833.3347329999997</v>
      </c>
      <c r="AV91" s="16">
        <v>15166.668083</v>
      </c>
      <c r="AW91" s="15">
        <v>7.8603000000000006E-2</v>
      </c>
      <c r="AX91" s="16">
        <v>504.14860499999998</v>
      </c>
      <c r="AY91" s="16">
        <v>4444.4459470000002</v>
      </c>
      <c r="AZ91" s="16">
        <v>44055.554221999999</v>
      </c>
      <c r="BA91" s="16">
        <v>2944.4453509999998</v>
      </c>
      <c r="BB91" s="15">
        <v>0.12726399999999999</v>
      </c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>
        <v>170742.46232600001</v>
      </c>
      <c r="CT91" s="11">
        <v>106417.654326</v>
      </c>
      <c r="CU91" s="17">
        <v>53445.814982000004</v>
      </c>
      <c r="CV91" s="11">
        <v>0.14252400000000001</v>
      </c>
      <c r="CW91" s="11">
        <v>0.123097</v>
      </c>
      <c r="CX91" s="11">
        <v>99387.591214999993</v>
      </c>
      <c r="CY91" s="11">
        <v>33327.246456000001</v>
      </c>
      <c r="CZ91" s="11">
        <v>6574.5483539999996</v>
      </c>
      <c r="DA91" s="11">
        <v>4.7486E-2</v>
      </c>
      <c r="DB91" s="11">
        <v>75103.343718000004</v>
      </c>
      <c r="DC91" s="11">
        <v>0.253855</v>
      </c>
      <c r="DD91" s="11">
        <v>0.249308</v>
      </c>
      <c r="DE91" s="11">
        <v>0.35345300000000002</v>
      </c>
      <c r="DF91" s="11">
        <v>0.12750400000000001</v>
      </c>
      <c r="DG91" s="11">
        <v>6.0733000000000002E-2</v>
      </c>
      <c r="DH91" s="11">
        <v>1.6982000000000001E-2</v>
      </c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</row>
    <row r="92" spans="1:144" x14ac:dyDescent="0.3">
      <c r="A92">
        <v>90</v>
      </c>
      <c r="B92" s="6">
        <v>550000</v>
      </c>
      <c r="C92" s="6">
        <v>228832.14740799999</v>
      </c>
      <c r="D92" s="6">
        <v>228717.30080999999</v>
      </c>
      <c r="E92" s="6">
        <f>(C91-Tableau6[[#This Row],[Total cost (M€/y) HIGH]])/(Tableau6[[#This Row],[Solid biomass availability (GWh/y)]]-B91)*1000</f>
        <v>16.283380000002218</v>
      </c>
      <c r="F92" s="6" t="s">
        <v>30</v>
      </c>
      <c r="G92" s="10">
        <f t="shared" si="13"/>
        <v>15.509992825000152</v>
      </c>
      <c r="H92" s="6" t="s">
        <v>15</v>
      </c>
      <c r="I92" s="11" cm="1">
        <f t="array" ref="I92">INDEX(Tableau3[Production cost (M€/GWh)],
       MATCH(1,
             (Tableau3[Resource]=Tableau6[[#This Row],[Marginal supply commodity HIGH]])*(Tableau3[Scenario]="HIGH_2050"),
             0))*1000</f>
        <v>17.576198730734401</v>
      </c>
      <c r="J92" s="11" cm="1">
        <f t="array" ref="J92">INDEX(Tableau3[GHG impact (tCO2eq/MWh)],
       MATCH(1,
             (Tableau3[Resource]=Tableau6[[#This Row],[Marginal supply commodity HIGH]])*(Tableau3[Scenario]="HIGH_2050"),
             0))*1000</f>
        <v>66.960000000000008</v>
      </c>
      <c r="K92" s="11">
        <f>(Tableau6[[#This Row],[Total cost (M€/y) HIGH]]-Tableau6[[#This Row],[Total Cost (M€) HIGH +1Mt CO2]])</f>
        <v>114.84659800000372</v>
      </c>
      <c r="L92" s="22">
        <f>Tableau6[[#This Row],[Marginal Carbon cost (€/tCO2) HIGH]]*Tableau6[[#This Row],[Marginal emission factor (kgCO2/MWh) HIGH]]/1000</f>
        <v>7.6901282020802499</v>
      </c>
      <c r="M92" s="22">
        <f>(CS92-CS91)*AVERAGE($E$3,E92)/(B92-B91)</f>
        <v>122.40899962022011</v>
      </c>
      <c r="N92" s="22">
        <f>(CS92-CS91)*Tableau6[[#This Row],[Marginal value of solid biomass (€/MWh) HIGH]]/(B92-B91)</f>
        <v>2.6857865624738038</v>
      </c>
      <c r="O92" s="22">
        <f>(CS92-CS91)*Tableau6[[#This Row],[Marginal supply cost (€/MWh) HIGH]]/(B92-B91)</f>
        <v>2.8990245495940741</v>
      </c>
      <c r="P92" s="22">
        <f>Tableau6[[#This Row],[Marginal supply cost (€/MWh) HIGH]]+Tableau6[[#This Row],[Carbon cost of marginal biomass (€/MWh) HIGH]]</f>
        <v>25.26632693281465</v>
      </c>
      <c r="Y92" s="10">
        <f>Tableau6[[#This Row],[Total cost (M€/y) MED]]-Tableau6[[#This Row],[Total cost (M€/y) MED +1Mt CO2]]</f>
        <v>0</v>
      </c>
      <c r="Z92" s="10">
        <f>Tableau6[[#This Row],[Marginal Carbon cost (€/tCO2) MED]]*Tableau6[[#This Row],[Marginal emission factor (kgCO2/MWh)]]/1000</f>
        <v>0</v>
      </c>
      <c r="AA92" s="10">
        <f>Tableau6[[#This Row],[Carbon cost of marginal biomass (€/MWh) MED]]+Tableau6[[#This Row],[Marginal supply cost (€/MWh) MED]]</f>
        <v>0</v>
      </c>
      <c r="AH92" s="15">
        <v>1.5583659999999999</v>
      </c>
      <c r="AI92" s="16">
        <v>53000.000876999999</v>
      </c>
      <c r="AJ92" s="16">
        <v>388.88743199999999</v>
      </c>
      <c r="AK92" s="16">
        <v>120840.167535</v>
      </c>
      <c r="AL92" s="16">
        <v>92999.980777999997</v>
      </c>
      <c r="AM92" s="16">
        <v>34138.889646000003</v>
      </c>
      <c r="AN92" s="16">
        <v>44388.889644000003</v>
      </c>
      <c r="AO92" s="16">
        <v>35431.345328000003</v>
      </c>
      <c r="AP92" s="16">
        <v>12472.223115000001</v>
      </c>
      <c r="AQ92" s="17">
        <v>39967.135954999998</v>
      </c>
      <c r="AR92" s="16">
        <v>40333.001062000003</v>
      </c>
      <c r="AS92" s="15">
        <v>0.22200700000000001</v>
      </c>
      <c r="AT92" s="16">
        <v>88.834231000000003</v>
      </c>
      <c r="AU92" s="16">
        <v>8833.3343249999998</v>
      </c>
      <c r="AV92" s="16">
        <v>15166.667665000001</v>
      </c>
      <c r="AW92" s="15">
        <v>0.112567</v>
      </c>
      <c r="AX92" s="16">
        <v>504.14819599999998</v>
      </c>
      <c r="AY92" s="16">
        <v>4444.4455870000002</v>
      </c>
      <c r="AZ92" s="16">
        <v>44055.555008000003</v>
      </c>
      <c r="BA92" s="16">
        <v>2944.4446849999999</v>
      </c>
      <c r="BB92" s="15">
        <v>0.187026</v>
      </c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>
        <v>171567.164127</v>
      </c>
      <c r="CT92" s="11">
        <v>106417.295213</v>
      </c>
      <c r="CU92" s="17">
        <v>60618.619310000002</v>
      </c>
      <c r="CV92" s="11">
        <v>0.22865099999999999</v>
      </c>
      <c r="CW92" s="11">
        <v>0.19062100000000001</v>
      </c>
      <c r="CX92" s="11">
        <v>99387.540068000002</v>
      </c>
      <c r="CY92" s="11">
        <v>32412.351150999999</v>
      </c>
      <c r="CZ92" s="11">
        <v>6574.7428980000004</v>
      </c>
      <c r="DA92" s="11">
        <v>7.2311E-2</v>
      </c>
      <c r="DB92" s="11">
        <v>73020.207213999995</v>
      </c>
      <c r="DC92" s="11">
        <v>0.38789600000000002</v>
      </c>
      <c r="DD92" s="11">
        <v>0.391096</v>
      </c>
      <c r="DE92" s="11">
        <v>0.53085300000000002</v>
      </c>
      <c r="DF92" s="11">
        <v>0.19059000000000001</v>
      </c>
      <c r="DG92" s="11">
        <v>9.3181E-2</v>
      </c>
      <c r="DH92" s="11">
        <v>2.5867000000000001E-2</v>
      </c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</row>
    <row r="93" spans="1:144" x14ac:dyDescent="0.3">
      <c r="A93">
        <v>91</v>
      </c>
      <c r="B93" s="6">
        <v>555000</v>
      </c>
      <c r="C93" s="6">
        <v>228752.98261899999</v>
      </c>
      <c r="D93" s="6">
        <v>228668.80025199999</v>
      </c>
      <c r="E93" s="6">
        <f>(C92-Tableau6[[#This Row],[Total cost (M€/y) HIGH]])/(Tableau6[[#This Row],[Solid biomass availability (GWh/y)]]-B92)*1000</f>
        <v>15.83295780000044</v>
      </c>
      <c r="F93" s="6" t="s">
        <v>30</v>
      </c>
      <c r="G93" s="10">
        <f t="shared" si="13"/>
        <v>15.509992825000152</v>
      </c>
      <c r="H93" s="6" t="s">
        <v>15</v>
      </c>
      <c r="I93" s="11" cm="1">
        <f t="array" ref="I93">INDEX(Tableau3[Production cost (M€/GWh)],
       MATCH(1,
             (Tableau3[Resource]=Tableau6[[#This Row],[Marginal supply commodity HIGH]])*(Tableau3[Scenario]="HIGH_2050"),
             0))*1000</f>
        <v>17.576198730734401</v>
      </c>
      <c r="J93" s="11" cm="1">
        <f t="array" ref="J93">INDEX(Tableau3[GHG impact (tCO2eq/MWh)],
       MATCH(1,
             (Tableau3[Resource]=Tableau6[[#This Row],[Marginal supply commodity HIGH]])*(Tableau3[Scenario]="HIGH_2050"),
             0))*1000</f>
        <v>66.960000000000008</v>
      </c>
      <c r="K93" s="11">
        <f>(Tableau6[[#This Row],[Total cost (M€/y) HIGH]]-Tableau6[[#This Row],[Total Cost (M€) HIGH +1Mt CO2]])</f>
        <v>84.18236700000125</v>
      </c>
      <c r="L93" s="22">
        <f>Tableau6[[#This Row],[Marginal Carbon cost (€/tCO2) HIGH]]*Tableau6[[#This Row],[Marginal emission factor (kgCO2/MWh) HIGH]]/1000</f>
        <v>5.6368512943200839</v>
      </c>
      <c r="M93" s="22">
        <f>(CS93-CS92)*AVERAGE($E$3,E93)/(B93-B92)</f>
        <v>99.157393716521241</v>
      </c>
      <c r="N93" s="22">
        <f>(CS93-CS92)*Tableau6[[#This Row],[Marginal value of solid biomass (€/MWh) HIGH]]/(B93-B92)</f>
        <v>2.1160823211252935</v>
      </c>
      <c r="O93" s="22">
        <f>(CS93-CS92)*Tableau6[[#This Row],[Marginal supply cost (€/MWh) HIGH]]/(B93-B92)</f>
        <v>2.349067298511391</v>
      </c>
      <c r="P93" s="22">
        <f>Tableau6[[#This Row],[Marginal supply cost (€/MWh) HIGH]]+Tableau6[[#This Row],[Carbon cost of marginal biomass (€/MWh) HIGH]]</f>
        <v>23.213050025054486</v>
      </c>
      <c r="Y93" s="10">
        <f>Tableau6[[#This Row],[Total cost (M€/y) MED]]-Tableau6[[#This Row],[Total cost (M€/y) MED +1Mt CO2]]</f>
        <v>0</v>
      </c>
      <c r="Z93" s="10">
        <f>Tableau6[[#This Row],[Marginal Carbon cost (€/tCO2) MED]]*Tableau6[[#This Row],[Marginal emission factor (kgCO2/MWh)]]/1000</f>
        <v>0</v>
      </c>
      <c r="AA93" s="10">
        <f>Tableau6[[#This Row],[Carbon cost of marginal biomass (€/MWh) MED]]+Tableau6[[#This Row],[Marginal supply cost (€/MWh) MED]]</f>
        <v>0</v>
      </c>
      <c r="AH93" s="16">
        <v>109.967361</v>
      </c>
      <c r="AI93" s="16">
        <v>53000.001076</v>
      </c>
      <c r="AJ93" s="16">
        <v>388.88970699999999</v>
      </c>
      <c r="AK93" s="16">
        <v>120840.167659</v>
      </c>
      <c r="AL93" s="16">
        <v>93000.001327999998</v>
      </c>
      <c r="AM93" s="16">
        <v>34138.889931999998</v>
      </c>
      <c r="AN93" s="16">
        <v>44388.889931999998</v>
      </c>
      <c r="AO93" s="16">
        <v>35431.345523999997</v>
      </c>
      <c r="AP93" s="16">
        <v>12472.223301</v>
      </c>
      <c r="AQ93" s="16">
        <v>43694.44571</v>
      </c>
      <c r="AR93" s="16">
        <v>40333.001144000002</v>
      </c>
      <c r="AS93" s="16">
        <v>166.666911</v>
      </c>
      <c r="AT93" s="16">
        <v>88.834405000000004</v>
      </c>
      <c r="AU93" s="16">
        <v>8833.3344419999994</v>
      </c>
      <c r="AV93" s="16">
        <v>15166.667783999999</v>
      </c>
      <c r="AW93" s="15">
        <v>0.34939700000000001</v>
      </c>
      <c r="AX93" s="16">
        <v>504.14831099999998</v>
      </c>
      <c r="AY93" s="16">
        <v>4444.4456149999996</v>
      </c>
      <c r="AZ93" s="16">
        <v>44055.556647999998</v>
      </c>
      <c r="BA93" s="16">
        <v>2944.445369</v>
      </c>
      <c r="BB93" s="15">
        <v>997.75428299999999</v>
      </c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>
        <v>172235.41649900001</v>
      </c>
      <c r="CT93" s="11">
        <v>106417.06112499999</v>
      </c>
      <c r="CU93" s="17">
        <v>66513.479516000007</v>
      </c>
      <c r="CV93" s="11">
        <v>0.26716800000000002</v>
      </c>
      <c r="CW93" s="11">
        <v>0.21712999999999999</v>
      </c>
      <c r="CX93" s="11">
        <v>99387.764731999996</v>
      </c>
      <c r="CY93" s="11">
        <v>31791.224302999999</v>
      </c>
      <c r="CZ93" s="11">
        <v>6574.8636489999999</v>
      </c>
      <c r="DA93" s="11">
        <v>8.2768999999999995E-2</v>
      </c>
      <c r="DB93" s="11">
        <v>72077.812659999996</v>
      </c>
      <c r="DC93" s="11">
        <v>0.44097900000000001</v>
      </c>
      <c r="DD93" s="11">
        <v>0.44642500000000002</v>
      </c>
      <c r="DE93" s="11">
        <v>0.59070100000000003</v>
      </c>
      <c r="DF93" s="11">
        <v>0.22195999999999999</v>
      </c>
      <c r="DG93" s="11">
        <v>0.106641</v>
      </c>
      <c r="DH93" s="11">
        <v>2.9606E-2</v>
      </c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</row>
    <row r="94" spans="1:144" x14ac:dyDescent="0.3">
      <c r="A94">
        <v>92</v>
      </c>
      <c r="B94" s="6">
        <v>560000</v>
      </c>
      <c r="C94" s="6">
        <v>228737.84727599999</v>
      </c>
      <c r="D94" s="6">
        <v>228641.99899600001</v>
      </c>
      <c r="E94" s="6">
        <f>(C93-Tableau6[[#This Row],[Total cost (M€/y) HIGH]])/(Tableau6[[#This Row],[Solid biomass availability (GWh/y)]]-B93)*1000</f>
        <v>3.0270686000003479</v>
      </c>
      <c r="F94" s="6" t="s">
        <v>30</v>
      </c>
      <c r="G94" s="10">
        <f t="shared" si="13"/>
        <v>15.509992825000152</v>
      </c>
      <c r="H94" s="6" t="s">
        <v>26</v>
      </c>
      <c r="I94" s="11" cm="1">
        <f t="array" ref="I94">INDEX(Tableau3[Production cost (M€/GWh)],
       MATCH(1,
             (Tableau3[Resource]=Tableau6[[#This Row],[Marginal supply commodity HIGH]])*(Tableau3[Scenario]="HIGH_2050"),
             0))*1000</f>
        <v>31.796335570469797</v>
      </c>
      <c r="J94" s="11" cm="1">
        <f t="array" ref="J94">INDEX(Tableau3[GHG impact (tCO2eq/MWh)],
       MATCH(1,
             (Tableau3[Resource]=Tableau6[[#This Row],[Marginal supply commodity HIGH]])*(Tableau3[Scenario]="HIGH_2050"),
             0))*1000</f>
        <v>54.72</v>
      </c>
      <c r="K94" s="11">
        <f>(Tableau6[[#This Row],[Total cost (M€/y) HIGH]]-Tableau6[[#This Row],[Total Cost (M€) HIGH +1Mt CO2]])</f>
        <v>95.848279999976512</v>
      </c>
      <c r="L94" s="22">
        <f>Tableau6[[#This Row],[Marginal Carbon cost (€/tCO2) HIGH]]*Tableau6[[#This Row],[Marginal emission factor (kgCO2/MWh) HIGH]]/1000</f>
        <v>5.2448178815987152</v>
      </c>
      <c r="M94" s="22">
        <f>(CS94-CS93)*AVERAGE($E$3,E94)/(B94-B93)</f>
        <v>69.999483986467595</v>
      </c>
      <c r="N94" s="22">
        <f>(CS94-CS93)*Tableau6[[#This Row],[Marginal value of solid biomass (€/MWh) HIGH]]/(B94-B93)</f>
        <v>0.28808911909242674</v>
      </c>
      <c r="O94" s="22">
        <f>(CS94-CS93)*Tableau6[[#This Row],[Marginal supply cost (€/MWh) HIGH]]/(B94-B93)</f>
        <v>3.0260887727694001</v>
      </c>
      <c r="P94" s="22">
        <f>Tableau6[[#This Row],[Marginal supply cost (€/MWh) HIGH]]+Tableau6[[#This Row],[Carbon cost of marginal biomass (€/MWh) HIGH]]</f>
        <v>37.041153452068514</v>
      </c>
      <c r="Y94" s="10">
        <f>Tableau6[[#This Row],[Total cost (M€/y) MED]]-Tableau6[[#This Row],[Total cost (M€/y) MED +1Mt CO2]]</f>
        <v>0</v>
      </c>
      <c r="Z94" s="10">
        <f>Tableau6[[#This Row],[Marginal Carbon cost (€/tCO2) MED]]*Tableau6[[#This Row],[Marginal emission factor (kgCO2/MWh)]]/1000</f>
        <v>0</v>
      </c>
      <c r="AA94" s="10">
        <f>Tableau6[[#This Row],[Carbon cost of marginal biomass (€/MWh) MED]]+Tableau6[[#This Row],[Marginal supply cost (€/MWh) MED]]</f>
        <v>0</v>
      </c>
      <c r="AH94" s="16">
        <v>109.967421</v>
      </c>
      <c r="AI94" s="16">
        <v>53000.000853999998</v>
      </c>
      <c r="AJ94" s="16">
        <v>388.889681</v>
      </c>
      <c r="AK94" s="16">
        <v>120840.16748400001</v>
      </c>
      <c r="AL94" s="16">
        <v>92999.996801999994</v>
      </c>
      <c r="AM94" s="16">
        <v>34138.889731000003</v>
      </c>
      <c r="AN94" s="16">
        <v>44388.889729000002</v>
      </c>
      <c r="AO94" s="16">
        <v>35431.345301000001</v>
      </c>
      <c r="AP94" s="16">
        <v>12472.223081</v>
      </c>
      <c r="AQ94" s="16">
        <v>43694.445375000003</v>
      </c>
      <c r="AR94" s="16">
        <v>40333.000882</v>
      </c>
      <c r="AS94" s="16">
        <v>166.66727599999999</v>
      </c>
      <c r="AT94" s="16">
        <v>88.834211999999994</v>
      </c>
      <c r="AU94" s="16">
        <v>8833.3342049999992</v>
      </c>
      <c r="AV94" s="16">
        <v>15166.667539</v>
      </c>
      <c r="AW94" s="15">
        <v>0.124116</v>
      </c>
      <c r="AX94" s="16">
        <v>504.14810299999999</v>
      </c>
      <c r="AY94" s="16">
        <v>4444.4453409999996</v>
      </c>
      <c r="AZ94" s="16">
        <v>44055.556314000001</v>
      </c>
      <c r="BA94" s="16">
        <v>2944.4452569999999</v>
      </c>
      <c r="BB94" s="17">
        <v>5997.9804819999999</v>
      </c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>
        <v>172711.27145500001</v>
      </c>
      <c r="CT94" s="11">
        <v>106417.754573</v>
      </c>
      <c r="CU94" s="17">
        <v>71526.550573999994</v>
      </c>
      <c r="CV94" s="11">
        <v>9.7415000000000002E-2</v>
      </c>
      <c r="CW94" s="11">
        <v>8.1990999999999994E-2</v>
      </c>
      <c r="CX94" s="11">
        <v>99387.650949999996</v>
      </c>
      <c r="CY94" s="11">
        <v>31218.139367</v>
      </c>
      <c r="CZ94" s="11">
        <v>6574.4213920000002</v>
      </c>
      <c r="DA94" s="11">
        <v>3.1483999999999998E-2</v>
      </c>
      <c r="DB94" s="11">
        <v>72163.324192999993</v>
      </c>
      <c r="DC94" s="11">
        <v>0.16590099999999999</v>
      </c>
      <c r="DD94" s="11">
        <v>0.16673399999999999</v>
      </c>
      <c r="DE94" s="11">
        <v>0.228023</v>
      </c>
      <c r="DF94" s="11">
        <v>8.3443000000000003E-2</v>
      </c>
      <c r="DG94" s="11">
        <v>4.0406999999999998E-2</v>
      </c>
      <c r="DH94" s="11">
        <v>1.1289E-2</v>
      </c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</row>
    <row r="95" spans="1:144" x14ac:dyDescent="0.3">
      <c r="A95">
        <v>93</v>
      </c>
      <c r="B95" s="6">
        <v>565000</v>
      </c>
      <c r="C95" s="6">
        <v>228727.576038</v>
      </c>
      <c r="D95" s="6">
        <v>228633.48736500001</v>
      </c>
      <c r="E95" s="6">
        <f>(C94-Tableau6[[#This Row],[Total cost (M€/y) HIGH]])/(Tableau6[[#This Row],[Solid biomass availability (GWh/y)]]-B94)*1000</f>
        <v>2.0542475999973249</v>
      </c>
      <c r="F95" s="6" t="s">
        <v>30</v>
      </c>
      <c r="G95" s="10">
        <f t="shared" si="13"/>
        <v>15.509992825000152</v>
      </c>
      <c r="H95" s="6" t="s">
        <v>26</v>
      </c>
      <c r="I95" s="11" cm="1">
        <f t="array" ref="I95">INDEX(Tableau3[Production cost (M€/GWh)],
       MATCH(1,
             (Tableau3[Resource]=Tableau6[[#This Row],[Marginal supply commodity HIGH]])*(Tableau3[Scenario]="HIGH_2050"),
             0))*1000</f>
        <v>31.796335570469797</v>
      </c>
      <c r="J95" s="11" cm="1">
        <f t="array" ref="J95">INDEX(Tableau3[GHG impact (tCO2eq/MWh)],
       MATCH(1,
             (Tableau3[Resource]=Tableau6[[#This Row],[Marginal supply commodity HIGH]])*(Tableau3[Scenario]="HIGH_2050"),
             0))*1000</f>
        <v>54.72</v>
      </c>
      <c r="K95" s="11">
        <f>(Tableau6[[#This Row],[Total cost (M€/y) HIGH]]-Tableau6[[#This Row],[Total Cost (M€) HIGH +1Mt CO2]])</f>
        <v>94.088672999991104</v>
      </c>
      <c r="L95" s="22">
        <f>Tableau6[[#This Row],[Marginal Carbon cost (€/tCO2) HIGH]]*Tableau6[[#This Row],[Marginal emission factor (kgCO2/MWh) HIGH]]/1000</f>
        <v>5.1485321865595131</v>
      </c>
      <c r="M95" s="22">
        <f>(CS95-CS94)*AVERAGE($E$3,E95)/(B95-B94)</f>
        <v>67.884870724210373</v>
      </c>
      <c r="N95" s="22">
        <f>(CS95-CS94)*Tableau6[[#This Row],[Marginal value of solid biomass (€/MWh) HIGH]]/(B95-B94)</f>
        <v>0.1897242483053273</v>
      </c>
      <c r="O95" s="22">
        <f>(CS95-CS94)*Tableau6[[#This Row],[Marginal supply cost (€/MWh) HIGH]]/(B95-B94)</f>
        <v>2.9366157540985705</v>
      </c>
      <c r="P95" s="22">
        <f>Tableau6[[#This Row],[Marginal supply cost (€/MWh) HIGH]]+Tableau6[[#This Row],[Carbon cost of marginal biomass (€/MWh) HIGH]]</f>
        <v>36.944867757029307</v>
      </c>
      <c r="Y95" s="10">
        <f>Tableau6[[#This Row],[Total cost (M€/y) MED]]-Tableau6[[#This Row],[Total cost (M€/y) MED +1Mt CO2]]</f>
        <v>0</v>
      </c>
      <c r="Z95" s="10">
        <f>Tableau6[[#This Row],[Marginal Carbon cost (€/tCO2) MED]]*Tableau6[[#This Row],[Marginal emission factor (kgCO2/MWh)]]/1000</f>
        <v>0</v>
      </c>
      <c r="AA95" s="10">
        <f>Tableau6[[#This Row],[Carbon cost of marginal biomass (€/MWh) MED]]+Tableau6[[#This Row],[Marginal supply cost (€/MWh) MED]]</f>
        <v>0</v>
      </c>
      <c r="AH95" s="16">
        <v>109.967095</v>
      </c>
      <c r="AI95" s="16">
        <v>53000.000548999997</v>
      </c>
      <c r="AJ95" s="16">
        <v>388.88935900000001</v>
      </c>
      <c r="AK95" s="16">
        <v>120840.16714200001</v>
      </c>
      <c r="AL95" s="16">
        <v>92999.998280999993</v>
      </c>
      <c r="AM95" s="16">
        <v>34138.889424000001</v>
      </c>
      <c r="AN95" s="16">
        <v>44388.889418999999</v>
      </c>
      <c r="AO95" s="16">
        <v>35431.344999000001</v>
      </c>
      <c r="AP95" s="16">
        <v>12472.222796</v>
      </c>
      <c r="AQ95" s="16">
        <v>43694.443565000001</v>
      </c>
      <c r="AR95" s="16">
        <v>40333.000595999998</v>
      </c>
      <c r="AS95" s="16">
        <v>166.66693000000001</v>
      </c>
      <c r="AT95" s="16">
        <v>88.833928</v>
      </c>
      <c r="AU95" s="16">
        <v>8833.333928</v>
      </c>
      <c r="AV95" s="16">
        <v>15166.667255</v>
      </c>
      <c r="AW95" s="15">
        <v>0.26127699999999998</v>
      </c>
      <c r="AX95" s="16">
        <v>504.14782000000002</v>
      </c>
      <c r="AY95" s="16">
        <v>4444.4450729999999</v>
      </c>
      <c r="AZ95" s="16">
        <v>44055.555268999997</v>
      </c>
      <c r="BA95" s="16">
        <v>2944.4449509999999</v>
      </c>
      <c r="BB95" s="17">
        <v>10611.101111</v>
      </c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>
        <v>173173.056705</v>
      </c>
      <c r="CT95" s="11">
        <v>106417.397493</v>
      </c>
      <c r="CU95" s="17">
        <v>76663.991271000006</v>
      </c>
      <c r="CV95" s="11">
        <v>0.17468500000000001</v>
      </c>
      <c r="CW95" s="11">
        <v>0.14399200000000001</v>
      </c>
      <c r="CX95" s="11">
        <v>99387.658903999996</v>
      </c>
      <c r="CY95" s="11">
        <v>30583.757884999999</v>
      </c>
      <c r="CZ95" s="11">
        <v>6574.5984820000003</v>
      </c>
      <c r="DA95" s="11">
        <v>5.7507999999999997E-2</v>
      </c>
      <c r="DB95" s="11">
        <v>71811.183078000002</v>
      </c>
      <c r="DC95" s="11">
        <v>0.29643700000000001</v>
      </c>
      <c r="DD95" s="11">
        <v>0.30848900000000001</v>
      </c>
      <c r="DE95" s="11">
        <v>0.40010699999999999</v>
      </c>
      <c r="DF95" s="11">
        <v>0.15135799999999999</v>
      </c>
      <c r="DG95" s="11">
        <v>7.3908000000000001E-2</v>
      </c>
      <c r="DH95" s="11">
        <v>2.0476999999999999E-2</v>
      </c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</row>
    <row r="96" spans="1:144" x14ac:dyDescent="0.3">
      <c r="A96">
        <v>94</v>
      </c>
      <c r="B96" s="6">
        <v>570000</v>
      </c>
      <c r="C96" s="6">
        <v>228733.382105</v>
      </c>
      <c r="D96" s="6">
        <v>228640.808407</v>
      </c>
      <c r="I96" s="11"/>
      <c r="J96" s="11"/>
      <c r="K96" s="11"/>
      <c r="L96" s="22"/>
      <c r="M96" s="22"/>
      <c r="N96" s="22"/>
      <c r="O96" s="22"/>
      <c r="P96" s="22"/>
      <c r="Y96" s="10">
        <f>Tableau6[[#This Row],[Total cost (M€/y) MED]]-Tableau6[[#This Row],[Total cost (M€/y) MED +1Mt CO2]]</f>
        <v>0</v>
      </c>
      <c r="Z96" s="10">
        <f>Tableau6[[#This Row],[Marginal Carbon cost (€/tCO2) MED]]*Tableau6[[#This Row],[Marginal emission factor (kgCO2/MWh)]]/1000</f>
        <v>0</v>
      </c>
      <c r="AA96" s="10">
        <f>Tableau6[[#This Row],[Carbon cost of marginal biomass (€/MWh) MED]]+Tableau6[[#This Row],[Marginal supply cost (€/MWh) MED]]</f>
        <v>0</v>
      </c>
      <c r="AH96" s="16">
        <v>109.968655</v>
      </c>
      <c r="AI96" s="16">
        <v>53000.002234</v>
      </c>
      <c r="AJ96" s="16">
        <v>388.89095300000002</v>
      </c>
      <c r="AK96" s="16">
        <v>120840.168832</v>
      </c>
      <c r="AL96" s="16">
        <v>93000.001940000002</v>
      </c>
      <c r="AM96" s="16">
        <v>34138.891078000001</v>
      </c>
      <c r="AN96" s="16">
        <v>44388.891082000002</v>
      </c>
      <c r="AO96" s="16">
        <v>35431.346662000004</v>
      </c>
      <c r="AP96" s="16">
        <v>12472.224453000001</v>
      </c>
      <c r="AQ96" s="16">
        <v>43694.446302999997</v>
      </c>
      <c r="AR96" s="16">
        <v>40333.002308000003</v>
      </c>
      <c r="AS96" s="16">
        <v>166.66839300000001</v>
      </c>
      <c r="AT96" s="16">
        <v>88.835594</v>
      </c>
      <c r="AU96" s="16">
        <v>8833.3355909999991</v>
      </c>
      <c r="AV96" s="16">
        <v>15166.668908</v>
      </c>
      <c r="AW96" s="15">
        <v>0.45614500000000002</v>
      </c>
      <c r="AX96" s="16">
        <v>504.14949000000001</v>
      </c>
      <c r="AY96" s="16">
        <v>4444.4467400000003</v>
      </c>
      <c r="AZ96" s="16">
        <v>44055.55745</v>
      </c>
      <c r="BA96" s="16">
        <v>2944.4465519999999</v>
      </c>
      <c r="BB96" s="16">
        <v>10611.110128</v>
      </c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>
        <v>173172.679791</v>
      </c>
      <c r="CT96" s="11">
        <v>106416.99780700001</v>
      </c>
      <c r="CU96" s="11">
        <v>76667.805173000001</v>
      </c>
      <c r="CV96" s="11">
        <v>0.25222899999999998</v>
      </c>
      <c r="CW96" s="11">
        <v>0.212925</v>
      </c>
      <c r="CX96" s="11">
        <v>99388.086557000002</v>
      </c>
      <c r="CY96" s="11">
        <v>30579.900066999999</v>
      </c>
      <c r="CZ96" s="11">
        <v>6574.8328190000002</v>
      </c>
      <c r="DA96" s="11">
        <v>8.1460000000000005E-2</v>
      </c>
      <c r="DB96" s="11">
        <v>71810.837719000003</v>
      </c>
      <c r="DC96" s="11">
        <v>0.435477</v>
      </c>
      <c r="DD96" s="11">
        <v>0.436166</v>
      </c>
      <c r="DE96" s="11">
        <v>0.59755800000000003</v>
      </c>
      <c r="DF96" s="11">
        <v>0.22026000000000001</v>
      </c>
      <c r="DG96" s="11">
        <v>0.104405</v>
      </c>
      <c r="DH96" s="11">
        <v>2.9097000000000001E-2</v>
      </c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</row>
    <row r="97" spans="1:144" x14ac:dyDescent="0.3">
      <c r="A97">
        <v>95</v>
      </c>
      <c r="B97" s="6">
        <v>575000</v>
      </c>
      <c r="C97" s="6">
        <v>228739.64419699999</v>
      </c>
      <c r="D97" s="6">
        <v>228633.80987200001</v>
      </c>
      <c r="I97" s="11"/>
      <c r="J97" s="11"/>
      <c r="K97" s="11"/>
      <c r="L97" s="22"/>
      <c r="M97" s="22"/>
      <c r="N97" s="22"/>
      <c r="O97" s="22"/>
      <c r="P97" s="22"/>
      <c r="Y97" s="10">
        <f>Tableau6[[#This Row],[Total cost (M€/y) MED]]-Tableau6[[#This Row],[Total cost (M€/y) MED +1Mt CO2]]</f>
        <v>0</v>
      </c>
      <c r="Z97" s="10">
        <f>Tableau6[[#This Row],[Marginal Carbon cost (€/tCO2) MED]]*Tableau6[[#This Row],[Marginal emission factor (kgCO2/MWh)]]/1000</f>
        <v>0</v>
      </c>
      <c r="AA97" s="10">
        <f>Tableau6[[#This Row],[Carbon cost of marginal biomass (€/MWh) MED]]+Tableau6[[#This Row],[Marginal supply cost (€/MWh) MED]]</f>
        <v>0</v>
      </c>
      <c r="AH97" s="16">
        <v>109.967004</v>
      </c>
      <c r="AI97" s="16">
        <v>53000.000420999997</v>
      </c>
      <c r="AJ97" s="16">
        <v>388.88925399999999</v>
      </c>
      <c r="AK97" s="16">
        <v>120840.16707</v>
      </c>
      <c r="AL97" s="16">
        <v>93000.000333000004</v>
      </c>
      <c r="AM97" s="16">
        <v>34138.889297000002</v>
      </c>
      <c r="AN97" s="16">
        <v>44388.889297000002</v>
      </c>
      <c r="AO97" s="16">
        <v>35431.344859999997</v>
      </c>
      <c r="AP97" s="16">
        <v>12472.222642999999</v>
      </c>
      <c r="AQ97" s="16">
        <v>43694.444814000002</v>
      </c>
      <c r="AR97" s="16">
        <v>40333.000436000002</v>
      </c>
      <c r="AS97" s="16">
        <v>166.666922</v>
      </c>
      <c r="AT97" s="16">
        <v>88.833755999999994</v>
      </c>
      <c r="AU97" s="16">
        <v>8833.3337630000005</v>
      </c>
      <c r="AV97" s="16">
        <v>15166.667093</v>
      </c>
      <c r="AW97" s="15">
        <v>0.13728199999999999</v>
      </c>
      <c r="AX97" s="16">
        <v>504.14765199999999</v>
      </c>
      <c r="AY97" s="16">
        <v>4444.4448890000003</v>
      </c>
      <c r="AZ97" s="16">
        <v>44055.555939999998</v>
      </c>
      <c r="BA97" s="16">
        <v>2944.4448320000001</v>
      </c>
      <c r="BB97" s="16">
        <v>10611.110452999999</v>
      </c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>
        <v>173171.882725</v>
      </c>
      <c r="CT97" s="11">
        <v>106417.89900999999</v>
      </c>
      <c r="CU97" s="11">
        <v>76668.978935000006</v>
      </c>
      <c r="CV97" s="11">
        <v>7.6151999999999997E-2</v>
      </c>
      <c r="CW97" s="11">
        <v>6.2335000000000002E-2</v>
      </c>
      <c r="CX97" s="11">
        <v>99387.614807999998</v>
      </c>
      <c r="CY97" s="11">
        <v>30580.948203</v>
      </c>
      <c r="CZ97" s="11">
        <v>6574.3641449999996</v>
      </c>
      <c r="DA97" s="11">
        <v>2.3507E-2</v>
      </c>
      <c r="DB97" s="11">
        <v>71810.783756000004</v>
      </c>
      <c r="DC97" s="11">
        <v>0.12637699999999999</v>
      </c>
      <c r="DD97" s="11">
        <v>0.124214</v>
      </c>
      <c r="DE97" s="11">
        <v>0.17277999999999999</v>
      </c>
      <c r="DF97" s="11">
        <v>6.2759999999999996E-2</v>
      </c>
      <c r="DG97" s="11">
        <v>2.9975999999999999E-2</v>
      </c>
      <c r="DH97" s="11">
        <v>8.3339999999999994E-3</v>
      </c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</row>
    <row r="98" spans="1:144" x14ac:dyDescent="0.3">
      <c r="A98">
        <v>96</v>
      </c>
      <c r="B98" s="6">
        <v>580000</v>
      </c>
      <c r="C98" s="6">
        <v>228752.97332200001</v>
      </c>
      <c r="D98" s="6">
        <v>228656.24548799999</v>
      </c>
      <c r="I98" s="11"/>
      <c r="J98" s="11"/>
      <c r="K98" s="11"/>
      <c r="L98" s="22"/>
      <c r="M98" s="22"/>
      <c r="N98" s="22"/>
      <c r="O98" s="22"/>
      <c r="P98" s="22"/>
      <c r="Y98" s="10">
        <f>Tableau6[[#This Row],[Total cost (M€/y) MED]]-Tableau6[[#This Row],[Total cost (M€/y) MED +1Mt CO2]]</f>
        <v>0</v>
      </c>
      <c r="Z98" s="10">
        <f>Tableau6[[#This Row],[Marginal Carbon cost (€/tCO2) MED]]*Tableau6[[#This Row],[Marginal emission factor (kgCO2/MWh)]]/1000</f>
        <v>0</v>
      </c>
      <c r="AA98" s="10">
        <f>Tableau6[[#This Row],[Carbon cost of marginal biomass (€/MWh) MED]]+Tableau6[[#This Row],[Marginal supply cost (€/MWh) MED]]</f>
        <v>0</v>
      </c>
      <c r="AH98" s="16">
        <v>109.967921</v>
      </c>
      <c r="AI98" s="16">
        <v>53000.001450999996</v>
      </c>
      <c r="AJ98" s="16">
        <v>388.890219</v>
      </c>
      <c r="AK98" s="16">
        <v>120840.168078</v>
      </c>
      <c r="AL98" s="16">
        <v>93000.001290999993</v>
      </c>
      <c r="AM98" s="16">
        <v>34138.890323</v>
      </c>
      <c r="AN98" s="16">
        <v>44388.890323</v>
      </c>
      <c r="AO98" s="16">
        <v>35431.345894999999</v>
      </c>
      <c r="AP98" s="16">
        <v>12472.223674000001</v>
      </c>
      <c r="AQ98" s="16">
        <v>43694.445935999996</v>
      </c>
      <c r="AR98" s="16">
        <v>40333.001549000001</v>
      </c>
      <c r="AS98" s="16">
        <v>166.66775100000001</v>
      </c>
      <c r="AT98" s="16">
        <v>88.834767999999997</v>
      </c>
      <c r="AU98" s="16">
        <v>8833.3347990000002</v>
      </c>
      <c r="AV98" s="16">
        <v>15166.668135</v>
      </c>
      <c r="AW98" s="15">
        <v>0.306537</v>
      </c>
      <c r="AX98" s="16">
        <v>504.14867900000002</v>
      </c>
      <c r="AY98" s="16">
        <v>4444.4459390000002</v>
      </c>
      <c r="AZ98" s="16">
        <v>44055.557055999998</v>
      </c>
      <c r="BA98" s="16">
        <v>2944.4458300000001</v>
      </c>
      <c r="BB98" s="16">
        <v>10611.112018</v>
      </c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>
        <v>173172.60840299999</v>
      </c>
      <c r="CT98" s="11">
        <v>106417.529914</v>
      </c>
      <c r="CU98" s="11">
        <v>76668.634650000007</v>
      </c>
      <c r="CV98" s="11">
        <v>0.15554299999999999</v>
      </c>
      <c r="CW98" s="11">
        <v>0.128717</v>
      </c>
      <c r="CX98" s="11">
        <v>99387.708360999997</v>
      </c>
      <c r="CY98" s="11">
        <v>30580.836093999998</v>
      </c>
      <c r="CZ98" s="11">
        <v>6574.5962220000001</v>
      </c>
      <c r="DA98" s="11">
        <v>4.9088E-2</v>
      </c>
      <c r="DB98" s="11">
        <v>71810.016921000002</v>
      </c>
      <c r="DC98" s="11">
        <v>0.25838299999999997</v>
      </c>
      <c r="DD98" s="11">
        <v>0.25448700000000002</v>
      </c>
      <c r="DE98" s="11">
        <v>0.36043700000000001</v>
      </c>
      <c r="DF98" s="11">
        <v>0.13075400000000001</v>
      </c>
      <c r="DG98" s="11">
        <v>6.2674999999999995E-2</v>
      </c>
      <c r="DH98" s="11">
        <v>1.7536E-2</v>
      </c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</row>
    <row r="99" spans="1:144" x14ac:dyDescent="0.3">
      <c r="A99">
        <v>97</v>
      </c>
      <c r="B99" s="6">
        <v>585000</v>
      </c>
      <c r="C99" s="6">
        <v>228742.25139799999</v>
      </c>
      <c r="D99" s="6">
        <v>228652.88147399999</v>
      </c>
      <c r="I99" s="11"/>
      <c r="J99" s="11"/>
      <c r="K99" s="11"/>
      <c r="L99" s="22"/>
      <c r="M99" s="22"/>
      <c r="N99" s="22"/>
      <c r="O99" s="22"/>
      <c r="P99" s="22"/>
      <c r="Y99" s="10">
        <f>Tableau6[[#This Row],[Total cost (M€/y) MED]]-Tableau6[[#This Row],[Total cost (M€/y) MED +1Mt CO2]]</f>
        <v>0</v>
      </c>
      <c r="Z99" s="10">
        <f>Tableau6[[#This Row],[Marginal Carbon cost (€/tCO2) MED]]*Tableau6[[#This Row],[Marginal emission factor (kgCO2/MWh)]]/1000</f>
        <v>0</v>
      </c>
      <c r="AA99" s="10">
        <f>Tableau6[[#This Row],[Carbon cost of marginal biomass (€/MWh) MED]]+Tableau6[[#This Row],[Marginal supply cost (€/MWh) MED]]</f>
        <v>0</v>
      </c>
      <c r="AH99" s="16">
        <v>109.96674299999999</v>
      </c>
      <c r="AI99" s="16">
        <v>53000.000011999997</v>
      </c>
      <c r="AJ99" s="16">
        <v>388.88898399999999</v>
      </c>
      <c r="AK99" s="16">
        <v>120840.16620199999</v>
      </c>
      <c r="AL99" s="16">
        <v>92999.999523999999</v>
      </c>
      <c r="AM99" s="16">
        <v>34138.888959000004</v>
      </c>
      <c r="AN99" s="16">
        <v>44388.888936000003</v>
      </c>
      <c r="AO99" s="16">
        <v>35431.344518999998</v>
      </c>
      <c r="AP99" s="16">
        <v>12472.222336999999</v>
      </c>
      <c r="AQ99" s="16">
        <v>43694.444342000003</v>
      </c>
      <c r="AR99" s="16">
        <v>40333.000135000002</v>
      </c>
      <c r="AS99" s="16">
        <v>166.66670500000001</v>
      </c>
      <c r="AT99" s="16">
        <v>88.833451999999994</v>
      </c>
      <c r="AU99" s="16">
        <v>8833.333455</v>
      </c>
      <c r="AV99" s="16">
        <v>15166.666766</v>
      </c>
      <c r="AW99" s="15">
        <v>5.9181999999999998E-2</v>
      </c>
      <c r="AX99" s="16">
        <v>504.14734900000002</v>
      </c>
      <c r="AY99" s="16">
        <v>4444.4445640000004</v>
      </c>
      <c r="AZ99" s="16">
        <v>44055.554354</v>
      </c>
      <c r="BA99" s="16">
        <v>2944.44454</v>
      </c>
      <c r="BB99" s="16">
        <v>10611.111035</v>
      </c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>
        <v>173173.047047</v>
      </c>
      <c r="CT99" s="11">
        <v>106418.055936</v>
      </c>
      <c r="CU99" s="11">
        <v>76663.778189000004</v>
      </c>
      <c r="CV99" s="11">
        <v>3.0981000000000002E-2</v>
      </c>
      <c r="CW99" s="11">
        <v>2.5135999999999999E-2</v>
      </c>
      <c r="CX99" s="11">
        <v>99387.573969000005</v>
      </c>
      <c r="CY99" s="11">
        <v>30585.931796000001</v>
      </c>
      <c r="CZ99" s="11">
        <v>6574.2547459999996</v>
      </c>
      <c r="DA99" s="11">
        <v>9.7990000000000004E-3</v>
      </c>
      <c r="DB99" s="11">
        <v>71810.148484000005</v>
      </c>
      <c r="DC99" s="11">
        <v>5.1491000000000002E-2</v>
      </c>
      <c r="DD99" s="11">
        <v>5.1596999999999997E-2</v>
      </c>
      <c r="DE99" s="11">
        <v>7.0969000000000004E-2</v>
      </c>
      <c r="DF99" s="11">
        <v>2.6015E-2</v>
      </c>
      <c r="DG99" s="11">
        <v>1.2446E-2</v>
      </c>
      <c r="DH99" s="11">
        <v>3.4989999999999999E-3</v>
      </c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</row>
    <row r="100" spans="1:144" x14ac:dyDescent="0.3">
      <c r="A100">
        <v>98</v>
      </c>
      <c r="B100" s="6">
        <v>590000</v>
      </c>
      <c r="C100" s="6">
        <v>228745.78900700001</v>
      </c>
      <c r="D100" s="6">
        <v>228645.45616999999</v>
      </c>
      <c r="I100" s="11"/>
      <c r="J100" s="11"/>
      <c r="K100" s="11"/>
      <c r="L100" s="22"/>
      <c r="M100" s="22"/>
      <c r="N100" s="22"/>
      <c r="O100" s="22"/>
      <c r="P100" s="22"/>
      <c r="Y100" s="10">
        <f>Tableau6[[#This Row],[Total cost (M€/y) MED]]-Tableau6[[#This Row],[Total cost (M€/y) MED +1Mt CO2]]</f>
        <v>0</v>
      </c>
      <c r="Z100" s="10">
        <f>Tableau6[[#This Row],[Marginal Carbon cost (€/tCO2) MED]]*Tableau6[[#This Row],[Marginal emission factor (kgCO2/MWh)]]/1000</f>
        <v>0</v>
      </c>
      <c r="AA100" s="10">
        <f>Tableau6[[#This Row],[Carbon cost of marginal biomass (€/MWh) MED]]+Tableau6[[#This Row],[Marginal supply cost (€/MWh) MED]]</f>
        <v>0</v>
      </c>
      <c r="AH100" s="16">
        <v>109.967519</v>
      </c>
      <c r="AI100" s="16">
        <v>53000.001103000002</v>
      </c>
      <c r="AJ100" s="16">
        <v>388.88982700000003</v>
      </c>
      <c r="AK100" s="16">
        <v>120840.16772</v>
      </c>
      <c r="AL100" s="16">
        <v>93000.000910000002</v>
      </c>
      <c r="AM100" s="16">
        <v>34138.889946000003</v>
      </c>
      <c r="AN100" s="16">
        <v>44388.889947999996</v>
      </c>
      <c r="AO100" s="16">
        <v>35431.345511</v>
      </c>
      <c r="AP100" s="16">
        <v>12472.223322</v>
      </c>
      <c r="AQ100" s="16">
        <v>43694.439574000004</v>
      </c>
      <c r="AR100" s="16">
        <v>40333.001253000002</v>
      </c>
      <c r="AS100" s="16">
        <v>166.667326</v>
      </c>
      <c r="AT100" s="16">
        <v>88.834401999999997</v>
      </c>
      <c r="AU100" s="16">
        <v>8833.3344479999996</v>
      </c>
      <c r="AV100" s="16">
        <v>15166.667743</v>
      </c>
      <c r="AW100" s="15">
        <v>0.25295699999999999</v>
      </c>
      <c r="AX100" s="16">
        <v>504.14832799999999</v>
      </c>
      <c r="AY100" s="16">
        <v>4444.4455559999997</v>
      </c>
      <c r="AZ100" s="16">
        <v>44055.551096000003</v>
      </c>
      <c r="BA100" s="16">
        <v>2944.445428</v>
      </c>
      <c r="BB100" s="16">
        <v>10611.111643</v>
      </c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>
        <v>173172.426282</v>
      </c>
      <c r="CT100" s="11">
        <v>106417.664632</v>
      </c>
      <c r="CU100" s="11">
        <v>76671.201751999994</v>
      </c>
      <c r="CV100" s="11">
        <v>0.15375900000000001</v>
      </c>
      <c r="CW100" s="11">
        <v>0.12656300000000001</v>
      </c>
      <c r="CX100" s="11">
        <v>99387.458692</v>
      </c>
      <c r="CY100" s="11">
        <v>30576.454031000001</v>
      </c>
      <c r="CZ100" s="11">
        <v>6574.5699299999997</v>
      </c>
      <c r="DA100" s="11">
        <v>4.7442999999999999E-2</v>
      </c>
      <c r="DB100" s="11">
        <v>71812.117536000005</v>
      </c>
      <c r="DC100" s="11">
        <v>0.24931300000000001</v>
      </c>
      <c r="DD100" s="11">
        <v>0.255604</v>
      </c>
      <c r="DE100" s="11">
        <v>0.345802</v>
      </c>
      <c r="DF100" s="11">
        <v>0.12674099999999999</v>
      </c>
      <c r="DG100" s="11">
        <v>6.0622000000000002E-2</v>
      </c>
      <c r="DH100" s="11">
        <v>1.6868999999999999E-2</v>
      </c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</row>
    <row r="101" spans="1:144" x14ac:dyDescent="0.3">
      <c r="A101">
        <v>99</v>
      </c>
      <c r="B101" s="6">
        <v>595000</v>
      </c>
      <c r="C101" s="6">
        <v>228768.13871699999</v>
      </c>
      <c r="D101" s="6">
        <v>228641.33874899999</v>
      </c>
      <c r="I101" s="11"/>
      <c r="J101" s="11"/>
      <c r="K101" s="11"/>
      <c r="L101" s="22"/>
      <c r="M101" s="22"/>
      <c r="N101" s="22"/>
      <c r="O101" s="22"/>
      <c r="P101" s="22"/>
      <c r="Y101" s="10">
        <f>Tableau6[[#This Row],[Total cost (M€/y) MED]]-Tableau6[[#This Row],[Total cost (M€/y) MED +1Mt CO2]]</f>
        <v>0</v>
      </c>
      <c r="Z101" s="10">
        <f>Tableau6[[#This Row],[Marginal Carbon cost (€/tCO2) MED]]*Tableau6[[#This Row],[Marginal emission factor (kgCO2/MWh)]]/1000</f>
        <v>0</v>
      </c>
      <c r="AA101" s="10">
        <f>Tableau6[[#This Row],[Carbon cost of marginal biomass (€/MWh) MED]]+Tableau6[[#This Row],[Marginal supply cost (€/MWh) MED]]</f>
        <v>0</v>
      </c>
      <c r="AH101" s="16">
        <v>109.968101</v>
      </c>
      <c r="AI101" s="16">
        <v>53000.000458000002</v>
      </c>
      <c r="AJ101" s="16">
        <v>388.89050700000001</v>
      </c>
      <c r="AK101" s="16">
        <v>120840.16009</v>
      </c>
      <c r="AL101" s="16">
        <v>92999.992660000004</v>
      </c>
      <c r="AM101" s="16">
        <v>34138.889625000003</v>
      </c>
      <c r="AN101" s="16">
        <v>44388.889127000002</v>
      </c>
      <c r="AO101" s="16">
        <v>35431.345181999997</v>
      </c>
      <c r="AP101" s="16">
        <v>12472.224171</v>
      </c>
      <c r="AQ101" s="16">
        <v>43694.399490000003</v>
      </c>
      <c r="AR101" s="16">
        <v>40333.002495000001</v>
      </c>
      <c r="AS101" s="16">
        <v>166.66755000000001</v>
      </c>
      <c r="AT101" s="16">
        <v>88.835389000000006</v>
      </c>
      <c r="AU101" s="16">
        <v>8833.3353960000004</v>
      </c>
      <c r="AV101" s="16">
        <v>15166.66821</v>
      </c>
      <c r="AW101" s="15">
        <v>0.34407399999999999</v>
      </c>
      <c r="AX101" s="16">
        <v>504.14941599999997</v>
      </c>
      <c r="AY101" s="16">
        <v>4444.4464680000001</v>
      </c>
      <c r="AZ101" s="16">
        <v>44055.509016000004</v>
      </c>
      <c r="BA101" s="16">
        <v>2944.4460979999999</v>
      </c>
      <c r="BB101" s="16">
        <v>10611.111163</v>
      </c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>
        <v>173174.22813199999</v>
      </c>
      <c r="CT101" s="11">
        <v>106416.61632</v>
      </c>
      <c r="CU101" s="11">
        <v>76674.041521000006</v>
      </c>
      <c r="CV101" s="11">
        <v>0.42895499999999998</v>
      </c>
      <c r="CW101" s="11">
        <v>0.35435499999999998</v>
      </c>
      <c r="CX101" s="11">
        <v>99387.140721999996</v>
      </c>
      <c r="CY101" s="11">
        <v>30567.971135</v>
      </c>
      <c r="CZ101" s="11">
        <v>6575.1345170000004</v>
      </c>
      <c r="DA101" s="11">
        <v>0.14538999999999999</v>
      </c>
      <c r="DB101" s="11">
        <v>71814.091302999994</v>
      </c>
      <c r="DC101" s="11">
        <v>0.73412699999999997</v>
      </c>
      <c r="DD101" s="11">
        <v>0.77556499999999995</v>
      </c>
      <c r="DE101" s="11">
        <v>1.0078400000000001</v>
      </c>
      <c r="DF101" s="11">
        <v>0.37198700000000001</v>
      </c>
      <c r="DG101" s="11">
        <v>0.18340000000000001</v>
      </c>
      <c r="DH101" s="11">
        <v>4.9442E-2</v>
      </c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</row>
    <row r="102" spans="1:144" x14ac:dyDescent="0.3">
      <c r="A102">
        <v>100</v>
      </c>
      <c r="B102" s="6">
        <v>600000</v>
      </c>
      <c r="C102" s="6">
        <v>228765.864195</v>
      </c>
      <c r="D102" s="6">
        <v>228669.532194</v>
      </c>
      <c r="I102" s="11"/>
      <c r="J102" s="11"/>
      <c r="K102" s="11"/>
      <c r="L102" s="22"/>
      <c r="M102" s="22"/>
      <c r="N102" s="22"/>
      <c r="O102" s="22"/>
      <c r="P102" s="22"/>
      <c r="Y102" s="10">
        <f>Tableau6[[#This Row],[Total cost (M€/y) MED]]-Tableau6[[#This Row],[Total cost (M€/y) MED +1Mt CO2]]</f>
        <v>0</v>
      </c>
      <c r="Z102" s="10">
        <f>Tableau6[[#This Row],[Marginal Carbon cost (€/tCO2) MED]]*Tableau6[[#This Row],[Marginal emission factor (kgCO2/MWh)]]/1000</f>
        <v>0</v>
      </c>
      <c r="AA102" s="10">
        <f>Tableau6[[#This Row],[Carbon cost of marginal biomass (€/MWh) MED]]+Tableau6[[#This Row],[Marginal supply cost (€/MWh) MED]]</f>
        <v>0</v>
      </c>
      <c r="AH102" s="16">
        <v>109.967584</v>
      </c>
      <c r="AI102" s="16">
        <v>53000.001398</v>
      </c>
      <c r="AJ102" s="16">
        <v>388.88978700000001</v>
      </c>
      <c r="AK102" s="16">
        <v>120840.16781499999</v>
      </c>
      <c r="AL102" s="16">
        <v>93000.000702000005</v>
      </c>
      <c r="AM102" s="16">
        <v>34138.889876000001</v>
      </c>
      <c r="AN102" s="16">
        <v>44388.889885999997</v>
      </c>
      <c r="AO102" s="16">
        <v>35431.345448</v>
      </c>
      <c r="AP102" s="16">
        <v>12472.223357999999</v>
      </c>
      <c r="AQ102" s="16">
        <v>43694.445036999998</v>
      </c>
      <c r="AR102" s="16">
        <v>40333.001126000003</v>
      </c>
      <c r="AS102" s="16">
        <v>166.66725700000001</v>
      </c>
      <c r="AT102" s="16">
        <v>88.834576999999996</v>
      </c>
      <c r="AU102" s="16">
        <v>8833.334503</v>
      </c>
      <c r="AV102" s="16">
        <v>15166.667706</v>
      </c>
      <c r="AW102" s="15">
        <v>1.0267980000000001</v>
      </c>
      <c r="AX102" s="16">
        <v>504.14847700000001</v>
      </c>
      <c r="AY102" s="16">
        <v>4444.4455870000002</v>
      </c>
      <c r="AZ102" s="16">
        <v>44055.556186000002</v>
      </c>
      <c r="BA102" s="16">
        <v>2944.4452930000002</v>
      </c>
      <c r="BB102" s="16">
        <v>10611.050090999999</v>
      </c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>
        <v>173173.486539</v>
      </c>
      <c r="CT102" s="11">
        <v>106416.377227</v>
      </c>
      <c r="CU102" s="11">
        <v>76683.699838</v>
      </c>
      <c r="CV102" s="11">
        <v>0.423209</v>
      </c>
      <c r="CW102" s="11">
        <v>0.35071799999999997</v>
      </c>
      <c r="CX102" s="11">
        <v>99387.395602999997</v>
      </c>
      <c r="CY102" s="11">
        <v>30565.606699</v>
      </c>
      <c r="CZ102" s="11">
        <v>6575.3185430000003</v>
      </c>
      <c r="DA102" s="11">
        <v>0.14033100000000001</v>
      </c>
      <c r="DB102" s="11">
        <v>71807.869292999996</v>
      </c>
      <c r="DC102" s="11">
        <v>0.77154</v>
      </c>
      <c r="DD102" s="11">
        <v>0.88413299999999995</v>
      </c>
      <c r="DE102" s="11">
        <v>1.0800510000000001</v>
      </c>
      <c r="DF102" s="11">
        <v>0.37441099999999999</v>
      </c>
      <c r="DG102" s="11">
        <v>0.176538</v>
      </c>
      <c r="DH102" s="11">
        <v>4.3851000000000001E-2</v>
      </c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</row>
  </sheetData>
  <phoneticPr fontId="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7822-7D3B-4E36-BCCF-763925BE7522}">
  <sheetPr>
    <tabColor theme="9"/>
  </sheetPr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CF86-1B46-4276-AEA9-4A9196F86E9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A7D2-6EF5-4A52-AA3B-D183B8B4560A}">
  <sheetPr>
    <tabColor theme="7" tint="-0.249977111117893"/>
  </sheetPr>
  <dimension ref="A1"/>
  <sheetViews>
    <sheetView topLeftCell="A25" zoomScale="110" zoomScaleNormal="110" workbookViewId="0">
      <selection activeCell="O51" sqref="O5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workbookViewId="0">
      <selection activeCell="D23" sqref="D23"/>
    </sheetView>
  </sheetViews>
  <sheetFormatPr baseColWidth="10" defaultColWidth="8.88671875" defaultRowHeight="14.4" x14ac:dyDescent="0.3"/>
  <cols>
    <col min="2" max="2" width="11.6640625" customWidth="1"/>
    <col min="3" max="3" width="11.21875" customWidth="1"/>
    <col min="4" max="6" width="24.441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1" t="s">
        <v>44</v>
      </c>
      <c r="E1" s="5"/>
      <c r="F1" s="5"/>
    </row>
    <row r="2" spans="1:6" hidden="1" x14ac:dyDescent="0.3">
      <c r="A2">
        <v>0</v>
      </c>
      <c r="B2">
        <v>100000</v>
      </c>
      <c r="C2">
        <v>274941.75385600002</v>
      </c>
      <c r="D2" t="s">
        <v>45</v>
      </c>
    </row>
    <row r="3" spans="1:6" hidden="1" x14ac:dyDescent="0.3">
      <c r="A3">
        <v>1</v>
      </c>
      <c r="B3">
        <v>105000</v>
      </c>
      <c r="C3">
        <v>267601.76101299998</v>
      </c>
      <c r="D3" t="s">
        <v>45</v>
      </c>
    </row>
    <row r="4" spans="1:6" hidden="1" x14ac:dyDescent="0.3">
      <c r="A4">
        <v>2</v>
      </c>
      <c r="B4">
        <v>110000</v>
      </c>
      <c r="C4">
        <v>265008.29394399998</v>
      </c>
      <c r="D4" t="s">
        <v>45</v>
      </c>
    </row>
    <row r="5" spans="1:6" hidden="1" x14ac:dyDescent="0.3">
      <c r="A5">
        <v>3</v>
      </c>
      <c r="B5">
        <v>115000</v>
      </c>
      <c r="C5">
        <v>263125.29813000013</v>
      </c>
      <c r="D5" t="s">
        <v>45</v>
      </c>
    </row>
    <row r="6" spans="1:6" hidden="1" x14ac:dyDescent="0.3">
      <c r="A6">
        <v>4</v>
      </c>
      <c r="B6">
        <v>120000</v>
      </c>
      <c r="C6">
        <v>261235.384284</v>
      </c>
      <c r="D6" t="s">
        <v>45</v>
      </c>
    </row>
    <row r="7" spans="1:6" hidden="1" x14ac:dyDescent="0.3">
      <c r="A7">
        <v>4</v>
      </c>
      <c r="B7">
        <v>120000</v>
      </c>
      <c r="C7">
        <v>266901.02650899999</v>
      </c>
      <c r="D7" t="s">
        <v>46</v>
      </c>
    </row>
    <row r="8" spans="1:6" hidden="1" x14ac:dyDescent="0.3">
      <c r="A8">
        <v>5</v>
      </c>
      <c r="B8">
        <v>125000</v>
      </c>
      <c r="C8">
        <v>259360.96998299999</v>
      </c>
      <c r="D8" t="s">
        <v>45</v>
      </c>
    </row>
    <row r="9" spans="1:6" hidden="1" x14ac:dyDescent="0.3">
      <c r="A9">
        <v>5</v>
      </c>
      <c r="B9">
        <v>125000</v>
      </c>
      <c r="C9">
        <v>264012.72067299997</v>
      </c>
      <c r="D9" t="s">
        <v>46</v>
      </c>
    </row>
    <row r="10" spans="1:6" hidden="1" x14ac:dyDescent="0.3">
      <c r="A10">
        <v>6</v>
      </c>
      <c r="B10">
        <v>130000</v>
      </c>
      <c r="C10">
        <v>257554.20269500001</v>
      </c>
      <c r="D10" t="s">
        <v>45</v>
      </c>
    </row>
    <row r="11" spans="1:6" hidden="1" x14ac:dyDescent="0.3">
      <c r="A11">
        <v>6</v>
      </c>
      <c r="B11">
        <v>130000</v>
      </c>
      <c r="C11">
        <v>262049.47800500001</v>
      </c>
      <c r="D11" t="s">
        <v>46</v>
      </c>
    </row>
    <row r="12" spans="1:6" hidden="1" x14ac:dyDescent="0.3">
      <c r="A12">
        <v>7</v>
      </c>
      <c r="B12">
        <v>135000</v>
      </c>
      <c r="C12">
        <v>255970.967103</v>
      </c>
      <c r="D12" t="s">
        <v>45</v>
      </c>
    </row>
    <row r="13" spans="1:6" hidden="1" x14ac:dyDescent="0.3">
      <c r="A13">
        <v>7</v>
      </c>
      <c r="B13">
        <v>135000</v>
      </c>
      <c r="C13">
        <v>260183.84982199999</v>
      </c>
      <c r="D13" t="s">
        <v>46</v>
      </c>
    </row>
    <row r="14" spans="1:6" x14ac:dyDescent="0.3">
      <c r="A14">
        <v>7</v>
      </c>
      <c r="B14">
        <v>135000</v>
      </c>
      <c r="C14">
        <v>266369.77708000003</v>
      </c>
      <c r="D14" t="s">
        <v>47</v>
      </c>
    </row>
    <row r="15" spans="1:6" hidden="1" x14ac:dyDescent="0.3">
      <c r="A15">
        <v>8</v>
      </c>
      <c r="B15">
        <v>140000</v>
      </c>
      <c r="C15">
        <v>254713.242769</v>
      </c>
      <c r="D15" t="s">
        <v>45</v>
      </c>
    </row>
    <row r="16" spans="1:6" hidden="1" x14ac:dyDescent="0.3">
      <c r="A16">
        <v>8</v>
      </c>
      <c r="B16">
        <v>140000</v>
      </c>
      <c r="C16">
        <v>258372.67485499999</v>
      </c>
      <c r="D16" t="s">
        <v>46</v>
      </c>
    </row>
    <row r="17" spans="1:4" x14ac:dyDescent="0.3">
      <c r="A17">
        <v>8</v>
      </c>
      <c r="B17">
        <v>140000</v>
      </c>
      <c r="C17">
        <v>263559.30327700003</v>
      </c>
      <c r="D17" t="s">
        <v>47</v>
      </c>
    </row>
    <row r="18" spans="1:4" hidden="1" x14ac:dyDescent="0.3">
      <c r="A18">
        <v>9</v>
      </c>
      <c r="B18">
        <v>145000</v>
      </c>
      <c r="C18">
        <v>253847.482353</v>
      </c>
      <c r="D18" t="s">
        <v>45</v>
      </c>
    </row>
    <row r="19" spans="1:4" hidden="1" x14ac:dyDescent="0.3">
      <c r="A19">
        <v>9</v>
      </c>
      <c r="B19">
        <v>145000</v>
      </c>
      <c r="C19">
        <v>257042.06121000001</v>
      </c>
      <c r="D19" t="s">
        <v>46</v>
      </c>
    </row>
    <row r="20" spans="1:4" x14ac:dyDescent="0.3">
      <c r="A20">
        <v>9</v>
      </c>
      <c r="B20">
        <v>145000</v>
      </c>
      <c r="C20">
        <v>261969.33494</v>
      </c>
      <c r="D20" t="s">
        <v>47</v>
      </c>
    </row>
    <row r="21" spans="1:4" hidden="1" x14ac:dyDescent="0.3">
      <c r="A21">
        <v>10</v>
      </c>
      <c r="B21">
        <v>150000</v>
      </c>
      <c r="C21">
        <v>253003.05948500001</v>
      </c>
      <c r="D21" t="s">
        <v>45</v>
      </c>
    </row>
    <row r="22" spans="1:4" hidden="1" x14ac:dyDescent="0.3">
      <c r="A22">
        <v>10</v>
      </c>
      <c r="B22">
        <v>150000</v>
      </c>
      <c r="C22">
        <v>255801.449437</v>
      </c>
      <c r="D22" t="s">
        <v>46</v>
      </c>
    </row>
    <row r="23" spans="1:4" x14ac:dyDescent="0.3">
      <c r="A23">
        <v>10</v>
      </c>
      <c r="B23">
        <v>150000</v>
      </c>
      <c r="C23">
        <v>260643.11810200001</v>
      </c>
      <c r="D23" t="s">
        <v>47</v>
      </c>
    </row>
    <row r="24" spans="1:4" hidden="1" x14ac:dyDescent="0.3">
      <c r="A24">
        <v>11</v>
      </c>
      <c r="B24">
        <v>155000</v>
      </c>
      <c r="C24">
        <v>252178.43993200001</v>
      </c>
      <c r="D24" t="s">
        <v>45</v>
      </c>
    </row>
    <row r="25" spans="1:4" hidden="1" x14ac:dyDescent="0.3">
      <c r="A25">
        <v>11</v>
      </c>
      <c r="B25">
        <v>155000</v>
      </c>
      <c r="C25">
        <v>254645.553889</v>
      </c>
      <c r="D25" t="s">
        <v>46</v>
      </c>
    </row>
    <row r="26" spans="1:4" x14ac:dyDescent="0.3">
      <c r="A26">
        <v>11</v>
      </c>
      <c r="B26">
        <v>155000</v>
      </c>
      <c r="C26">
        <v>259373.135541</v>
      </c>
      <c r="D26" t="s">
        <v>47</v>
      </c>
    </row>
    <row r="27" spans="1:4" hidden="1" x14ac:dyDescent="0.3">
      <c r="A27">
        <v>12</v>
      </c>
      <c r="B27">
        <v>160000</v>
      </c>
      <c r="C27">
        <v>251327.92093299999</v>
      </c>
      <c r="D27" t="s">
        <v>45</v>
      </c>
    </row>
    <row r="28" spans="1:4" hidden="1" x14ac:dyDescent="0.3">
      <c r="A28">
        <v>12</v>
      </c>
      <c r="B28">
        <v>160000</v>
      </c>
      <c r="C28">
        <v>253680.60125499999</v>
      </c>
      <c r="D28" t="s">
        <v>46</v>
      </c>
    </row>
    <row r="29" spans="1:4" x14ac:dyDescent="0.3">
      <c r="A29">
        <v>12</v>
      </c>
      <c r="B29">
        <v>160000</v>
      </c>
      <c r="C29">
        <v>258073.923193</v>
      </c>
      <c r="D29" t="s">
        <v>47</v>
      </c>
    </row>
    <row r="30" spans="1:4" hidden="1" x14ac:dyDescent="0.3">
      <c r="A30">
        <v>13</v>
      </c>
      <c r="B30">
        <v>165000</v>
      </c>
      <c r="C30">
        <v>250532.85854399999</v>
      </c>
      <c r="D30" t="s">
        <v>45</v>
      </c>
    </row>
    <row r="31" spans="1:4" hidden="1" x14ac:dyDescent="0.3">
      <c r="A31">
        <v>13</v>
      </c>
      <c r="B31">
        <v>165000</v>
      </c>
      <c r="C31">
        <v>252762.17050400001</v>
      </c>
      <c r="D31" t="s">
        <v>46</v>
      </c>
    </row>
    <row r="32" spans="1:4" x14ac:dyDescent="0.3">
      <c r="A32">
        <v>13</v>
      </c>
      <c r="B32">
        <v>165000</v>
      </c>
      <c r="C32">
        <v>256827.431014</v>
      </c>
      <c r="D32" t="s">
        <v>47</v>
      </c>
    </row>
    <row r="33" spans="1:4" hidden="1" x14ac:dyDescent="0.3">
      <c r="A33">
        <v>14</v>
      </c>
      <c r="B33">
        <v>170000</v>
      </c>
      <c r="C33">
        <v>249790.52653800001</v>
      </c>
      <c r="D33" t="s">
        <v>45</v>
      </c>
    </row>
    <row r="34" spans="1:4" hidden="1" x14ac:dyDescent="0.3">
      <c r="A34">
        <v>14</v>
      </c>
      <c r="B34">
        <v>170000</v>
      </c>
      <c r="C34">
        <v>251921.111351</v>
      </c>
      <c r="D34" t="s">
        <v>46</v>
      </c>
    </row>
    <row r="35" spans="1:4" x14ac:dyDescent="0.3">
      <c r="A35">
        <v>14</v>
      </c>
      <c r="B35">
        <v>170000</v>
      </c>
      <c r="C35">
        <v>255607.776946</v>
      </c>
      <c r="D35" t="s">
        <v>47</v>
      </c>
    </row>
    <row r="36" spans="1:4" hidden="1" x14ac:dyDescent="0.3">
      <c r="A36">
        <v>15</v>
      </c>
      <c r="B36">
        <v>175000</v>
      </c>
      <c r="C36">
        <v>249069.12671400001</v>
      </c>
      <c r="D36" t="s">
        <v>45</v>
      </c>
    </row>
    <row r="37" spans="1:4" hidden="1" x14ac:dyDescent="0.3">
      <c r="A37">
        <v>15</v>
      </c>
      <c r="B37">
        <v>175000</v>
      </c>
      <c r="C37">
        <v>251092.962875</v>
      </c>
      <c r="D37" t="s">
        <v>46</v>
      </c>
    </row>
    <row r="38" spans="1:4" x14ac:dyDescent="0.3">
      <c r="A38">
        <v>15</v>
      </c>
      <c r="B38">
        <v>175000</v>
      </c>
      <c r="C38">
        <v>254365.46416199999</v>
      </c>
      <c r="D38" t="s">
        <v>47</v>
      </c>
    </row>
    <row r="39" spans="1:4" hidden="1" x14ac:dyDescent="0.3">
      <c r="A39">
        <v>16</v>
      </c>
      <c r="B39">
        <v>180000</v>
      </c>
      <c r="C39">
        <v>248373.56453</v>
      </c>
      <c r="D39" t="s">
        <v>45</v>
      </c>
    </row>
    <row r="40" spans="1:4" hidden="1" x14ac:dyDescent="0.3">
      <c r="A40">
        <v>16</v>
      </c>
      <c r="B40">
        <v>180000</v>
      </c>
      <c r="C40">
        <v>250301.60540100001</v>
      </c>
      <c r="D40" t="s">
        <v>46</v>
      </c>
    </row>
    <row r="41" spans="1:4" x14ac:dyDescent="0.3">
      <c r="A41">
        <v>16</v>
      </c>
      <c r="B41">
        <v>180000</v>
      </c>
      <c r="C41">
        <v>253195.40676700001</v>
      </c>
      <c r="D41" t="s">
        <v>47</v>
      </c>
    </row>
    <row r="42" spans="1:4" hidden="1" x14ac:dyDescent="0.3">
      <c r="A42">
        <v>17</v>
      </c>
      <c r="B42">
        <v>185000</v>
      </c>
      <c r="C42">
        <v>247696.32881599999</v>
      </c>
      <c r="D42" t="s">
        <v>45</v>
      </c>
    </row>
    <row r="43" spans="1:4" hidden="1" x14ac:dyDescent="0.3">
      <c r="A43">
        <v>17</v>
      </c>
      <c r="B43">
        <v>185000</v>
      </c>
      <c r="C43">
        <v>249614.485021</v>
      </c>
      <c r="D43" t="s">
        <v>46</v>
      </c>
    </row>
    <row r="44" spans="1:4" x14ac:dyDescent="0.3">
      <c r="A44">
        <v>17</v>
      </c>
      <c r="B44">
        <v>185000</v>
      </c>
      <c r="C44">
        <v>252225.88427000001</v>
      </c>
      <c r="D44" t="s">
        <v>47</v>
      </c>
    </row>
    <row r="45" spans="1:4" hidden="1" x14ac:dyDescent="0.3">
      <c r="A45">
        <v>18</v>
      </c>
      <c r="B45">
        <v>190000</v>
      </c>
      <c r="C45">
        <v>247014.71740699999</v>
      </c>
      <c r="D45" t="s">
        <v>45</v>
      </c>
    </row>
    <row r="46" spans="1:4" hidden="1" x14ac:dyDescent="0.3">
      <c r="A46">
        <v>18</v>
      </c>
      <c r="B46">
        <v>190000</v>
      </c>
      <c r="C46">
        <v>248934.861474</v>
      </c>
      <c r="D46" t="s">
        <v>46</v>
      </c>
    </row>
    <row r="47" spans="1:4" x14ac:dyDescent="0.3">
      <c r="A47">
        <v>18</v>
      </c>
      <c r="B47">
        <v>190000</v>
      </c>
      <c r="C47">
        <v>251461.26212500001</v>
      </c>
      <c r="D47" t="s">
        <v>47</v>
      </c>
    </row>
    <row r="48" spans="1:4" hidden="1" x14ac:dyDescent="0.3">
      <c r="A48">
        <v>19</v>
      </c>
      <c r="B48">
        <v>195000</v>
      </c>
      <c r="C48">
        <v>246363.18303700001</v>
      </c>
      <c r="D48" t="s">
        <v>45</v>
      </c>
    </row>
    <row r="49" spans="1:4" hidden="1" x14ac:dyDescent="0.3">
      <c r="A49">
        <v>19</v>
      </c>
      <c r="B49">
        <v>195000</v>
      </c>
      <c r="C49">
        <v>248350.98176900001</v>
      </c>
      <c r="D49" t="s">
        <v>46</v>
      </c>
    </row>
    <row r="50" spans="1:4" x14ac:dyDescent="0.3">
      <c r="A50">
        <v>19</v>
      </c>
      <c r="B50">
        <v>195000</v>
      </c>
      <c r="C50">
        <v>250994.675946</v>
      </c>
      <c r="D50" t="s">
        <v>47</v>
      </c>
    </row>
    <row r="51" spans="1:4" hidden="1" x14ac:dyDescent="0.3">
      <c r="A51">
        <v>20</v>
      </c>
      <c r="B51">
        <v>200000</v>
      </c>
      <c r="C51">
        <v>245759.66760399999</v>
      </c>
      <c r="D51" t="s">
        <v>45</v>
      </c>
    </row>
    <row r="52" spans="1:4" hidden="1" x14ac:dyDescent="0.3">
      <c r="A52">
        <v>20</v>
      </c>
      <c r="B52">
        <v>200000</v>
      </c>
      <c r="C52">
        <v>247847.12072000001</v>
      </c>
      <c r="D52" t="s">
        <v>46</v>
      </c>
    </row>
    <row r="53" spans="1:4" x14ac:dyDescent="0.3">
      <c r="A53">
        <v>20</v>
      </c>
      <c r="B53">
        <v>200000</v>
      </c>
      <c r="C53">
        <v>250534.47270400001</v>
      </c>
      <c r="D53" t="s">
        <v>47</v>
      </c>
    </row>
    <row r="54" spans="1:4" hidden="1" x14ac:dyDescent="0.3">
      <c r="A54">
        <v>21</v>
      </c>
      <c r="B54">
        <v>205000</v>
      </c>
      <c r="C54">
        <v>245168.47249099999</v>
      </c>
      <c r="D54" t="s">
        <v>45</v>
      </c>
    </row>
    <row r="55" spans="1:4" hidden="1" x14ac:dyDescent="0.3">
      <c r="A55">
        <v>21</v>
      </c>
      <c r="B55">
        <v>205000</v>
      </c>
      <c r="C55">
        <v>247304.57363299999</v>
      </c>
      <c r="D55" t="s">
        <v>46</v>
      </c>
    </row>
    <row r="56" spans="1:4" x14ac:dyDescent="0.3">
      <c r="A56">
        <v>21</v>
      </c>
      <c r="B56">
        <v>205000</v>
      </c>
      <c r="C56">
        <v>250085.604013</v>
      </c>
      <c r="D56" t="s">
        <v>47</v>
      </c>
    </row>
    <row r="57" spans="1:4" hidden="1" x14ac:dyDescent="0.3">
      <c r="A57">
        <v>22</v>
      </c>
      <c r="B57">
        <v>210000</v>
      </c>
      <c r="C57">
        <v>244580.21311700001</v>
      </c>
      <c r="D57" t="s">
        <v>45</v>
      </c>
    </row>
    <row r="58" spans="1:4" hidden="1" x14ac:dyDescent="0.3">
      <c r="A58">
        <v>22</v>
      </c>
      <c r="B58">
        <v>210000</v>
      </c>
      <c r="C58">
        <v>246768.58388300001</v>
      </c>
      <c r="D58" t="s">
        <v>46</v>
      </c>
    </row>
    <row r="59" spans="1:4" x14ac:dyDescent="0.3">
      <c r="A59">
        <v>22</v>
      </c>
      <c r="B59">
        <v>210000</v>
      </c>
      <c r="C59">
        <v>249660.638695</v>
      </c>
      <c r="D59" t="s">
        <v>47</v>
      </c>
    </row>
    <row r="60" spans="1:4" hidden="1" x14ac:dyDescent="0.3">
      <c r="A60">
        <v>23</v>
      </c>
      <c r="B60">
        <v>215000</v>
      </c>
      <c r="C60">
        <v>243999.86928000001</v>
      </c>
      <c r="D60" t="s">
        <v>45</v>
      </c>
    </row>
    <row r="61" spans="1:4" hidden="1" x14ac:dyDescent="0.3">
      <c r="A61">
        <v>23</v>
      </c>
      <c r="B61">
        <v>215000</v>
      </c>
      <c r="C61">
        <v>246278.29730400001</v>
      </c>
      <c r="D61" t="s">
        <v>46</v>
      </c>
    </row>
    <row r="62" spans="1:4" x14ac:dyDescent="0.3">
      <c r="A62">
        <v>23</v>
      </c>
      <c r="B62">
        <v>215000</v>
      </c>
      <c r="C62">
        <v>249239.298801</v>
      </c>
      <c r="D62" t="s">
        <v>47</v>
      </c>
    </row>
    <row r="63" spans="1:4" hidden="1" x14ac:dyDescent="0.3">
      <c r="A63">
        <v>24</v>
      </c>
      <c r="B63">
        <v>220000</v>
      </c>
      <c r="C63">
        <v>243419.46192199999</v>
      </c>
      <c r="D63" t="s">
        <v>45</v>
      </c>
    </row>
    <row r="64" spans="1:4" hidden="1" x14ac:dyDescent="0.3">
      <c r="A64">
        <v>24</v>
      </c>
      <c r="B64">
        <v>220000</v>
      </c>
      <c r="C64">
        <v>245747.00687700001</v>
      </c>
      <c r="D64" t="s">
        <v>46</v>
      </c>
    </row>
    <row r="65" spans="1:4" x14ac:dyDescent="0.3">
      <c r="A65">
        <v>24</v>
      </c>
      <c r="B65">
        <v>220000</v>
      </c>
      <c r="C65">
        <v>248743.51000800001</v>
      </c>
      <c r="D65" t="s">
        <v>47</v>
      </c>
    </row>
    <row r="66" spans="1:4" hidden="1" x14ac:dyDescent="0.3">
      <c r="A66">
        <v>25</v>
      </c>
      <c r="B66">
        <v>225000</v>
      </c>
      <c r="C66">
        <v>242858.083128</v>
      </c>
      <c r="D66" t="s">
        <v>45</v>
      </c>
    </row>
    <row r="67" spans="1:4" hidden="1" x14ac:dyDescent="0.3">
      <c r="A67">
        <v>25</v>
      </c>
      <c r="B67">
        <v>225000</v>
      </c>
      <c r="C67">
        <v>245244.949891</v>
      </c>
      <c r="D67" t="s">
        <v>46</v>
      </c>
    </row>
    <row r="68" spans="1:4" x14ac:dyDescent="0.3">
      <c r="A68">
        <v>25</v>
      </c>
      <c r="B68">
        <v>225000</v>
      </c>
      <c r="C68">
        <v>248323.53390499999</v>
      </c>
      <c r="D68" t="s">
        <v>47</v>
      </c>
    </row>
    <row r="69" spans="1:4" hidden="1" x14ac:dyDescent="0.3">
      <c r="A69">
        <v>26</v>
      </c>
      <c r="B69">
        <v>230000</v>
      </c>
      <c r="C69">
        <v>242272.691735</v>
      </c>
      <c r="D69" t="s">
        <v>45</v>
      </c>
    </row>
    <row r="70" spans="1:4" hidden="1" x14ac:dyDescent="0.3">
      <c r="A70">
        <v>26</v>
      </c>
      <c r="B70">
        <v>230000</v>
      </c>
      <c r="C70">
        <v>244744.310803</v>
      </c>
      <c r="D70" t="s">
        <v>46</v>
      </c>
    </row>
    <row r="71" spans="1:4" hidden="1" x14ac:dyDescent="0.3">
      <c r="A71">
        <v>27</v>
      </c>
      <c r="B71">
        <v>235000</v>
      </c>
      <c r="C71">
        <v>241688.04057099999</v>
      </c>
      <c r="D71" t="s">
        <v>45</v>
      </c>
    </row>
    <row r="72" spans="1:4" hidden="1" x14ac:dyDescent="0.3">
      <c r="A72">
        <v>27</v>
      </c>
      <c r="B72">
        <v>235000</v>
      </c>
      <c r="C72">
        <v>244231.09899599999</v>
      </c>
      <c r="D72" t="s">
        <v>46</v>
      </c>
    </row>
    <row r="73" spans="1:4" hidden="1" x14ac:dyDescent="0.3">
      <c r="A73">
        <v>28</v>
      </c>
      <c r="B73">
        <v>240000</v>
      </c>
      <c r="C73">
        <v>241130.81185299999</v>
      </c>
      <c r="D73" t="s">
        <v>45</v>
      </c>
    </row>
    <row r="74" spans="1:4" hidden="1" x14ac:dyDescent="0.3">
      <c r="A74">
        <v>28</v>
      </c>
      <c r="B74">
        <v>240000</v>
      </c>
      <c r="C74">
        <v>243726.77122299999</v>
      </c>
      <c r="D74" t="s">
        <v>46</v>
      </c>
    </row>
    <row r="75" spans="1:4" hidden="1" x14ac:dyDescent="0.3">
      <c r="A75">
        <v>29</v>
      </c>
      <c r="B75">
        <v>245000</v>
      </c>
      <c r="C75">
        <v>240590.65342700001</v>
      </c>
      <c r="D75" t="s">
        <v>45</v>
      </c>
    </row>
    <row r="76" spans="1:4" hidden="1" x14ac:dyDescent="0.3">
      <c r="A76">
        <v>29</v>
      </c>
      <c r="B76">
        <v>245000</v>
      </c>
      <c r="C76">
        <v>243233.22068999999</v>
      </c>
      <c r="D76" t="s">
        <v>46</v>
      </c>
    </row>
    <row r="77" spans="1:4" hidden="1" x14ac:dyDescent="0.3">
      <c r="A77">
        <v>30</v>
      </c>
      <c r="B77">
        <v>250000</v>
      </c>
      <c r="C77">
        <v>240047.69926699999</v>
      </c>
      <c r="D77" t="s">
        <v>45</v>
      </c>
    </row>
    <row r="78" spans="1:4" hidden="1" x14ac:dyDescent="0.3">
      <c r="A78">
        <v>30</v>
      </c>
      <c r="B78">
        <v>250000</v>
      </c>
      <c r="C78">
        <v>242746.538463</v>
      </c>
      <c r="D78" t="s">
        <v>46</v>
      </c>
    </row>
    <row r="79" spans="1:4" hidden="1" x14ac:dyDescent="0.3">
      <c r="A79">
        <v>31</v>
      </c>
      <c r="B79">
        <v>255000</v>
      </c>
      <c r="C79">
        <v>239531.499755</v>
      </c>
      <c r="D79" t="s">
        <v>45</v>
      </c>
    </row>
    <row r="80" spans="1:4" hidden="1" x14ac:dyDescent="0.3">
      <c r="A80">
        <v>31</v>
      </c>
      <c r="B80">
        <v>255000</v>
      </c>
      <c r="C80">
        <v>242220.05739500001</v>
      </c>
      <c r="D80" t="s">
        <v>46</v>
      </c>
    </row>
    <row r="81" spans="1:4" hidden="1" x14ac:dyDescent="0.3">
      <c r="A81">
        <v>32</v>
      </c>
      <c r="B81">
        <v>260000</v>
      </c>
      <c r="C81">
        <v>239010.57830699999</v>
      </c>
      <c r="D81" t="s">
        <v>45</v>
      </c>
    </row>
    <row r="82" spans="1:4" hidden="1" x14ac:dyDescent="0.3">
      <c r="A82">
        <v>32</v>
      </c>
      <c r="B82">
        <v>260000</v>
      </c>
      <c r="C82">
        <v>241784.29868199999</v>
      </c>
      <c r="D82" t="s">
        <v>46</v>
      </c>
    </row>
    <row r="83" spans="1:4" hidden="1" x14ac:dyDescent="0.3">
      <c r="A83">
        <v>33</v>
      </c>
      <c r="B83">
        <v>265000</v>
      </c>
      <c r="C83">
        <v>238524.96465099999</v>
      </c>
      <c r="D83" t="s">
        <v>45</v>
      </c>
    </row>
    <row r="84" spans="1:4" hidden="1" x14ac:dyDescent="0.3">
      <c r="A84">
        <v>33</v>
      </c>
      <c r="B84">
        <v>265000</v>
      </c>
      <c r="C84">
        <v>241340.080342</v>
      </c>
      <c r="D84" t="s">
        <v>46</v>
      </c>
    </row>
    <row r="85" spans="1:4" hidden="1" x14ac:dyDescent="0.3">
      <c r="A85">
        <v>34</v>
      </c>
      <c r="B85">
        <v>270000</v>
      </c>
      <c r="C85">
        <v>238054.143495</v>
      </c>
      <c r="D85" t="s">
        <v>45</v>
      </c>
    </row>
    <row r="86" spans="1:4" hidden="1" x14ac:dyDescent="0.3">
      <c r="A86">
        <v>34</v>
      </c>
      <c r="B86">
        <v>270000</v>
      </c>
      <c r="C86">
        <v>240994.98097400001</v>
      </c>
      <c r="D86" t="s">
        <v>46</v>
      </c>
    </row>
    <row r="87" spans="1:4" hidden="1" x14ac:dyDescent="0.3">
      <c r="A87">
        <v>35</v>
      </c>
      <c r="B87">
        <v>275000</v>
      </c>
      <c r="C87">
        <v>237682.53136600001</v>
      </c>
      <c r="D87" t="s">
        <v>45</v>
      </c>
    </row>
    <row r="88" spans="1:4" hidden="1" x14ac:dyDescent="0.3">
      <c r="A88">
        <v>35</v>
      </c>
      <c r="B88">
        <v>275000</v>
      </c>
      <c r="C88">
        <v>240667.05547799999</v>
      </c>
      <c r="D88" t="s">
        <v>46</v>
      </c>
    </row>
    <row r="89" spans="1:4" hidden="1" x14ac:dyDescent="0.3">
      <c r="A89">
        <v>36</v>
      </c>
      <c r="B89">
        <v>280000</v>
      </c>
      <c r="C89">
        <v>237344.923351</v>
      </c>
      <c r="D89" t="s">
        <v>45</v>
      </c>
    </row>
    <row r="90" spans="1:4" hidden="1" x14ac:dyDescent="0.3">
      <c r="A90">
        <v>36</v>
      </c>
      <c r="B90">
        <v>280000</v>
      </c>
      <c r="C90">
        <v>240371.70606500001</v>
      </c>
      <c r="D90" t="s">
        <v>46</v>
      </c>
    </row>
    <row r="91" spans="1:4" hidden="1" x14ac:dyDescent="0.3">
      <c r="A91">
        <v>37</v>
      </c>
      <c r="B91">
        <v>285000</v>
      </c>
      <c r="C91">
        <v>236995.70568700001</v>
      </c>
      <c r="D91" t="s">
        <v>45</v>
      </c>
    </row>
    <row r="92" spans="1:4" hidden="1" x14ac:dyDescent="0.3">
      <c r="A92">
        <v>37</v>
      </c>
      <c r="B92">
        <v>285000</v>
      </c>
      <c r="C92">
        <v>240084.69772200001</v>
      </c>
      <c r="D92" t="s">
        <v>46</v>
      </c>
    </row>
    <row r="93" spans="1:4" hidden="1" x14ac:dyDescent="0.3">
      <c r="A93">
        <v>38</v>
      </c>
      <c r="B93">
        <v>290000</v>
      </c>
      <c r="C93">
        <v>236686.08374999999</v>
      </c>
      <c r="D93" t="s">
        <v>45</v>
      </c>
    </row>
    <row r="94" spans="1:4" hidden="1" x14ac:dyDescent="0.3">
      <c r="A94">
        <v>38</v>
      </c>
      <c r="B94">
        <v>290000</v>
      </c>
      <c r="C94">
        <v>239809.19821599999</v>
      </c>
      <c r="D94" t="s">
        <v>46</v>
      </c>
    </row>
    <row r="95" spans="1:4" hidden="1" x14ac:dyDescent="0.3">
      <c r="A95">
        <v>39</v>
      </c>
      <c r="B95">
        <v>295000</v>
      </c>
      <c r="C95">
        <v>236396.12483399999</v>
      </c>
      <c r="D95" t="s">
        <v>45</v>
      </c>
    </row>
    <row r="96" spans="1:4" hidden="1" x14ac:dyDescent="0.3">
      <c r="A96">
        <v>39</v>
      </c>
      <c r="B96">
        <v>295000</v>
      </c>
      <c r="C96">
        <v>239541.22274100001</v>
      </c>
      <c r="D96" t="s">
        <v>46</v>
      </c>
    </row>
    <row r="97" spans="1:4" hidden="1" x14ac:dyDescent="0.3">
      <c r="A97">
        <v>40</v>
      </c>
      <c r="B97">
        <v>300000</v>
      </c>
      <c r="C97">
        <v>236123.035179</v>
      </c>
      <c r="D97" t="s">
        <v>45</v>
      </c>
    </row>
    <row r="98" spans="1:4" hidden="1" x14ac:dyDescent="0.3">
      <c r="A98">
        <v>40</v>
      </c>
      <c r="B98">
        <v>300000</v>
      </c>
      <c r="C98">
        <v>239333.179878</v>
      </c>
      <c r="D98" t="s">
        <v>46</v>
      </c>
    </row>
    <row r="99" spans="1:4" hidden="1" x14ac:dyDescent="0.3">
      <c r="A99">
        <v>41</v>
      </c>
      <c r="B99">
        <v>305000</v>
      </c>
      <c r="C99">
        <v>235900.11620700001</v>
      </c>
      <c r="D99" t="s">
        <v>45</v>
      </c>
    </row>
    <row r="100" spans="1:4" hidden="1" x14ac:dyDescent="0.3">
      <c r="A100">
        <v>41</v>
      </c>
      <c r="B100">
        <v>305000</v>
      </c>
      <c r="C100">
        <v>239123.565497</v>
      </c>
      <c r="D100" t="s">
        <v>46</v>
      </c>
    </row>
    <row r="101" spans="1:4" hidden="1" x14ac:dyDescent="0.3">
      <c r="A101">
        <v>42</v>
      </c>
      <c r="B101">
        <v>310000</v>
      </c>
      <c r="C101">
        <v>235642.013301</v>
      </c>
      <c r="D101" t="s">
        <v>45</v>
      </c>
    </row>
    <row r="102" spans="1:4" hidden="1" x14ac:dyDescent="0.3">
      <c r="A102">
        <v>42</v>
      </c>
      <c r="B102">
        <v>310000</v>
      </c>
      <c r="C102">
        <v>238957.314251</v>
      </c>
      <c r="D102" t="s">
        <v>46</v>
      </c>
    </row>
    <row r="103" spans="1:4" hidden="1" x14ac:dyDescent="0.3">
      <c r="A103">
        <v>43</v>
      </c>
      <c r="B103">
        <v>315000</v>
      </c>
      <c r="C103">
        <v>235414.285034</v>
      </c>
      <c r="D103" t="s">
        <v>45</v>
      </c>
    </row>
    <row r="104" spans="1:4" hidden="1" x14ac:dyDescent="0.3">
      <c r="A104">
        <v>43</v>
      </c>
      <c r="B104">
        <v>315000</v>
      </c>
      <c r="C104">
        <v>238778.54795199999</v>
      </c>
      <c r="D104" t="s">
        <v>46</v>
      </c>
    </row>
    <row r="105" spans="1:4" hidden="1" x14ac:dyDescent="0.3">
      <c r="A105">
        <v>44</v>
      </c>
      <c r="B105">
        <v>320000</v>
      </c>
      <c r="C105">
        <v>235141.16809200001</v>
      </c>
      <c r="D105" t="s">
        <v>45</v>
      </c>
    </row>
    <row r="106" spans="1:4" hidden="1" x14ac:dyDescent="0.3">
      <c r="A106">
        <v>44</v>
      </c>
      <c r="B106">
        <v>320000</v>
      </c>
      <c r="C106">
        <v>238623.54113900001</v>
      </c>
      <c r="D106" t="s">
        <v>46</v>
      </c>
    </row>
    <row r="107" spans="1:4" hidden="1" x14ac:dyDescent="0.3">
      <c r="A107">
        <v>45</v>
      </c>
      <c r="B107">
        <v>325000</v>
      </c>
      <c r="C107">
        <v>234889.09547299999</v>
      </c>
      <c r="D107" t="s">
        <v>45</v>
      </c>
    </row>
    <row r="108" spans="1:4" hidden="1" x14ac:dyDescent="0.3">
      <c r="A108">
        <v>45</v>
      </c>
      <c r="B108">
        <v>325000</v>
      </c>
      <c r="C108">
        <v>238494.86339799999</v>
      </c>
      <c r="D108" t="s">
        <v>46</v>
      </c>
    </row>
    <row r="109" spans="1:4" hidden="1" x14ac:dyDescent="0.3">
      <c r="A109">
        <v>46</v>
      </c>
      <c r="B109">
        <v>330000</v>
      </c>
      <c r="C109">
        <v>234639.53292999999</v>
      </c>
      <c r="D109" t="s">
        <v>45</v>
      </c>
    </row>
    <row r="110" spans="1:4" hidden="1" x14ac:dyDescent="0.3">
      <c r="A110">
        <v>46</v>
      </c>
      <c r="B110">
        <v>330000</v>
      </c>
      <c r="C110">
        <v>238440.84305</v>
      </c>
      <c r="D110" t="s">
        <v>46</v>
      </c>
    </row>
    <row r="111" spans="1:4" hidden="1" x14ac:dyDescent="0.3">
      <c r="A111">
        <v>47</v>
      </c>
      <c r="B111">
        <v>335000</v>
      </c>
      <c r="C111">
        <v>234396.696096</v>
      </c>
      <c r="D111" t="s">
        <v>45</v>
      </c>
    </row>
    <row r="112" spans="1:4" hidden="1" x14ac:dyDescent="0.3">
      <c r="A112">
        <v>47</v>
      </c>
      <c r="B112">
        <v>335000</v>
      </c>
      <c r="C112">
        <v>238451.89108999999</v>
      </c>
      <c r="D112" t="s">
        <v>46</v>
      </c>
    </row>
    <row r="113" spans="1:4" hidden="1" x14ac:dyDescent="0.3">
      <c r="A113">
        <v>48</v>
      </c>
      <c r="B113">
        <v>340000</v>
      </c>
      <c r="C113">
        <v>234150.845141</v>
      </c>
      <c r="D113" t="s">
        <v>45</v>
      </c>
    </row>
    <row r="114" spans="1:4" hidden="1" x14ac:dyDescent="0.3">
      <c r="A114">
        <v>48</v>
      </c>
      <c r="B114">
        <v>340000</v>
      </c>
      <c r="C114">
        <v>238445.92582900001</v>
      </c>
      <c r="D114" t="s">
        <v>46</v>
      </c>
    </row>
    <row r="115" spans="1:4" hidden="1" x14ac:dyDescent="0.3">
      <c r="A115">
        <v>49</v>
      </c>
      <c r="B115">
        <v>345000</v>
      </c>
      <c r="C115">
        <v>233911.35823000001</v>
      </c>
      <c r="D115" t="s">
        <v>45</v>
      </c>
    </row>
    <row r="116" spans="1:4" hidden="1" x14ac:dyDescent="0.3">
      <c r="A116">
        <v>49</v>
      </c>
      <c r="B116">
        <v>345000</v>
      </c>
      <c r="C116">
        <v>238458.58859199999</v>
      </c>
      <c r="D116" t="s">
        <v>46</v>
      </c>
    </row>
    <row r="117" spans="1:4" hidden="1" x14ac:dyDescent="0.3">
      <c r="A117">
        <v>50</v>
      </c>
      <c r="B117">
        <v>350000</v>
      </c>
      <c r="C117">
        <v>233690.116358</v>
      </c>
      <c r="D117" t="s">
        <v>45</v>
      </c>
    </row>
    <row r="118" spans="1:4" hidden="1" x14ac:dyDescent="0.3">
      <c r="A118">
        <v>50</v>
      </c>
      <c r="B118">
        <v>350000</v>
      </c>
      <c r="C118">
        <v>238442.411464</v>
      </c>
      <c r="D118" t="s">
        <v>46</v>
      </c>
    </row>
    <row r="119" spans="1:4" hidden="1" x14ac:dyDescent="0.3">
      <c r="A119">
        <v>51</v>
      </c>
      <c r="B119">
        <v>355000</v>
      </c>
      <c r="C119">
        <v>233445.53253699999</v>
      </c>
      <c r="D119" t="s">
        <v>45</v>
      </c>
    </row>
    <row r="120" spans="1:4" hidden="1" x14ac:dyDescent="0.3">
      <c r="A120">
        <v>52</v>
      </c>
      <c r="B120">
        <v>360000</v>
      </c>
      <c r="C120">
        <v>233220.80556400001</v>
      </c>
      <c r="D120" t="s">
        <v>45</v>
      </c>
    </row>
    <row r="121" spans="1:4" hidden="1" x14ac:dyDescent="0.3">
      <c r="A121">
        <v>53</v>
      </c>
      <c r="B121">
        <v>365000</v>
      </c>
      <c r="C121">
        <v>233013.550288</v>
      </c>
      <c r="D121" t="s">
        <v>45</v>
      </c>
    </row>
    <row r="122" spans="1:4" hidden="1" x14ac:dyDescent="0.3">
      <c r="A122">
        <v>54</v>
      </c>
      <c r="B122">
        <v>370000</v>
      </c>
      <c r="C122">
        <v>232803.78734000001</v>
      </c>
      <c r="D122" t="s">
        <v>45</v>
      </c>
    </row>
    <row r="123" spans="1:4" hidden="1" x14ac:dyDescent="0.3">
      <c r="A123">
        <v>55</v>
      </c>
      <c r="B123">
        <v>375000</v>
      </c>
      <c r="C123">
        <v>232620.992126</v>
      </c>
      <c r="D123" t="s">
        <v>45</v>
      </c>
    </row>
    <row r="124" spans="1:4" hidden="1" x14ac:dyDescent="0.3">
      <c r="A124">
        <v>56</v>
      </c>
      <c r="B124">
        <v>380000</v>
      </c>
      <c r="C124">
        <v>232471.88763300001</v>
      </c>
      <c r="D124" t="s">
        <v>45</v>
      </c>
    </row>
    <row r="125" spans="1:4" hidden="1" x14ac:dyDescent="0.3">
      <c r="A125">
        <v>57</v>
      </c>
      <c r="B125">
        <v>385000</v>
      </c>
      <c r="C125">
        <v>232306.16099100001</v>
      </c>
      <c r="D125" t="s">
        <v>45</v>
      </c>
    </row>
    <row r="126" spans="1:4" hidden="1" x14ac:dyDescent="0.3">
      <c r="A126">
        <v>58</v>
      </c>
      <c r="B126">
        <v>390000</v>
      </c>
      <c r="C126">
        <v>232149.263764</v>
      </c>
      <c r="D126" t="s">
        <v>45</v>
      </c>
    </row>
    <row r="127" spans="1:4" hidden="1" x14ac:dyDescent="0.3">
      <c r="A127">
        <v>59</v>
      </c>
      <c r="B127">
        <v>395000</v>
      </c>
      <c r="C127">
        <v>232009.838827</v>
      </c>
      <c r="D127" t="s">
        <v>45</v>
      </c>
    </row>
    <row r="128" spans="1:4" hidden="1" x14ac:dyDescent="0.3">
      <c r="A128">
        <v>60</v>
      </c>
      <c r="B128">
        <v>400000</v>
      </c>
      <c r="C128">
        <v>231882.274061</v>
      </c>
      <c r="D128" t="s">
        <v>45</v>
      </c>
    </row>
    <row r="129" spans="1:4" hidden="1" x14ac:dyDescent="0.3">
      <c r="A129">
        <v>61</v>
      </c>
      <c r="B129">
        <v>405000</v>
      </c>
      <c r="C129">
        <v>231763.44177899999</v>
      </c>
      <c r="D129" t="s">
        <v>45</v>
      </c>
    </row>
    <row r="130" spans="1:4" hidden="1" x14ac:dyDescent="0.3">
      <c r="A130">
        <v>62</v>
      </c>
      <c r="B130">
        <v>410000</v>
      </c>
      <c r="C130">
        <v>231633.87149799999</v>
      </c>
      <c r="D130" t="s">
        <v>45</v>
      </c>
    </row>
    <row r="131" spans="1:4" hidden="1" x14ac:dyDescent="0.3">
      <c r="A131">
        <v>63</v>
      </c>
      <c r="B131">
        <v>415000</v>
      </c>
      <c r="C131">
        <v>231511.08336799999</v>
      </c>
      <c r="D131" t="s">
        <v>45</v>
      </c>
    </row>
    <row r="132" spans="1:4" hidden="1" x14ac:dyDescent="0.3">
      <c r="A132">
        <v>64</v>
      </c>
      <c r="B132">
        <v>420000</v>
      </c>
      <c r="C132">
        <v>231373.92004</v>
      </c>
      <c r="D132" t="s">
        <v>45</v>
      </c>
    </row>
    <row r="133" spans="1:4" hidden="1" x14ac:dyDescent="0.3">
      <c r="A133">
        <v>65</v>
      </c>
      <c r="B133">
        <v>425000</v>
      </c>
      <c r="C133">
        <v>231230.17717499999</v>
      </c>
      <c r="D133" t="s">
        <v>45</v>
      </c>
    </row>
    <row r="134" spans="1:4" hidden="1" x14ac:dyDescent="0.3">
      <c r="A134">
        <v>66</v>
      </c>
      <c r="B134">
        <v>430000</v>
      </c>
      <c r="C134">
        <v>231096.447996</v>
      </c>
      <c r="D134" t="s">
        <v>45</v>
      </c>
    </row>
    <row r="135" spans="1:4" hidden="1" x14ac:dyDescent="0.3">
      <c r="A135">
        <v>67</v>
      </c>
      <c r="B135">
        <v>435000</v>
      </c>
      <c r="C135">
        <v>230978.46144300001</v>
      </c>
      <c r="D135" t="s">
        <v>45</v>
      </c>
    </row>
    <row r="136" spans="1:4" hidden="1" x14ac:dyDescent="0.3">
      <c r="A136">
        <v>68</v>
      </c>
      <c r="B136">
        <v>440000</v>
      </c>
      <c r="C136">
        <v>230862.92511899999</v>
      </c>
      <c r="D136" t="s">
        <v>45</v>
      </c>
    </row>
    <row r="137" spans="1:4" hidden="1" x14ac:dyDescent="0.3">
      <c r="A137">
        <v>69</v>
      </c>
      <c r="B137">
        <v>445000</v>
      </c>
      <c r="C137">
        <v>230748.573213</v>
      </c>
      <c r="D137" t="s">
        <v>45</v>
      </c>
    </row>
    <row r="138" spans="1:4" hidden="1" x14ac:dyDescent="0.3">
      <c r="A138">
        <v>70</v>
      </c>
      <c r="B138">
        <v>450000</v>
      </c>
      <c r="C138">
        <v>230653.17514599999</v>
      </c>
      <c r="D138" t="s">
        <v>45</v>
      </c>
    </row>
    <row r="139" spans="1:4" hidden="1" x14ac:dyDescent="0.3">
      <c r="A139">
        <v>71</v>
      </c>
      <c r="B139">
        <v>455000</v>
      </c>
      <c r="C139">
        <v>230525.129384</v>
      </c>
      <c r="D139" t="s">
        <v>45</v>
      </c>
    </row>
    <row r="140" spans="1:4" hidden="1" x14ac:dyDescent="0.3">
      <c r="A140">
        <v>72</v>
      </c>
      <c r="B140">
        <v>460000</v>
      </c>
      <c r="C140">
        <v>230446.19109099999</v>
      </c>
      <c r="D140" t="s">
        <v>45</v>
      </c>
    </row>
    <row r="141" spans="1:4" hidden="1" x14ac:dyDescent="0.3">
      <c r="A141">
        <v>73</v>
      </c>
      <c r="B141">
        <v>465000</v>
      </c>
      <c r="C141">
        <v>230359.38039999999</v>
      </c>
      <c r="D141" t="s">
        <v>45</v>
      </c>
    </row>
    <row r="142" spans="1:4" hidden="1" x14ac:dyDescent="0.3">
      <c r="A142">
        <v>74</v>
      </c>
      <c r="B142">
        <v>470000</v>
      </c>
      <c r="C142">
        <v>230245.47980100001</v>
      </c>
      <c r="D142" t="s">
        <v>45</v>
      </c>
    </row>
    <row r="143" spans="1:4" hidden="1" x14ac:dyDescent="0.3">
      <c r="A143">
        <v>75</v>
      </c>
      <c r="B143">
        <v>475000</v>
      </c>
      <c r="C143">
        <v>230153.95745099999</v>
      </c>
      <c r="D143" t="s">
        <v>45</v>
      </c>
    </row>
    <row r="144" spans="1:4" hidden="1" x14ac:dyDescent="0.3">
      <c r="A144">
        <v>76</v>
      </c>
      <c r="B144">
        <v>480000</v>
      </c>
      <c r="C144">
        <v>230062.09575199999</v>
      </c>
      <c r="D144" t="s">
        <v>45</v>
      </c>
    </row>
    <row r="145" spans="1:4" hidden="1" x14ac:dyDescent="0.3">
      <c r="A145">
        <v>77</v>
      </c>
      <c r="B145">
        <v>485000</v>
      </c>
      <c r="C145">
        <v>229968.37546400001</v>
      </c>
      <c r="D145" t="s">
        <v>45</v>
      </c>
    </row>
    <row r="146" spans="1:4" hidden="1" x14ac:dyDescent="0.3">
      <c r="A146">
        <v>78</v>
      </c>
      <c r="B146">
        <v>490000</v>
      </c>
      <c r="C146">
        <v>229868.11596299999</v>
      </c>
      <c r="D146" t="s">
        <v>45</v>
      </c>
    </row>
    <row r="147" spans="1:4" hidden="1" x14ac:dyDescent="0.3">
      <c r="A147">
        <v>79</v>
      </c>
      <c r="B147">
        <v>495000</v>
      </c>
      <c r="C147">
        <v>229810.853588</v>
      </c>
      <c r="D147" t="s">
        <v>45</v>
      </c>
    </row>
    <row r="148" spans="1:4" hidden="1" x14ac:dyDescent="0.3">
      <c r="A148">
        <v>80</v>
      </c>
      <c r="B148">
        <v>500000</v>
      </c>
      <c r="C148">
        <v>229685.10768700001</v>
      </c>
      <c r="D148" t="s">
        <v>45</v>
      </c>
    </row>
    <row r="149" spans="1:4" hidden="1" x14ac:dyDescent="0.3">
      <c r="A149">
        <v>81</v>
      </c>
      <c r="B149">
        <v>505000</v>
      </c>
      <c r="C149">
        <v>229613.050155</v>
      </c>
      <c r="D149" t="s">
        <v>45</v>
      </c>
    </row>
    <row r="150" spans="1:4" hidden="1" x14ac:dyDescent="0.3">
      <c r="A150">
        <v>82</v>
      </c>
      <c r="B150">
        <v>510000</v>
      </c>
      <c r="C150">
        <v>229516.787843</v>
      </c>
      <c r="D150" t="s">
        <v>45</v>
      </c>
    </row>
    <row r="151" spans="1:4" hidden="1" x14ac:dyDescent="0.3">
      <c r="A151">
        <v>83</v>
      </c>
      <c r="B151">
        <v>515000</v>
      </c>
      <c r="C151">
        <v>229441.92554500001</v>
      </c>
      <c r="D151" t="s">
        <v>45</v>
      </c>
    </row>
    <row r="152" spans="1:4" hidden="1" x14ac:dyDescent="0.3">
      <c r="A152">
        <v>84</v>
      </c>
      <c r="B152">
        <v>520000</v>
      </c>
      <c r="C152">
        <v>229333.728474</v>
      </c>
      <c r="D152" t="s">
        <v>45</v>
      </c>
    </row>
    <row r="153" spans="1:4" hidden="1" x14ac:dyDescent="0.3">
      <c r="A153">
        <v>85</v>
      </c>
      <c r="B153">
        <v>525000</v>
      </c>
      <c r="C153">
        <v>229273.73811899999</v>
      </c>
      <c r="D153" t="s">
        <v>45</v>
      </c>
    </row>
    <row r="154" spans="1:4" hidden="1" x14ac:dyDescent="0.3">
      <c r="A154">
        <v>86</v>
      </c>
      <c r="B154">
        <v>530000</v>
      </c>
      <c r="C154">
        <v>229182.84281100001</v>
      </c>
      <c r="D154" t="s">
        <v>45</v>
      </c>
    </row>
    <row r="155" spans="1:4" hidden="1" x14ac:dyDescent="0.3">
      <c r="A155">
        <v>87</v>
      </c>
      <c r="B155">
        <v>535000</v>
      </c>
      <c r="C155">
        <v>229093.883803</v>
      </c>
      <c r="D155" t="s">
        <v>45</v>
      </c>
    </row>
    <row r="156" spans="1:4" hidden="1" x14ac:dyDescent="0.3">
      <c r="A156">
        <v>88</v>
      </c>
      <c r="B156">
        <v>540000</v>
      </c>
      <c r="C156">
        <v>229011.10003199999</v>
      </c>
      <c r="D156" t="s">
        <v>45</v>
      </c>
    </row>
    <row r="157" spans="1:4" hidden="1" x14ac:dyDescent="0.3">
      <c r="A157">
        <v>89</v>
      </c>
      <c r="B157">
        <v>545000</v>
      </c>
      <c r="C157">
        <v>228913.564308</v>
      </c>
      <c r="D157" t="s">
        <v>45</v>
      </c>
    </row>
    <row r="158" spans="1:4" hidden="1" x14ac:dyDescent="0.3">
      <c r="A158">
        <v>90</v>
      </c>
      <c r="B158">
        <v>550000</v>
      </c>
      <c r="C158">
        <v>228832.14740799999</v>
      </c>
      <c r="D158" t="s">
        <v>45</v>
      </c>
    </row>
    <row r="159" spans="1:4" hidden="1" x14ac:dyDescent="0.3">
      <c r="A159">
        <v>91</v>
      </c>
      <c r="B159">
        <v>555000</v>
      </c>
      <c r="C159">
        <v>228752.98261899999</v>
      </c>
      <c r="D159" t="s">
        <v>45</v>
      </c>
    </row>
    <row r="160" spans="1:4" hidden="1" x14ac:dyDescent="0.3">
      <c r="A160">
        <v>92</v>
      </c>
      <c r="B160">
        <v>560000</v>
      </c>
      <c r="C160">
        <v>228737.84727599999</v>
      </c>
      <c r="D160" t="s">
        <v>45</v>
      </c>
    </row>
    <row r="161" spans="1:4" hidden="1" x14ac:dyDescent="0.3">
      <c r="A161">
        <v>93</v>
      </c>
      <c r="B161">
        <v>565000</v>
      </c>
      <c r="C161">
        <v>228727.576038</v>
      </c>
      <c r="D161" t="s">
        <v>45</v>
      </c>
    </row>
    <row r="162" spans="1:4" hidden="1" x14ac:dyDescent="0.3">
      <c r="A162">
        <v>94</v>
      </c>
      <c r="B162">
        <v>570000</v>
      </c>
      <c r="C162">
        <v>228733.382105</v>
      </c>
      <c r="D162" t="s">
        <v>45</v>
      </c>
    </row>
    <row r="163" spans="1:4" hidden="1" x14ac:dyDescent="0.3">
      <c r="A163">
        <v>95</v>
      </c>
      <c r="B163">
        <v>575000</v>
      </c>
      <c r="C163">
        <v>228739.64419699999</v>
      </c>
      <c r="D163" t="s">
        <v>45</v>
      </c>
    </row>
    <row r="164" spans="1:4" hidden="1" x14ac:dyDescent="0.3">
      <c r="A164">
        <v>96</v>
      </c>
      <c r="B164">
        <v>580000</v>
      </c>
      <c r="C164">
        <v>228752.97332200001</v>
      </c>
      <c r="D164" t="s">
        <v>45</v>
      </c>
    </row>
    <row r="165" spans="1:4" hidden="1" x14ac:dyDescent="0.3">
      <c r="A165">
        <v>97</v>
      </c>
      <c r="B165">
        <v>585000</v>
      </c>
      <c r="C165">
        <v>228742.25139799999</v>
      </c>
      <c r="D165" t="s">
        <v>45</v>
      </c>
    </row>
    <row r="166" spans="1:4" hidden="1" x14ac:dyDescent="0.3">
      <c r="A166">
        <v>98</v>
      </c>
      <c r="B166">
        <v>590000</v>
      </c>
      <c r="C166">
        <v>228745.78900700001</v>
      </c>
      <c r="D166" t="s">
        <v>45</v>
      </c>
    </row>
    <row r="167" spans="1:4" hidden="1" x14ac:dyDescent="0.3">
      <c r="A167">
        <v>99</v>
      </c>
      <c r="B167">
        <v>595000</v>
      </c>
      <c r="C167">
        <v>228768.13871699999</v>
      </c>
      <c r="D167" t="s">
        <v>45</v>
      </c>
    </row>
    <row r="168" spans="1:4" hidden="1" x14ac:dyDescent="0.3">
      <c r="A168">
        <v>100</v>
      </c>
      <c r="B168">
        <v>600000</v>
      </c>
      <c r="C168">
        <v>228765.864195</v>
      </c>
      <c r="D168" t="s">
        <v>45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08"/>
  <sheetViews>
    <sheetView workbookViewId="0">
      <selection activeCell="E2" sqref="E2"/>
    </sheetView>
  </sheetViews>
  <sheetFormatPr baseColWidth="10" defaultColWidth="8.88671875" defaultRowHeight="14.4" x14ac:dyDescent="0.3"/>
  <cols>
    <col min="2" max="2" width="11.6640625" customWidth="1"/>
    <col min="3" max="3" width="26.33203125" customWidth="1"/>
    <col min="4" max="4" width="10.109375" customWidth="1"/>
    <col min="5" max="5" width="20.5546875" customWidth="1"/>
  </cols>
  <sheetData>
    <row r="1" spans="1:5" x14ac:dyDescent="0.3">
      <c r="A1" s="1" t="s">
        <v>0</v>
      </c>
      <c r="B1" s="1" t="s">
        <v>1</v>
      </c>
      <c r="C1" s="1" t="s">
        <v>44</v>
      </c>
      <c r="D1" s="1" t="s">
        <v>5</v>
      </c>
      <c r="E1" s="1" t="s">
        <v>3</v>
      </c>
    </row>
    <row r="2" spans="1:5" hidden="1" x14ac:dyDescent="0.3">
      <c r="A2">
        <v>0</v>
      </c>
      <c r="B2">
        <v>100000</v>
      </c>
      <c r="C2" t="s">
        <v>45</v>
      </c>
      <c r="D2" t="s">
        <v>6</v>
      </c>
      <c r="E2">
        <v>109.975328</v>
      </c>
    </row>
    <row r="3" spans="1:5" hidden="1" x14ac:dyDescent="0.3">
      <c r="A3">
        <v>0</v>
      </c>
      <c r="B3">
        <v>100000</v>
      </c>
      <c r="C3" t="s">
        <v>45</v>
      </c>
      <c r="D3" t="s">
        <v>7</v>
      </c>
      <c r="E3">
        <v>3.5416999999999997E-2</v>
      </c>
    </row>
    <row r="4" spans="1:5" hidden="1" x14ac:dyDescent="0.3">
      <c r="A4">
        <v>0</v>
      </c>
      <c r="B4">
        <v>100000</v>
      </c>
      <c r="C4" t="s">
        <v>45</v>
      </c>
      <c r="D4" t="s">
        <v>8</v>
      </c>
      <c r="E4">
        <v>388.89775900000001</v>
      </c>
    </row>
    <row r="5" spans="1:5" hidden="1" x14ac:dyDescent="0.3">
      <c r="A5">
        <v>0</v>
      </c>
      <c r="B5">
        <v>100000</v>
      </c>
      <c r="C5" t="s">
        <v>45</v>
      </c>
      <c r="D5" t="s">
        <v>9</v>
      </c>
      <c r="E5">
        <v>2.3022420000000001</v>
      </c>
    </row>
    <row r="6" spans="1:5" hidden="1" x14ac:dyDescent="0.3">
      <c r="A6">
        <v>0</v>
      </c>
      <c r="B6">
        <v>100000</v>
      </c>
      <c r="C6" t="s">
        <v>45</v>
      </c>
      <c r="D6" t="s">
        <v>10</v>
      </c>
      <c r="E6">
        <v>0.58133000000000001</v>
      </c>
    </row>
    <row r="7" spans="1:5" hidden="1" x14ac:dyDescent="0.3">
      <c r="A7">
        <v>0</v>
      </c>
      <c r="B7">
        <v>100000</v>
      </c>
      <c r="C7" t="s">
        <v>45</v>
      </c>
      <c r="D7" t="s">
        <v>11</v>
      </c>
      <c r="E7">
        <v>9106.333149</v>
      </c>
    </row>
    <row r="8" spans="1:5" hidden="1" x14ac:dyDescent="0.3">
      <c r="A8">
        <v>0</v>
      </c>
      <c r="B8">
        <v>100000</v>
      </c>
      <c r="C8" t="s">
        <v>45</v>
      </c>
      <c r="D8" t="s">
        <v>12</v>
      </c>
      <c r="E8">
        <v>32237.420760000001</v>
      </c>
    </row>
    <row r="9" spans="1:5" hidden="1" x14ac:dyDescent="0.3">
      <c r="A9">
        <v>0</v>
      </c>
      <c r="B9">
        <v>100000</v>
      </c>
      <c r="C9" t="s">
        <v>45</v>
      </c>
      <c r="D9" t="s">
        <v>13</v>
      </c>
      <c r="E9">
        <v>35431.344641000003</v>
      </c>
    </row>
    <row r="10" spans="1:5" hidden="1" x14ac:dyDescent="0.3">
      <c r="A10">
        <v>0</v>
      </c>
      <c r="B10">
        <v>100000</v>
      </c>
      <c r="C10" t="s">
        <v>45</v>
      </c>
      <c r="D10" t="s">
        <v>14</v>
      </c>
      <c r="E10">
        <v>4.8941999999999999E-2</v>
      </c>
    </row>
    <row r="11" spans="1:5" hidden="1" x14ac:dyDescent="0.3">
      <c r="A11">
        <v>0</v>
      </c>
      <c r="B11">
        <v>100000</v>
      </c>
      <c r="C11" t="s">
        <v>45</v>
      </c>
      <c r="D11" t="s">
        <v>15</v>
      </c>
      <c r="E11">
        <v>9.7160000000000007E-3</v>
      </c>
    </row>
    <row r="12" spans="1:5" hidden="1" x14ac:dyDescent="0.3">
      <c r="A12">
        <v>0</v>
      </c>
      <c r="B12">
        <v>100000</v>
      </c>
      <c r="C12" t="s">
        <v>45</v>
      </c>
      <c r="D12" t="s">
        <v>16</v>
      </c>
      <c r="E12">
        <v>1.8623000000000001E-2</v>
      </c>
    </row>
    <row r="13" spans="1:5" hidden="1" x14ac:dyDescent="0.3">
      <c r="A13">
        <v>0</v>
      </c>
      <c r="B13">
        <v>100000</v>
      </c>
      <c r="C13" t="s">
        <v>45</v>
      </c>
      <c r="D13" t="s">
        <v>17</v>
      </c>
      <c r="E13">
        <v>166.67525499999999</v>
      </c>
    </row>
    <row r="14" spans="1:5" hidden="1" x14ac:dyDescent="0.3">
      <c r="A14">
        <v>0</v>
      </c>
      <c r="B14">
        <v>100000</v>
      </c>
      <c r="C14" t="s">
        <v>45</v>
      </c>
      <c r="D14" t="s">
        <v>18</v>
      </c>
      <c r="E14">
        <v>0.84464700000000004</v>
      </c>
    </row>
    <row r="15" spans="1:5" hidden="1" x14ac:dyDescent="0.3">
      <c r="A15">
        <v>0</v>
      </c>
      <c r="B15">
        <v>100000</v>
      </c>
      <c r="C15" t="s">
        <v>45</v>
      </c>
      <c r="D15" t="s">
        <v>19</v>
      </c>
      <c r="E15">
        <v>4.9872E-2</v>
      </c>
    </row>
    <row r="16" spans="1:5" hidden="1" x14ac:dyDescent="0.3">
      <c r="A16">
        <v>0</v>
      </c>
      <c r="B16">
        <v>100000</v>
      </c>
      <c r="C16" t="s">
        <v>45</v>
      </c>
      <c r="D16" t="s">
        <v>20</v>
      </c>
      <c r="E16">
        <v>15166.675201</v>
      </c>
    </row>
    <row r="17" spans="1:5" hidden="1" x14ac:dyDescent="0.3">
      <c r="A17">
        <v>0</v>
      </c>
      <c r="B17">
        <v>100000</v>
      </c>
      <c r="C17" t="s">
        <v>45</v>
      </c>
      <c r="D17" t="s">
        <v>21</v>
      </c>
      <c r="E17">
        <v>1.2241E-2</v>
      </c>
    </row>
    <row r="18" spans="1:5" hidden="1" x14ac:dyDescent="0.3">
      <c r="A18">
        <v>0</v>
      </c>
      <c r="B18">
        <v>100000</v>
      </c>
      <c r="C18" t="s">
        <v>45</v>
      </c>
      <c r="D18" t="s">
        <v>22</v>
      </c>
      <c r="E18">
        <v>4.7758000000000002E-2</v>
      </c>
    </row>
    <row r="19" spans="1:5" hidden="1" x14ac:dyDescent="0.3">
      <c r="A19">
        <v>0</v>
      </c>
      <c r="B19">
        <v>100000</v>
      </c>
      <c r="C19" t="s">
        <v>45</v>
      </c>
      <c r="D19" t="s">
        <v>23</v>
      </c>
      <c r="E19">
        <v>4444.4537069999997</v>
      </c>
    </row>
    <row r="20" spans="1:5" hidden="1" x14ac:dyDescent="0.3">
      <c r="A20">
        <v>0</v>
      </c>
      <c r="B20">
        <v>100000</v>
      </c>
      <c r="C20" t="s">
        <v>45</v>
      </c>
      <c r="D20" t="s">
        <v>24</v>
      </c>
      <c r="E20">
        <v>9.7249999999999993E-3</v>
      </c>
    </row>
    <row r="21" spans="1:5" hidden="1" x14ac:dyDescent="0.3">
      <c r="A21">
        <v>0</v>
      </c>
      <c r="B21">
        <v>100000</v>
      </c>
      <c r="C21" t="s">
        <v>45</v>
      </c>
      <c r="D21" t="s">
        <v>25</v>
      </c>
      <c r="E21">
        <v>2944.4534870000002</v>
      </c>
    </row>
    <row r="22" spans="1:5" hidden="1" x14ac:dyDescent="0.3">
      <c r="A22">
        <v>0</v>
      </c>
      <c r="B22">
        <v>100000</v>
      </c>
      <c r="C22" t="s">
        <v>45</v>
      </c>
      <c r="D22" t="s">
        <v>26</v>
      </c>
      <c r="E22">
        <v>1.2393E-2</v>
      </c>
    </row>
    <row r="23" spans="1:5" hidden="1" x14ac:dyDescent="0.3">
      <c r="A23">
        <v>1</v>
      </c>
      <c r="B23">
        <v>105000</v>
      </c>
      <c r="C23" t="s">
        <v>45</v>
      </c>
      <c r="D23" t="s">
        <v>6</v>
      </c>
      <c r="E23">
        <v>0.30752000000000002</v>
      </c>
    </row>
    <row r="24" spans="1:5" hidden="1" x14ac:dyDescent="0.3">
      <c r="A24">
        <v>1</v>
      </c>
      <c r="B24">
        <v>105000</v>
      </c>
      <c r="C24" t="s">
        <v>45</v>
      </c>
      <c r="D24" t="s">
        <v>7</v>
      </c>
      <c r="E24">
        <v>0.16922000000000001</v>
      </c>
    </row>
    <row r="25" spans="1:5" hidden="1" x14ac:dyDescent="0.3">
      <c r="A25">
        <v>1</v>
      </c>
      <c r="B25">
        <v>105000</v>
      </c>
      <c r="C25" t="s">
        <v>45</v>
      </c>
      <c r="D25" t="s">
        <v>8</v>
      </c>
      <c r="E25">
        <v>0.71184099999999995</v>
      </c>
    </row>
    <row r="26" spans="1:5" hidden="1" x14ac:dyDescent="0.3">
      <c r="A26">
        <v>1</v>
      </c>
      <c r="B26">
        <v>105000</v>
      </c>
      <c r="C26" t="s">
        <v>45</v>
      </c>
      <c r="D26" t="s">
        <v>9</v>
      </c>
      <c r="E26">
        <v>1.1164320000000001</v>
      </c>
    </row>
    <row r="27" spans="1:5" hidden="1" x14ac:dyDescent="0.3">
      <c r="A27">
        <v>1</v>
      </c>
      <c r="B27">
        <v>105000</v>
      </c>
      <c r="C27" t="s">
        <v>45</v>
      </c>
      <c r="D27" t="s">
        <v>10</v>
      </c>
      <c r="E27">
        <v>0.25487100000000001</v>
      </c>
    </row>
    <row r="28" spans="1:5" hidden="1" x14ac:dyDescent="0.3">
      <c r="A28">
        <v>1</v>
      </c>
      <c r="B28">
        <v>105000</v>
      </c>
      <c r="C28" t="s">
        <v>45</v>
      </c>
      <c r="D28" t="s">
        <v>11</v>
      </c>
      <c r="E28">
        <v>9066.2017030000006</v>
      </c>
    </row>
    <row r="29" spans="1:5" hidden="1" x14ac:dyDescent="0.3">
      <c r="A29">
        <v>1</v>
      </c>
      <c r="B29">
        <v>105000</v>
      </c>
      <c r="C29" t="s">
        <v>45</v>
      </c>
      <c r="D29" t="s">
        <v>12</v>
      </c>
      <c r="E29">
        <v>37940.978604999997</v>
      </c>
    </row>
    <row r="30" spans="1:5" hidden="1" x14ac:dyDescent="0.3">
      <c r="A30">
        <v>1</v>
      </c>
      <c r="B30">
        <v>105000</v>
      </c>
      <c r="C30" t="s">
        <v>45</v>
      </c>
      <c r="D30" t="s">
        <v>13</v>
      </c>
      <c r="E30">
        <v>35430.362922</v>
      </c>
    </row>
    <row r="31" spans="1:5" hidden="1" x14ac:dyDescent="0.3">
      <c r="A31">
        <v>1</v>
      </c>
      <c r="B31">
        <v>105000</v>
      </c>
      <c r="C31" t="s">
        <v>45</v>
      </c>
      <c r="D31" t="s">
        <v>14</v>
      </c>
      <c r="E31">
        <v>0.17391499999999999</v>
      </c>
    </row>
    <row r="32" spans="1:5" hidden="1" x14ac:dyDescent="0.3">
      <c r="A32">
        <v>1</v>
      </c>
      <c r="B32">
        <v>105000</v>
      </c>
      <c r="C32" t="s">
        <v>45</v>
      </c>
      <c r="D32" t="s">
        <v>15</v>
      </c>
      <c r="E32">
        <v>2.7507E-2</v>
      </c>
    </row>
    <row r="33" spans="1:5" hidden="1" x14ac:dyDescent="0.3">
      <c r="A33">
        <v>1</v>
      </c>
      <c r="B33">
        <v>105000</v>
      </c>
      <c r="C33" t="s">
        <v>45</v>
      </c>
      <c r="D33" t="s">
        <v>16</v>
      </c>
      <c r="E33">
        <v>6.9022E-2</v>
      </c>
    </row>
    <row r="34" spans="1:5" hidden="1" x14ac:dyDescent="0.3">
      <c r="A34">
        <v>1</v>
      </c>
      <c r="B34">
        <v>105000</v>
      </c>
      <c r="C34" t="s">
        <v>45</v>
      </c>
      <c r="D34" t="s">
        <v>17</v>
      </c>
      <c r="E34">
        <v>0.22635</v>
      </c>
    </row>
    <row r="35" spans="1:5" hidden="1" x14ac:dyDescent="0.3">
      <c r="A35">
        <v>1</v>
      </c>
      <c r="B35">
        <v>105000</v>
      </c>
      <c r="C35" t="s">
        <v>45</v>
      </c>
      <c r="D35" t="s">
        <v>18</v>
      </c>
      <c r="E35">
        <v>3.4528759999999998</v>
      </c>
    </row>
    <row r="36" spans="1:5" hidden="1" x14ac:dyDescent="0.3">
      <c r="A36">
        <v>1</v>
      </c>
      <c r="B36">
        <v>105000</v>
      </c>
      <c r="C36" t="s">
        <v>45</v>
      </c>
      <c r="D36" t="s">
        <v>19</v>
      </c>
      <c r="E36">
        <v>0.204258</v>
      </c>
    </row>
    <row r="37" spans="1:5" hidden="1" x14ac:dyDescent="0.3">
      <c r="A37">
        <v>1</v>
      </c>
      <c r="B37">
        <v>105000</v>
      </c>
      <c r="C37" t="s">
        <v>45</v>
      </c>
      <c r="D37" t="s">
        <v>20</v>
      </c>
      <c r="E37">
        <v>15166.667416</v>
      </c>
    </row>
    <row r="38" spans="1:5" hidden="1" x14ac:dyDescent="0.3">
      <c r="A38">
        <v>1</v>
      </c>
      <c r="B38">
        <v>105000</v>
      </c>
      <c r="C38" t="s">
        <v>45</v>
      </c>
      <c r="D38" t="s">
        <v>21</v>
      </c>
      <c r="E38">
        <v>2.7061999999999999E-2</v>
      </c>
    </row>
    <row r="39" spans="1:5" hidden="1" x14ac:dyDescent="0.3">
      <c r="A39">
        <v>1</v>
      </c>
      <c r="B39">
        <v>105000</v>
      </c>
      <c r="C39" t="s">
        <v>45</v>
      </c>
      <c r="D39" t="s">
        <v>22</v>
      </c>
      <c r="E39">
        <v>0.17219599999999999</v>
      </c>
    </row>
    <row r="40" spans="1:5" hidden="1" x14ac:dyDescent="0.3">
      <c r="A40">
        <v>1</v>
      </c>
      <c r="B40">
        <v>105000</v>
      </c>
      <c r="C40" t="s">
        <v>45</v>
      </c>
      <c r="D40" t="s">
        <v>23</v>
      </c>
      <c r="E40">
        <v>4444.4456280000004</v>
      </c>
    </row>
    <row r="41" spans="1:5" hidden="1" x14ac:dyDescent="0.3">
      <c r="A41">
        <v>1</v>
      </c>
      <c r="B41">
        <v>105000</v>
      </c>
      <c r="C41" t="s">
        <v>45</v>
      </c>
      <c r="D41" t="s">
        <v>24</v>
      </c>
      <c r="E41">
        <v>2.7730000000000001E-2</v>
      </c>
    </row>
    <row r="42" spans="1:5" hidden="1" x14ac:dyDescent="0.3">
      <c r="A42">
        <v>1</v>
      </c>
      <c r="B42">
        <v>105000</v>
      </c>
      <c r="C42" t="s">
        <v>45</v>
      </c>
      <c r="D42" t="s">
        <v>25</v>
      </c>
      <c r="E42">
        <v>2944.4096129999998</v>
      </c>
    </row>
    <row r="43" spans="1:5" hidden="1" x14ac:dyDescent="0.3">
      <c r="A43">
        <v>1</v>
      </c>
      <c r="B43">
        <v>105000</v>
      </c>
      <c r="C43" t="s">
        <v>45</v>
      </c>
      <c r="D43" t="s">
        <v>26</v>
      </c>
      <c r="E43">
        <v>2.9315999999999998E-2</v>
      </c>
    </row>
    <row r="44" spans="1:5" hidden="1" x14ac:dyDescent="0.3">
      <c r="A44">
        <v>2</v>
      </c>
      <c r="B44">
        <v>110000</v>
      </c>
      <c r="C44" t="s">
        <v>45</v>
      </c>
      <c r="D44" t="s">
        <v>6</v>
      </c>
      <c r="E44">
        <v>0.168882</v>
      </c>
    </row>
    <row r="45" spans="1:5" hidden="1" x14ac:dyDescent="0.3">
      <c r="A45">
        <v>2</v>
      </c>
      <c r="B45">
        <v>110000</v>
      </c>
      <c r="C45" t="s">
        <v>45</v>
      </c>
      <c r="D45" t="s">
        <v>7</v>
      </c>
      <c r="E45">
        <v>0.18878500000000001</v>
      </c>
    </row>
    <row r="46" spans="1:5" hidden="1" x14ac:dyDescent="0.3">
      <c r="A46">
        <v>2</v>
      </c>
      <c r="B46">
        <v>110000</v>
      </c>
      <c r="C46" t="s">
        <v>45</v>
      </c>
      <c r="D46" t="s">
        <v>8</v>
      </c>
      <c r="E46">
        <v>0.26363900000000001</v>
      </c>
    </row>
    <row r="47" spans="1:5" hidden="1" x14ac:dyDescent="0.3">
      <c r="A47">
        <v>2</v>
      </c>
      <c r="B47">
        <v>110000</v>
      </c>
      <c r="C47" t="s">
        <v>45</v>
      </c>
      <c r="D47" t="s">
        <v>9</v>
      </c>
      <c r="E47">
        <v>0.64297599999999999</v>
      </c>
    </row>
    <row r="48" spans="1:5" hidden="1" x14ac:dyDescent="0.3">
      <c r="A48">
        <v>2</v>
      </c>
      <c r="B48">
        <v>110000</v>
      </c>
      <c r="C48" t="s">
        <v>45</v>
      </c>
      <c r="D48" t="s">
        <v>10</v>
      </c>
      <c r="E48">
        <v>0.15323300000000001</v>
      </c>
    </row>
    <row r="49" spans="1:5" hidden="1" x14ac:dyDescent="0.3">
      <c r="A49">
        <v>2</v>
      </c>
      <c r="B49">
        <v>110000</v>
      </c>
      <c r="C49" t="s">
        <v>45</v>
      </c>
      <c r="D49" t="s">
        <v>11</v>
      </c>
      <c r="E49">
        <v>17975.742577000001</v>
      </c>
    </row>
    <row r="50" spans="1:5" hidden="1" x14ac:dyDescent="0.3">
      <c r="A50">
        <v>2</v>
      </c>
      <c r="B50">
        <v>110000</v>
      </c>
      <c r="C50" t="s">
        <v>45</v>
      </c>
      <c r="D50" t="s">
        <v>12</v>
      </c>
      <c r="E50">
        <v>36976.310024999999</v>
      </c>
    </row>
    <row r="51" spans="1:5" hidden="1" x14ac:dyDescent="0.3">
      <c r="A51">
        <v>2</v>
      </c>
      <c r="B51">
        <v>110000</v>
      </c>
      <c r="C51" t="s">
        <v>45</v>
      </c>
      <c r="D51" t="s">
        <v>13</v>
      </c>
      <c r="E51">
        <v>35431.345133000003</v>
      </c>
    </row>
    <row r="52" spans="1:5" hidden="1" x14ac:dyDescent="0.3">
      <c r="A52">
        <v>2</v>
      </c>
      <c r="B52">
        <v>110000</v>
      </c>
      <c r="C52" t="s">
        <v>45</v>
      </c>
      <c r="D52" t="s">
        <v>14</v>
      </c>
      <c r="E52">
        <v>0.18439</v>
      </c>
    </row>
    <row r="53" spans="1:5" hidden="1" x14ac:dyDescent="0.3">
      <c r="A53">
        <v>2</v>
      </c>
      <c r="B53">
        <v>110000</v>
      </c>
      <c r="C53" t="s">
        <v>45</v>
      </c>
      <c r="D53" t="s">
        <v>15</v>
      </c>
      <c r="E53">
        <v>2.4830999999999999E-2</v>
      </c>
    </row>
    <row r="54" spans="1:5" hidden="1" x14ac:dyDescent="0.3">
      <c r="A54">
        <v>2</v>
      </c>
      <c r="B54">
        <v>110000</v>
      </c>
      <c r="C54" t="s">
        <v>45</v>
      </c>
      <c r="D54" t="s">
        <v>16</v>
      </c>
      <c r="E54">
        <v>7.4695999999999999E-2</v>
      </c>
    </row>
    <row r="55" spans="1:5" hidden="1" x14ac:dyDescent="0.3">
      <c r="A55">
        <v>2</v>
      </c>
      <c r="B55">
        <v>110000</v>
      </c>
      <c r="C55" t="s">
        <v>45</v>
      </c>
      <c r="D55" t="s">
        <v>17</v>
      </c>
      <c r="E55">
        <v>0.113889</v>
      </c>
    </row>
    <row r="56" spans="1:5" hidden="1" x14ac:dyDescent="0.3">
      <c r="A56">
        <v>2</v>
      </c>
      <c r="B56">
        <v>110000</v>
      </c>
      <c r="C56" t="s">
        <v>45</v>
      </c>
      <c r="D56" t="s">
        <v>18</v>
      </c>
      <c r="E56">
        <v>2.4015110000000002</v>
      </c>
    </row>
    <row r="57" spans="1:5" hidden="1" x14ac:dyDescent="0.3">
      <c r="A57">
        <v>2</v>
      </c>
      <c r="B57">
        <v>110000</v>
      </c>
      <c r="C57" t="s">
        <v>45</v>
      </c>
      <c r="D57" t="s">
        <v>19</v>
      </c>
      <c r="E57">
        <v>0.24914700000000001</v>
      </c>
    </row>
    <row r="58" spans="1:5" hidden="1" x14ac:dyDescent="0.3">
      <c r="A58">
        <v>2</v>
      </c>
      <c r="B58">
        <v>110000</v>
      </c>
      <c r="C58" t="s">
        <v>45</v>
      </c>
      <c r="D58" t="s">
        <v>20</v>
      </c>
      <c r="E58">
        <v>15166.667665000001</v>
      </c>
    </row>
    <row r="59" spans="1:5" hidden="1" x14ac:dyDescent="0.3">
      <c r="A59">
        <v>2</v>
      </c>
      <c r="B59">
        <v>110000</v>
      </c>
      <c r="C59" t="s">
        <v>45</v>
      </c>
      <c r="D59" t="s">
        <v>21</v>
      </c>
      <c r="E59">
        <v>2.1423999999999999E-2</v>
      </c>
    </row>
    <row r="60" spans="1:5" hidden="1" x14ac:dyDescent="0.3">
      <c r="A60">
        <v>2</v>
      </c>
      <c r="B60">
        <v>110000</v>
      </c>
      <c r="C60" t="s">
        <v>45</v>
      </c>
      <c r="D60" t="s">
        <v>22</v>
      </c>
      <c r="E60">
        <v>0.18678500000000001</v>
      </c>
    </row>
    <row r="61" spans="1:5" hidden="1" x14ac:dyDescent="0.3">
      <c r="A61">
        <v>2</v>
      </c>
      <c r="B61">
        <v>110000</v>
      </c>
      <c r="C61" t="s">
        <v>45</v>
      </c>
      <c r="D61" t="s">
        <v>23</v>
      </c>
      <c r="E61">
        <v>4444.4457309999998</v>
      </c>
    </row>
    <row r="62" spans="1:5" hidden="1" x14ac:dyDescent="0.3">
      <c r="A62">
        <v>2</v>
      </c>
      <c r="B62">
        <v>110000</v>
      </c>
      <c r="C62" t="s">
        <v>45</v>
      </c>
      <c r="D62" t="s">
        <v>24</v>
      </c>
      <c r="E62">
        <v>2.5131000000000001E-2</v>
      </c>
    </row>
    <row r="63" spans="1:5" hidden="1" x14ac:dyDescent="0.3">
      <c r="A63">
        <v>2</v>
      </c>
      <c r="B63">
        <v>110000</v>
      </c>
      <c r="C63" t="s">
        <v>45</v>
      </c>
      <c r="D63" t="s">
        <v>25</v>
      </c>
      <c r="E63">
        <v>0.80130000000000001</v>
      </c>
    </row>
    <row r="64" spans="1:5" hidden="1" x14ac:dyDescent="0.3">
      <c r="A64">
        <v>2</v>
      </c>
      <c r="B64">
        <v>110000</v>
      </c>
      <c r="C64" t="s">
        <v>45</v>
      </c>
      <c r="D64" t="s">
        <v>26</v>
      </c>
      <c r="E64">
        <v>2.3168000000000001E-2</v>
      </c>
    </row>
    <row r="65" spans="1:5" hidden="1" x14ac:dyDescent="0.3">
      <c r="A65">
        <v>3</v>
      </c>
      <c r="B65">
        <v>115000</v>
      </c>
      <c r="C65" t="s">
        <v>45</v>
      </c>
      <c r="D65" t="s">
        <v>6</v>
      </c>
      <c r="E65">
        <v>0.63800500000000004</v>
      </c>
    </row>
    <row r="66" spans="1:5" hidden="1" x14ac:dyDescent="0.3">
      <c r="A66">
        <v>3</v>
      </c>
      <c r="B66">
        <v>115000</v>
      </c>
      <c r="C66" t="s">
        <v>45</v>
      </c>
      <c r="D66" t="s">
        <v>7</v>
      </c>
      <c r="E66">
        <v>0.79974999999999996</v>
      </c>
    </row>
    <row r="67" spans="1:5" hidden="1" x14ac:dyDescent="0.3">
      <c r="A67">
        <v>3</v>
      </c>
      <c r="B67">
        <v>115000</v>
      </c>
      <c r="C67" t="s">
        <v>45</v>
      </c>
      <c r="D67" t="s">
        <v>8</v>
      </c>
      <c r="E67">
        <v>1.0161279999999999</v>
      </c>
    </row>
    <row r="68" spans="1:5" hidden="1" x14ac:dyDescent="0.3">
      <c r="A68">
        <v>3</v>
      </c>
      <c r="B68">
        <v>115000</v>
      </c>
      <c r="C68" t="s">
        <v>45</v>
      </c>
      <c r="D68" t="s">
        <v>9</v>
      </c>
      <c r="E68">
        <v>2.3876080000000002</v>
      </c>
    </row>
    <row r="69" spans="1:5" hidden="1" x14ac:dyDescent="0.3">
      <c r="A69">
        <v>3</v>
      </c>
      <c r="B69">
        <v>115000</v>
      </c>
      <c r="C69" t="s">
        <v>45</v>
      </c>
      <c r="D69" t="s">
        <v>10</v>
      </c>
      <c r="E69">
        <v>0.57175399999999998</v>
      </c>
    </row>
    <row r="70" spans="1:5" hidden="1" x14ac:dyDescent="0.3">
      <c r="A70">
        <v>3</v>
      </c>
      <c r="B70">
        <v>115000</v>
      </c>
      <c r="C70" t="s">
        <v>45</v>
      </c>
      <c r="D70" t="s">
        <v>11</v>
      </c>
      <c r="E70">
        <v>18531.755155999999</v>
      </c>
    </row>
    <row r="71" spans="1:5" hidden="1" x14ac:dyDescent="0.3">
      <c r="A71">
        <v>3</v>
      </c>
      <c r="B71">
        <v>115000</v>
      </c>
      <c r="C71" t="s">
        <v>45</v>
      </c>
      <c r="D71" t="s">
        <v>12</v>
      </c>
      <c r="E71">
        <v>41404.683733999998</v>
      </c>
    </row>
    <row r="72" spans="1:5" hidden="1" x14ac:dyDescent="0.3">
      <c r="A72">
        <v>3</v>
      </c>
      <c r="B72">
        <v>115000</v>
      </c>
      <c r="C72" t="s">
        <v>45</v>
      </c>
      <c r="D72" t="s">
        <v>13</v>
      </c>
      <c r="E72">
        <v>35431.283616000001</v>
      </c>
    </row>
    <row r="73" spans="1:5" hidden="1" x14ac:dyDescent="0.3">
      <c r="A73">
        <v>3</v>
      </c>
      <c r="B73">
        <v>115000</v>
      </c>
      <c r="C73" t="s">
        <v>45</v>
      </c>
      <c r="D73" t="s">
        <v>14</v>
      </c>
      <c r="E73">
        <v>0.75102000000000002</v>
      </c>
    </row>
    <row r="74" spans="1:5" hidden="1" x14ac:dyDescent="0.3">
      <c r="A74">
        <v>3</v>
      </c>
      <c r="B74">
        <v>115000</v>
      </c>
      <c r="C74" t="s">
        <v>45</v>
      </c>
      <c r="D74" t="s">
        <v>15</v>
      </c>
      <c r="E74">
        <v>9.6820000000000003E-2</v>
      </c>
    </row>
    <row r="75" spans="1:5" hidden="1" x14ac:dyDescent="0.3">
      <c r="A75">
        <v>3</v>
      </c>
      <c r="B75">
        <v>115000</v>
      </c>
      <c r="C75" t="s">
        <v>45</v>
      </c>
      <c r="D75" t="s">
        <v>16</v>
      </c>
      <c r="E75">
        <v>0.30859700000000001</v>
      </c>
    </row>
    <row r="76" spans="1:5" hidden="1" x14ac:dyDescent="0.3">
      <c r="A76">
        <v>3</v>
      </c>
      <c r="B76">
        <v>115000</v>
      </c>
      <c r="C76" t="s">
        <v>45</v>
      </c>
      <c r="D76" t="s">
        <v>17</v>
      </c>
      <c r="E76">
        <v>0.43912400000000001</v>
      </c>
    </row>
    <row r="77" spans="1:5" hidden="1" x14ac:dyDescent="0.3">
      <c r="A77">
        <v>3</v>
      </c>
      <c r="B77">
        <v>115000</v>
      </c>
      <c r="C77" t="s">
        <v>45</v>
      </c>
      <c r="D77" t="s">
        <v>18</v>
      </c>
      <c r="E77">
        <v>9.1692809999999998</v>
      </c>
    </row>
    <row r="78" spans="1:5" hidden="1" x14ac:dyDescent="0.3">
      <c r="A78">
        <v>3</v>
      </c>
      <c r="B78">
        <v>115000</v>
      </c>
      <c r="C78" t="s">
        <v>45</v>
      </c>
      <c r="D78" t="s">
        <v>19</v>
      </c>
      <c r="E78">
        <v>1.044759</v>
      </c>
    </row>
    <row r="79" spans="1:5" hidden="1" x14ac:dyDescent="0.3">
      <c r="A79">
        <v>3</v>
      </c>
      <c r="B79">
        <v>115000</v>
      </c>
      <c r="C79" t="s">
        <v>45</v>
      </c>
      <c r="D79" t="s">
        <v>20</v>
      </c>
      <c r="E79">
        <v>15166.668406000001</v>
      </c>
    </row>
    <row r="80" spans="1:5" hidden="1" x14ac:dyDescent="0.3">
      <c r="A80">
        <v>3</v>
      </c>
      <c r="B80">
        <v>115000</v>
      </c>
      <c r="C80" t="s">
        <v>45</v>
      </c>
      <c r="D80" t="s">
        <v>21</v>
      </c>
      <c r="E80">
        <v>8.3228999999999997E-2</v>
      </c>
    </row>
    <row r="81" spans="1:5" hidden="1" x14ac:dyDescent="0.3">
      <c r="A81">
        <v>3</v>
      </c>
      <c r="B81">
        <v>115000</v>
      </c>
      <c r="C81" t="s">
        <v>45</v>
      </c>
      <c r="D81" t="s">
        <v>22</v>
      </c>
      <c r="E81">
        <v>0.71878699999999995</v>
      </c>
    </row>
    <row r="82" spans="1:5" hidden="1" x14ac:dyDescent="0.3">
      <c r="A82">
        <v>3</v>
      </c>
      <c r="B82">
        <v>115000</v>
      </c>
      <c r="C82" t="s">
        <v>45</v>
      </c>
      <c r="D82" t="s">
        <v>23</v>
      </c>
      <c r="E82">
        <v>4444.4475220000004</v>
      </c>
    </row>
    <row r="83" spans="1:5" hidden="1" x14ac:dyDescent="0.3">
      <c r="A83">
        <v>3</v>
      </c>
      <c r="B83">
        <v>115000</v>
      </c>
      <c r="C83" t="s">
        <v>45</v>
      </c>
      <c r="D83" t="s">
        <v>24</v>
      </c>
      <c r="E83">
        <v>9.8050999999999999E-2</v>
      </c>
    </row>
    <row r="84" spans="1:5" hidden="1" x14ac:dyDescent="0.3">
      <c r="A84">
        <v>3</v>
      </c>
      <c r="B84">
        <v>115000</v>
      </c>
      <c r="C84" t="s">
        <v>45</v>
      </c>
      <c r="D84" t="s">
        <v>25</v>
      </c>
      <c r="E84">
        <v>3.0413000000000001</v>
      </c>
    </row>
    <row r="85" spans="1:5" hidden="1" x14ac:dyDescent="0.3">
      <c r="A85">
        <v>3</v>
      </c>
      <c r="B85">
        <v>115000</v>
      </c>
      <c r="C85" t="s">
        <v>45</v>
      </c>
      <c r="D85" t="s">
        <v>26</v>
      </c>
      <c r="E85">
        <v>9.2798000000000005E-2</v>
      </c>
    </row>
    <row r="86" spans="1:5" hidden="1" x14ac:dyDescent="0.3">
      <c r="A86">
        <v>4</v>
      </c>
      <c r="B86">
        <v>120000</v>
      </c>
      <c r="C86" t="s">
        <v>45</v>
      </c>
      <c r="D86" t="s">
        <v>6</v>
      </c>
      <c r="E86">
        <v>0.49724699999999999</v>
      </c>
    </row>
    <row r="87" spans="1:5" hidden="1" x14ac:dyDescent="0.3">
      <c r="A87">
        <v>4</v>
      </c>
      <c r="B87">
        <v>120000</v>
      </c>
      <c r="C87" t="s">
        <v>45</v>
      </c>
      <c r="D87" t="s">
        <v>7</v>
      </c>
      <c r="E87">
        <v>0.67586500000000005</v>
      </c>
    </row>
    <row r="88" spans="1:5" hidden="1" x14ac:dyDescent="0.3">
      <c r="A88">
        <v>4</v>
      </c>
      <c r="B88">
        <v>120000</v>
      </c>
      <c r="C88" t="s">
        <v>45</v>
      </c>
      <c r="D88" t="s">
        <v>8</v>
      </c>
      <c r="E88">
        <v>0.83271899999999999</v>
      </c>
    </row>
    <row r="89" spans="1:5" hidden="1" x14ac:dyDescent="0.3">
      <c r="A89">
        <v>4</v>
      </c>
      <c r="B89">
        <v>120000</v>
      </c>
      <c r="C89" t="s">
        <v>45</v>
      </c>
      <c r="D89" t="s">
        <v>9</v>
      </c>
      <c r="E89">
        <v>2.0489549999999999</v>
      </c>
    </row>
    <row r="90" spans="1:5" hidden="1" x14ac:dyDescent="0.3">
      <c r="A90">
        <v>4</v>
      </c>
      <c r="B90">
        <v>120000</v>
      </c>
      <c r="C90" t="s">
        <v>45</v>
      </c>
      <c r="D90" t="s">
        <v>10</v>
      </c>
      <c r="E90">
        <v>0.44363999999999998</v>
      </c>
    </row>
    <row r="91" spans="1:5" hidden="1" x14ac:dyDescent="0.3">
      <c r="A91">
        <v>4</v>
      </c>
      <c r="B91">
        <v>120000</v>
      </c>
      <c r="C91" t="s">
        <v>45</v>
      </c>
      <c r="D91" t="s">
        <v>11</v>
      </c>
      <c r="E91">
        <v>22758.843862000002</v>
      </c>
    </row>
    <row r="92" spans="1:5" hidden="1" x14ac:dyDescent="0.3">
      <c r="A92">
        <v>4</v>
      </c>
      <c r="B92">
        <v>120000</v>
      </c>
      <c r="C92" t="s">
        <v>45</v>
      </c>
      <c r="D92" t="s">
        <v>12</v>
      </c>
      <c r="E92">
        <v>42184.367960000003</v>
      </c>
    </row>
    <row r="93" spans="1:5" hidden="1" x14ac:dyDescent="0.3">
      <c r="A93">
        <v>4</v>
      </c>
      <c r="B93">
        <v>120000</v>
      </c>
      <c r="C93" t="s">
        <v>45</v>
      </c>
      <c r="D93" t="s">
        <v>13</v>
      </c>
      <c r="E93">
        <v>35431.323765000001</v>
      </c>
    </row>
    <row r="94" spans="1:5" hidden="1" x14ac:dyDescent="0.3">
      <c r="A94">
        <v>4</v>
      </c>
      <c r="B94">
        <v>120000</v>
      </c>
      <c r="C94" t="s">
        <v>45</v>
      </c>
      <c r="D94" t="s">
        <v>14</v>
      </c>
      <c r="E94">
        <v>0.61868299999999998</v>
      </c>
    </row>
    <row r="95" spans="1:5" hidden="1" x14ac:dyDescent="0.3">
      <c r="A95">
        <v>4</v>
      </c>
      <c r="B95">
        <v>120000</v>
      </c>
      <c r="C95" t="s">
        <v>45</v>
      </c>
      <c r="D95" t="s">
        <v>15</v>
      </c>
      <c r="E95">
        <v>6.6919999999999993E-2</v>
      </c>
    </row>
    <row r="96" spans="1:5" hidden="1" x14ac:dyDescent="0.3">
      <c r="A96">
        <v>4</v>
      </c>
      <c r="B96">
        <v>120000</v>
      </c>
      <c r="C96" t="s">
        <v>45</v>
      </c>
      <c r="D96" t="s">
        <v>16</v>
      </c>
      <c r="E96">
        <v>0.22379499999999999</v>
      </c>
    </row>
    <row r="97" spans="1:5" hidden="1" x14ac:dyDescent="0.3">
      <c r="A97">
        <v>4</v>
      </c>
      <c r="B97">
        <v>120000</v>
      </c>
      <c r="C97" t="s">
        <v>45</v>
      </c>
      <c r="D97" t="s">
        <v>17</v>
      </c>
      <c r="E97">
        <v>0.40182200000000001</v>
      </c>
    </row>
    <row r="98" spans="1:5" hidden="1" x14ac:dyDescent="0.3">
      <c r="A98">
        <v>4</v>
      </c>
      <c r="B98">
        <v>120000</v>
      </c>
      <c r="C98" t="s">
        <v>45</v>
      </c>
      <c r="D98" t="s">
        <v>18</v>
      </c>
      <c r="E98">
        <v>3.9517410000000002</v>
      </c>
    </row>
    <row r="99" spans="1:5" hidden="1" x14ac:dyDescent="0.3">
      <c r="A99">
        <v>4</v>
      </c>
      <c r="B99">
        <v>120000</v>
      </c>
      <c r="C99" t="s">
        <v>45</v>
      </c>
      <c r="D99" t="s">
        <v>19</v>
      </c>
      <c r="E99">
        <v>0.87308600000000003</v>
      </c>
    </row>
    <row r="100" spans="1:5" hidden="1" x14ac:dyDescent="0.3">
      <c r="A100">
        <v>4</v>
      </c>
      <c r="B100">
        <v>120000</v>
      </c>
      <c r="C100" t="s">
        <v>45</v>
      </c>
      <c r="D100" t="s">
        <v>20</v>
      </c>
      <c r="E100">
        <v>15166.666386999999</v>
      </c>
    </row>
    <row r="101" spans="1:5" hidden="1" x14ac:dyDescent="0.3">
      <c r="A101">
        <v>4</v>
      </c>
      <c r="B101">
        <v>120000</v>
      </c>
      <c r="C101" t="s">
        <v>45</v>
      </c>
      <c r="D101" t="s">
        <v>21</v>
      </c>
      <c r="E101">
        <v>5.1590999999999998E-2</v>
      </c>
    </row>
    <row r="102" spans="1:5" hidden="1" x14ac:dyDescent="0.3">
      <c r="A102">
        <v>4</v>
      </c>
      <c r="B102">
        <v>120000</v>
      </c>
      <c r="C102" t="s">
        <v>45</v>
      </c>
      <c r="D102" t="s">
        <v>22</v>
      </c>
      <c r="E102">
        <v>0.70787199999999995</v>
      </c>
    </row>
    <row r="103" spans="1:5" hidden="1" x14ac:dyDescent="0.3">
      <c r="A103">
        <v>4</v>
      </c>
      <c r="B103">
        <v>120000</v>
      </c>
      <c r="C103" t="s">
        <v>45</v>
      </c>
      <c r="D103" t="s">
        <v>23</v>
      </c>
      <c r="E103">
        <v>4444.4451159999999</v>
      </c>
    </row>
    <row r="104" spans="1:5" hidden="1" x14ac:dyDescent="0.3">
      <c r="A104">
        <v>4</v>
      </c>
      <c r="B104">
        <v>120000</v>
      </c>
      <c r="C104" t="s">
        <v>45</v>
      </c>
      <c r="D104" t="s">
        <v>24</v>
      </c>
      <c r="E104">
        <v>6.7779000000000006E-2</v>
      </c>
    </row>
    <row r="105" spans="1:5" hidden="1" x14ac:dyDescent="0.3">
      <c r="A105">
        <v>4</v>
      </c>
      <c r="B105">
        <v>120000</v>
      </c>
      <c r="C105" t="s">
        <v>45</v>
      </c>
      <c r="D105" t="s">
        <v>25</v>
      </c>
      <c r="E105">
        <v>2.8778169999999998</v>
      </c>
    </row>
    <row r="106" spans="1:5" hidden="1" x14ac:dyDescent="0.3">
      <c r="A106">
        <v>4</v>
      </c>
      <c r="B106">
        <v>120000</v>
      </c>
      <c r="C106" t="s">
        <v>45</v>
      </c>
      <c r="D106" t="s">
        <v>26</v>
      </c>
      <c r="E106">
        <v>5.5196000000000002E-2</v>
      </c>
    </row>
    <row r="107" spans="1:5" x14ac:dyDescent="0.3">
      <c r="A107">
        <v>4</v>
      </c>
      <c r="B107">
        <v>120000</v>
      </c>
      <c r="C107" t="s">
        <v>46</v>
      </c>
      <c r="D107" t="s">
        <v>6</v>
      </c>
      <c r="E107">
        <v>54.988762000000001</v>
      </c>
    </row>
    <row r="108" spans="1:5" hidden="1" x14ac:dyDescent="0.3">
      <c r="A108">
        <v>4</v>
      </c>
      <c r="B108">
        <v>120000</v>
      </c>
      <c r="C108" t="s">
        <v>46</v>
      </c>
      <c r="D108" t="s">
        <v>7</v>
      </c>
      <c r="E108">
        <v>0.74812800000000002</v>
      </c>
    </row>
    <row r="109" spans="1:5" hidden="1" x14ac:dyDescent="0.3">
      <c r="A109">
        <v>4</v>
      </c>
      <c r="B109">
        <v>120000</v>
      </c>
      <c r="C109" t="s">
        <v>46</v>
      </c>
      <c r="D109" t="s">
        <v>8</v>
      </c>
      <c r="E109">
        <v>194.44678099999999</v>
      </c>
    </row>
    <row r="110" spans="1:5" hidden="1" x14ac:dyDescent="0.3">
      <c r="A110">
        <v>4</v>
      </c>
      <c r="B110">
        <v>120000</v>
      </c>
      <c r="C110" t="s">
        <v>46</v>
      </c>
      <c r="D110" t="s">
        <v>9</v>
      </c>
      <c r="E110">
        <v>34138.402621000001</v>
      </c>
    </row>
    <row r="111" spans="1:5" hidden="1" x14ac:dyDescent="0.3">
      <c r="A111">
        <v>4</v>
      </c>
      <c r="B111">
        <v>120000</v>
      </c>
      <c r="C111" t="s">
        <v>46</v>
      </c>
      <c r="D111" t="s">
        <v>10</v>
      </c>
      <c r="E111">
        <v>21139.959464</v>
      </c>
    </row>
    <row r="112" spans="1:5" hidden="1" x14ac:dyDescent="0.3">
      <c r="A112">
        <v>4</v>
      </c>
      <c r="B112">
        <v>120000</v>
      </c>
      <c r="C112" t="s">
        <v>46</v>
      </c>
      <c r="D112" t="s">
        <v>11</v>
      </c>
      <c r="E112">
        <v>28361.113535</v>
      </c>
    </row>
    <row r="113" spans="1:5" hidden="1" x14ac:dyDescent="0.3">
      <c r="A113">
        <v>4</v>
      </c>
      <c r="B113">
        <v>120000</v>
      </c>
      <c r="C113" t="s">
        <v>46</v>
      </c>
      <c r="D113" t="s">
        <v>12</v>
      </c>
      <c r="E113">
        <v>12555.558010999999</v>
      </c>
    </row>
    <row r="114" spans="1:5" hidden="1" x14ac:dyDescent="0.3">
      <c r="A114">
        <v>4</v>
      </c>
      <c r="B114">
        <v>120000</v>
      </c>
      <c r="C114" t="s">
        <v>46</v>
      </c>
      <c r="D114" t="s">
        <v>13</v>
      </c>
      <c r="E114">
        <v>14172.547207</v>
      </c>
    </row>
    <row r="115" spans="1:5" hidden="1" x14ac:dyDescent="0.3">
      <c r="A115">
        <v>4</v>
      </c>
      <c r="B115">
        <v>120000</v>
      </c>
      <c r="C115" t="s">
        <v>46</v>
      </c>
      <c r="D115" t="s">
        <v>14</v>
      </c>
      <c r="E115">
        <v>0.73627900000000002</v>
      </c>
    </row>
    <row r="116" spans="1:5" hidden="1" x14ac:dyDescent="0.3">
      <c r="A116">
        <v>4</v>
      </c>
      <c r="B116">
        <v>120000</v>
      </c>
      <c r="C116" t="s">
        <v>46</v>
      </c>
      <c r="D116" t="s">
        <v>15</v>
      </c>
      <c r="E116">
        <v>2.9399999999999999E-2</v>
      </c>
    </row>
    <row r="117" spans="1:5" hidden="1" x14ac:dyDescent="0.3">
      <c r="A117">
        <v>4</v>
      </c>
      <c r="B117">
        <v>120000</v>
      </c>
      <c r="C117" t="s">
        <v>46</v>
      </c>
      <c r="D117" t="s">
        <v>16</v>
      </c>
      <c r="E117">
        <v>9.5292000000000002E-2</v>
      </c>
    </row>
    <row r="118" spans="1:5" hidden="1" x14ac:dyDescent="0.3">
      <c r="A118">
        <v>4</v>
      </c>
      <c r="B118">
        <v>120000</v>
      </c>
      <c r="C118" t="s">
        <v>46</v>
      </c>
      <c r="D118" t="s">
        <v>17</v>
      </c>
      <c r="E118">
        <v>55.553032000000002</v>
      </c>
    </row>
    <row r="119" spans="1:5" hidden="1" x14ac:dyDescent="0.3">
      <c r="A119">
        <v>4</v>
      </c>
      <c r="B119">
        <v>120000</v>
      </c>
      <c r="C119" t="s">
        <v>46</v>
      </c>
      <c r="D119" t="s">
        <v>18</v>
      </c>
      <c r="E119">
        <v>44.419258999999997</v>
      </c>
    </row>
    <row r="120" spans="1:5" hidden="1" x14ac:dyDescent="0.3">
      <c r="A120">
        <v>4</v>
      </c>
      <c r="B120">
        <v>120000</v>
      </c>
      <c r="C120" t="s">
        <v>46</v>
      </c>
      <c r="D120" t="s">
        <v>19</v>
      </c>
      <c r="E120">
        <v>2.8012389999999998</v>
      </c>
    </row>
    <row r="121" spans="1:5" hidden="1" x14ac:dyDescent="0.3">
      <c r="A121">
        <v>4</v>
      </c>
      <c r="B121">
        <v>120000</v>
      </c>
      <c r="C121" t="s">
        <v>46</v>
      </c>
      <c r="D121" t="s">
        <v>20</v>
      </c>
      <c r="E121">
        <v>6055.5583729999998</v>
      </c>
    </row>
    <row r="122" spans="1:5" hidden="1" x14ac:dyDescent="0.3">
      <c r="A122">
        <v>4</v>
      </c>
      <c r="B122">
        <v>120000</v>
      </c>
      <c r="C122" t="s">
        <v>46</v>
      </c>
      <c r="D122" t="s">
        <v>21</v>
      </c>
      <c r="E122">
        <v>2.9635999999999999E-2</v>
      </c>
    </row>
    <row r="123" spans="1:5" hidden="1" x14ac:dyDescent="0.3">
      <c r="A123">
        <v>4</v>
      </c>
      <c r="B123">
        <v>120000</v>
      </c>
      <c r="C123" t="s">
        <v>46</v>
      </c>
      <c r="D123" t="s">
        <v>22</v>
      </c>
      <c r="E123">
        <v>0.78983099999999995</v>
      </c>
    </row>
    <row r="124" spans="1:5" hidden="1" x14ac:dyDescent="0.3">
      <c r="A124">
        <v>4</v>
      </c>
      <c r="B124">
        <v>120000</v>
      </c>
      <c r="C124" t="s">
        <v>46</v>
      </c>
      <c r="D124" t="s">
        <v>23</v>
      </c>
      <c r="E124">
        <v>1722.225132</v>
      </c>
    </row>
    <row r="125" spans="1:5" hidden="1" x14ac:dyDescent="0.3">
      <c r="A125">
        <v>4</v>
      </c>
      <c r="B125">
        <v>120000</v>
      </c>
      <c r="C125" t="s">
        <v>46</v>
      </c>
      <c r="D125" t="s">
        <v>24</v>
      </c>
      <c r="E125">
        <v>2.9694999999999999E-2</v>
      </c>
    </row>
    <row r="126" spans="1:5" hidden="1" x14ac:dyDescent="0.3">
      <c r="A126">
        <v>4</v>
      </c>
      <c r="B126">
        <v>120000</v>
      </c>
      <c r="C126" t="s">
        <v>46</v>
      </c>
      <c r="D126" t="s">
        <v>25</v>
      </c>
      <c r="E126">
        <v>1500.0026210000001</v>
      </c>
    </row>
    <row r="127" spans="1:5" hidden="1" x14ac:dyDescent="0.3">
      <c r="A127">
        <v>4</v>
      </c>
      <c r="B127">
        <v>120000</v>
      </c>
      <c r="C127" t="s">
        <v>46</v>
      </c>
      <c r="D127" t="s">
        <v>26</v>
      </c>
      <c r="E127">
        <v>3.2516999999999997E-2</v>
      </c>
    </row>
    <row r="128" spans="1:5" hidden="1" x14ac:dyDescent="0.3">
      <c r="A128">
        <v>5</v>
      </c>
      <c r="B128">
        <v>125000</v>
      </c>
      <c r="C128" t="s">
        <v>45</v>
      </c>
      <c r="D128" t="s">
        <v>6</v>
      </c>
      <c r="E128">
        <v>0.19419800000000001</v>
      </c>
    </row>
    <row r="129" spans="1:5" hidden="1" x14ac:dyDescent="0.3">
      <c r="A129">
        <v>5</v>
      </c>
      <c r="B129">
        <v>125000</v>
      </c>
      <c r="C129" t="s">
        <v>45</v>
      </c>
      <c r="D129" t="s">
        <v>7</v>
      </c>
      <c r="E129">
        <v>0.214749</v>
      </c>
    </row>
    <row r="130" spans="1:5" hidden="1" x14ac:dyDescent="0.3">
      <c r="A130">
        <v>5</v>
      </c>
      <c r="B130">
        <v>125000</v>
      </c>
      <c r="C130" t="s">
        <v>45</v>
      </c>
      <c r="D130" t="s">
        <v>8</v>
      </c>
      <c r="E130">
        <v>0.274758</v>
      </c>
    </row>
    <row r="131" spans="1:5" hidden="1" x14ac:dyDescent="0.3">
      <c r="A131">
        <v>5</v>
      </c>
      <c r="B131">
        <v>125000</v>
      </c>
      <c r="C131" t="s">
        <v>45</v>
      </c>
      <c r="D131" t="s">
        <v>9</v>
      </c>
      <c r="E131">
        <v>0.65008200000000005</v>
      </c>
    </row>
    <row r="132" spans="1:5" hidden="1" x14ac:dyDescent="0.3">
      <c r="A132">
        <v>5</v>
      </c>
      <c r="B132">
        <v>125000</v>
      </c>
      <c r="C132" t="s">
        <v>45</v>
      </c>
      <c r="D132" t="s">
        <v>10</v>
      </c>
      <c r="E132">
        <v>0.15428700000000001</v>
      </c>
    </row>
    <row r="133" spans="1:5" hidden="1" x14ac:dyDescent="0.3">
      <c r="A133">
        <v>5</v>
      </c>
      <c r="B133">
        <v>125000</v>
      </c>
      <c r="C133" t="s">
        <v>45</v>
      </c>
      <c r="D133" t="s">
        <v>11</v>
      </c>
      <c r="E133">
        <v>25595.547617</v>
      </c>
    </row>
    <row r="134" spans="1:5" hidden="1" x14ac:dyDescent="0.3">
      <c r="A134">
        <v>5</v>
      </c>
      <c r="B134">
        <v>125000</v>
      </c>
      <c r="C134" t="s">
        <v>45</v>
      </c>
      <c r="D134" t="s">
        <v>12</v>
      </c>
      <c r="E134">
        <v>44356.431923999997</v>
      </c>
    </row>
    <row r="135" spans="1:5" hidden="1" x14ac:dyDescent="0.3">
      <c r="A135">
        <v>5</v>
      </c>
      <c r="B135">
        <v>125000</v>
      </c>
      <c r="C135" t="s">
        <v>45</v>
      </c>
      <c r="D135" t="s">
        <v>13</v>
      </c>
      <c r="E135">
        <v>35431.341939999998</v>
      </c>
    </row>
    <row r="136" spans="1:5" hidden="1" x14ac:dyDescent="0.3">
      <c r="A136">
        <v>5</v>
      </c>
      <c r="B136">
        <v>125000</v>
      </c>
      <c r="C136" t="s">
        <v>45</v>
      </c>
      <c r="D136" t="s">
        <v>14</v>
      </c>
      <c r="E136">
        <v>0.20504</v>
      </c>
    </row>
    <row r="137" spans="1:5" hidden="1" x14ac:dyDescent="0.3">
      <c r="A137">
        <v>5</v>
      </c>
      <c r="B137">
        <v>125000</v>
      </c>
      <c r="C137" t="s">
        <v>45</v>
      </c>
      <c r="D137" t="s">
        <v>15</v>
      </c>
      <c r="E137">
        <v>2.6487E-2</v>
      </c>
    </row>
    <row r="138" spans="1:5" hidden="1" x14ac:dyDescent="0.3">
      <c r="A138">
        <v>5</v>
      </c>
      <c r="B138">
        <v>125000</v>
      </c>
      <c r="C138" t="s">
        <v>45</v>
      </c>
      <c r="D138" t="s">
        <v>16</v>
      </c>
      <c r="E138">
        <v>7.1548E-2</v>
      </c>
    </row>
    <row r="139" spans="1:5" hidden="1" x14ac:dyDescent="0.3">
      <c r="A139">
        <v>5</v>
      </c>
      <c r="B139">
        <v>125000</v>
      </c>
      <c r="C139" t="s">
        <v>45</v>
      </c>
      <c r="D139" t="s">
        <v>17</v>
      </c>
      <c r="E139">
        <v>0.117563</v>
      </c>
    </row>
    <row r="140" spans="1:5" hidden="1" x14ac:dyDescent="0.3">
      <c r="A140">
        <v>5</v>
      </c>
      <c r="B140">
        <v>125000</v>
      </c>
      <c r="C140" t="s">
        <v>45</v>
      </c>
      <c r="D140" t="s">
        <v>18</v>
      </c>
      <c r="E140">
        <v>2.4508160000000001</v>
      </c>
    </row>
    <row r="141" spans="1:5" hidden="1" x14ac:dyDescent="0.3">
      <c r="A141">
        <v>5</v>
      </c>
      <c r="B141">
        <v>125000</v>
      </c>
      <c r="C141" t="s">
        <v>45</v>
      </c>
      <c r="D141" t="s">
        <v>19</v>
      </c>
      <c r="E141">
        <v>0.28712799999999999</v>
      </c>
    </row>
    <row r="142" spans="1:5" hidden="1" x14ac:dyDescent="0.3">
      <c r="A142">
        <v>5</v>
      </c>
      <c r="B142">
        <v>125000</v>
      </c>
      <c r="C142" t="s">
        <v>45</v>
      </c>
      <c r="D142" t="s">
        <v>20</v>
      </c>
      <c r="E142">
        <v>15166.666993000001</v>
      </c>
    </row>
    <row r="143" spans="1:5" hidden="1" x14ac:dyDescent="0.3">
      <c r="A143">
        <v>5</v>
      </c>
      <c r="B143">
        <v>125000</v>
      </c>
      <c r="C143" t="s">
        <v>45</v>
      </c>
      <c r="D143" t="s">
        <v>21</v>
      </c>
      <c r="E143">
        <v>2.2696999999999998E-2</v>
      </c>
    </row>
    <row r="144" spans="1:5" hidden="1" x14ac:dyDescent="0.3">
      <c r="A144">
        <v>5</v>
      </c>
      <c r="B144">
        <v>125000</v>
      </c>
      <c r="C144" t="s">
        <v>45</v>
      </c>
      <c r="D144" t="s">
        <v>22</v>
      </c>
      <c r="E144">
        <v>0.202709</v>
      </c>
    </row>
    <row r="145" spans="1:5" hidden="1" x14ac:dyDescent="0.3">
      <c r="A145">
        <v>5</v>
      </c>
      <c r="B145">
        <v>125000</v>
      </c>
      <c r="C145" t="s">
        <v>45</v>
      </c>
      <c r="D145" t="s">
        <v>23</v>
      </c>
      <c r="E145">
        <v>4444.4450150000002</v>
      </c>
    </row>
    <row r="146" spans="1:5" hidden="1" x14ac:dyDescent="0.3">
      <c r="A146">
        <v>5</v>
      </c>
      <c r="B146">
        <v>125000</v>
      </c>
      <c r="C146" t="s">
        <v>45</v>
      </c>
      <c r="D146" t="s">
        <v>24</v>
      </c>
      <c r="E146">
        <v>2.6835999999999999E-2</v>
      </c>
    </row>
    <row r="147" spans="1:5" hidden="1" x14ac:dyDescent="0.3">
      <c r="A147">
        <v>5</v>
      </c>
      <c r="B147">
        <v>125000</v>
      </c>
      <c r="C147" t="s">
        <v>45</v>
      </c>
      <c r="D147" t="s">
        <v>25</v>
      </c>
      <c r="E147">
        <v>0.66242500000000004</v>
      </c>
    </row>
    <row r="148" spans="1:5" hidden="1" x14ac:dyDescent="0.3">
      <c r="A148">
        <v>5</v>
      </c>
      <c r="B148">
        <v>125000</v>
      </c>
      <c r="C148" t="s">
        <v>45</v>
      </c>
      <c r="D148" t="s">
        <v>26</v>
      </c>
      <c r="E148">
        <v>2.5444999999999999E-2</v>
      </c>
    </row>
    <row r="149" spans="1:5" x14ac:dyDescent="0.3">
      <c r="A149">
        <v>5</v>
      </c>
      <c r="B149">
        <v>125000</v>
      </c>
      <c r="C149" t="s">
        <v>46</v>
      </c>
      <c r="D149" t="s">
        <v>6</v>
      </c>
      <c r="E149">
        <v>54.990473000000001</v>
      </c>
    </row>
    <row r="150" spans="1:5" hidden="1" x14ac:dyDescent="0.3">
      <c r="A150">
        <v>5</v>
      </c>
      <c r="B150">
        <v>125000</v>
      </c>
      <c r="C150" t="s">
        <v>46</v>
      </c>
      <c r="D150" t="s">
        <v>7</v>
      </c>
      <c r="E150">
        <v>21671.962826999999</v>
      </c>
    </row>
    <row r="151" spans="1:5" hidden="1" x14ac:dyDescent="0.3">
      <c r="A151">
        <v>5</v>
      </c>
      <c r="B151">
        <v>125000</v>
      </c>
      <c r="C151" t="s">
        <v>46</v>
      </c>
      <c r="D151" t="s">
        <v>8</v>
      </c>
      <c r="E151">
        <v>194.44752299999999</v>
      </c>
    </row>
    <row r="152" spans="1:5" hidden="1" x14ac:dyDescent="0.3">
      <c r="A152">
        <v>5</v>
      </c>
      <c r="B152">
        <v>125000</v>
      </c>
      <c r="C152" t="s">
        <v>46</v>
      </c>
      <c r="D152" t="s">
        <v>9</v>
      </c>
      <c r="E152">
        <v>34138.470204999998</v>
      </c>
    </row>
    <row r="153" spans="1:5" hidden="1" x14ac:dyDescent="0.3">
      <c r="A153">
        <v>5</v>
      </c>
      <c r="B153">
        <v>125000</v>
      </c>
      <c r="C153" t="s">
        <v>46</v>
      </c>
      <c r="D153" t="s">
        <v>10</v>
      </c>
      <c r="E153">
        <v>1.5095860000000001</v>
      </c>
    </row>
    <row r="154" spans="1:5" hidden="1" x14ac:dyDescent="0.3">
      <c r="A154">
        <v>5</v>
      </c>
      <c r="B154">
        <v>125000</v>
      </c>
      <c r="C154" t="s">
        <v>46</v>
      </c>
      <c r="D154" t="s">
        <v>11</v>
      </c>
      <c r="E154">
        <v>28361.110674</v>
      </c>
    </row>
    <row r="155" spans="1:5" hidden="1" x14ac:dyDescent="0.3">
      <c r="A155">
        <v>5</v>
      </c>
      <c r="B155">
        <v>125000</v>
      </c>
      <c r="C155" t="s">
        <v>46</v>
      </c>
      <c r="D155" t="s">
        <v>12</v>
      </c>
      <c r="E155">
        <v>12555.555204</v>
      </c>
    </row>
    <row r="156" spans="1:5" hidden="1" x14ac:dyDescent="0.3">
      <c r="A156">
        <v>5</v>
      </c>
      <c r="B156">
        <v>125000</v>
      </c>
      <c r="C156" t="s">
        <v>46</v>
      </c>
      <c r="D156" t="s">
        <v>13</v>
      </c>
      <c r="E156">
        <v>14172.546919</v>
      </c>
    </row>
    <row r="157" spans="1:5" hidden="1" x14ac:dyDescent="0.3">
      <c r="A157">
        <v>5</v>
      </c>
      <c r="B157">
        <v>125000</v>
      </c>
      <c r="C157" t="s">
        <v>46</v>
      </c>
      <c r="D157" t="s">
        <v>14</v>
      </c>
      <c r="E157">
        <v>35.033327999999997</v>
      </c>
    </row>
    <row r="158" spans="1:5" hidden="1" x14ac:dyDescent="0.3">
      <c r="A158">
        <v>5</v>
      </c>
      <c r="B158">
        <v>125000</v>
      </c>
      <c r="C158" t="s">
        <v>46</v>
      </c>
      <c r="D158" t="s">
        <v>15</v>
      </c>
      <c r="E158">
        <v>6.053E-2</v>
      </c>
    </row>
    <row r="159" spans="1:5" hidden="1" x14ac:dyDescent="0.3">
      <c r="A159">
        <v>5</v>
      </c>
      <c r="B159">
        <v>125000</v>
      </c>
      <c r="C159" t="s">
        <v>46</v>
      </c>
      <c r="D159" t="s">
        <v>16</v>
      </c>
      <c r="E159">
        <v>0.25829400000000002</v>
      </c>
    </row>
    <row r="160" spans="1:5" hidden="1" x14ac:dyDescent="0.3">
      <c r="A160">
        <v>5</v>
      </c>
      <c r="B160">
        <v>125000</v>
      </c>
      <c r="C160" t="s">
        <v>46</v>
      </c>
      <c r="D160" t="s">
        <v>17</v>
      </c>
      <c r="E160">
        <v>0.76027299999999998</v>
      </c>
    </row>
    <row r="161" spans="1:5" hidden="1" x14ac:dyDescent="0.3">
      <c r="A161">
        <v>5</v>
      </c>
      <c r="B161">
        <v>125000</v>
      </c>
      <c r="C161" t="s">
        <v>46</v>
      </c>
      <c r="D161" t="s">
        <v>18</v>
      </c>
      <c r="E161">
        <v>44.420974999999999</v>
      </c>
    </row>
    <row r="162" spans="1:5" hidden="1" x14ac:dyDescent="0.3">
      <c r="A162">
        <v>5</v>
      </c>
      <c r="B162">
        <v>125000</v>
      </c>
      <c r="C162" t="s">
        <v>46</v>
      </c>
      <c r="D162" t="s">
        <v>19</v>
      </c>
      <c r="E162">
        <v>4222.1852040000003</v>
      </c>
    </row>
    <row r="163" spans="1:5" hidden="1" x14ac:dyDescent="0.3">
      <c r="A163">
        <v>5</v>
      </c>
      <c r="B163">
        <v>125000</v>
      </c>
      <c r="C163" t="s">
        <v>46</v>
      </c>
      <c r="D163" t="s">
        <v>20</v>
      </c>
      <c r="E163">
        <v>6055.5596619999997</v>
      </c>
    </row>
    <row r="164" spans="1:5" hidden="1" x14ac:dyDescent="0.3">
      <c r="A164">
        <v>5</v>
      </c>
      <c r="B164">
        <v>125000</v>
      </c>
      <c r="C164" t="s">
        <v>46</v>
      </c>
      <c r="D164" t="s">
        <v>21</v>
      </c>
      <c r="E164">
        <v>5.4920999999999998E-2</v>
      </c>
    </row>
    <row r="165" spans="1:5" hidden="1" x14ac:dyDescent="0.3">
      <c r="A165">
        <v>5</v>
      </c>
      <c r="B165">
        <v>125000</v>
      </c>
      <c r="C165" t="s">
        <v>46</v>
      </c>
      <c r="D165" t="s">
        <v>22</v>
      </c>
      <c r="E165">
        <v>268.83641899999998</v>
      </c>
    </row>
    <row r="166" spans="1:5" hidden="1" x14ac:dyDescent="0.3">
      <c r="A166">
        <v>5</v>
      </c>
      <c r="B166">
        <v>125000</v>
      </c>
      <c r="C166" t="s">
        <v>46</v>
      </c>
      <c r="D166" t="s">
        <v>23</v>
      </c>
      <c r="E166">
        <v>1722.2270060000001</v>
      </c>
    </row>
    <row r="167" spans="1:5" hidden="1" x14ac:dyDescent="0.3">
      <c r="A167">
        <v>5</v>
      </c>
      <c r="B167">
        <v>125000</v>
      </c>
      <c r="C167" t="s">
        <v>46</v>
      </c>
      <c r="D167" t="s">
        <v>24</v>
      </c>
      <c r="E167">
        <v>6.1385000000000002E-2</v>
      </c>
    </row>
    <row r="168" spans="1:5" hidden="1" x14ac:dyDescent="0.3">
      <c r="A168">
        <v>5</v>
      </c>
      <c r="B168">
        <v>125000</v>
      </c>
      <c r="C168" t="s">
        <v>46</v>
      </c>
      <c r="D168" t="s">
        <v>25</v>
      </c>
      <c r="E168">
        <v>1500.003811</v>
      </c>
    </row>
    <row r="169" spans="1:5" hidden="1" x14ac:dyDescent="0.3">
      <c r="A169">
        <v>5</v>
      </c>
      <c r="B169">
        <v>125000</v>
      </c>
      <c r="C169" t="s">
        <v>46</v>
      </c>
      <c r="D169" t="s">
        <v>26</v>
      </c>
      <c r="E169">
        <v>6.1797999999999999E-2</v>
      </c>
    </row>
    <row r="170" spans="1:5" hidden="1" x14ac:dyDescent="0.3">
      <c r="A170">
        <v>6</v>
      </c>
      <c r="B170">
        <v>130000</v>
      </c>
      <c r="C170" t="s">
        <v>45</v>
      </c>
      <c r="D170" t="s">
        <v>6</v>
      </c>
      <c r="E170">
        <v>2.3876000000000001E-2</v>
      </c>
    </row>
    <row r="171" spans="1:5" hidden="1" x14ac:dyDescent="0.3">
      <c r="A171">
        <v>6</v>
      </c>
      <c r="B171">
        <v>130000</v>
      </c>
      <c r="C171" t="s">
        <v>45</v>
      </c>
      <c r="D171" t="s">
        <v>7</v>
      </c>
      <c r="E171">
        <v>3.0335000000000001E-2</v>
      </c>
    </row>
    <row r="172" spans="1:5" hidden="1" x14ac:dyDescent="0.3">
      <c r="A172">
        <v>6</v>
      </c>
      <c r="B172">
        <v>130000</v>
      </c>
      <c r="C172" t="s">
        <v>45</v>
      </c>
      <c r="D172" t="s">
        <v>8</v>
      </c>
      <c r="E172">
        <v>3.8453000000000001E-2</v>
      </c>
    </row>
    <row r="173" spans="1:5" hidden="1" x14ac:dyDescent="0.3">
      <c r="A173">
        <v>6</v>
      </c>
      <c r="B173">
        <v>130000</v>
      </c>
      <c r="C173" t="s">
        <v>45</v>
      </c>
      <c r="D173" t="s">
        <v>9</v>
      </c>
      <c r="E173">
        <v>8.6181999999999995E-2</v>
      </c>
    </row>
    <row r="174" spans="1:5" hidden="1" x14ac:dyDescent="0.3">
      <c r="A174">
        <v>6</v>
      </c>
      <c r="B174">
        <v>130000</v>
      </c>
      <c r="C174" t="s">
        <v>45</v>
      </c>
      <c r="D174" t="s">
        <v>10</v>
      </c>
      <c r="E174">
        <v>2.0178000000000001E-2</v>
      </c>
    </row>
    <row r="175" spans="1:5" hidden="1" x14ac:dyDescent="0.3">
      <c r="A175">
        <v>6</v>
      </c>
      <c r="B175">
        <v>130000</v>
      </c>
      <c r="C175" t="s">
        <v>45</v>
      </c>
      <c r="D175" t="s">
        <v>11</v>
      </c>
      <c r="E175">
        <v>30571.538025000002</v>
      </c>
    </row>
    <row r="176" spans="1:5" hidden="1" x14ac:dyDescent="0.3">
      <c r="A176">
        <v>6</v>
      </c>
      <c r="B176">
        <v>130000</v>
      </c>
      <c r="C176" t="s">
        <v>45</v>
      </c>
      <c r="D176" t="s">
        <v>12</v>
      </c>
      <c r="E176">
        <v>44385.022925999998</v>
      </c>
    </row>
    <row r="177" spans="1:5" hidden="1" x14ac:dyDescent="0.3">
      <c r="A177">
        <v>6</v>
      </c>
      <c r="B177">
        <v>130000</v>
      </c>
      <c r="C177" t="s">
        <v>45</v>
      </c>
      <c r="D177" t="s">
        <v>13</v>
      </c>
      <c r="E177">
        <v>35431.344131999998</v>
      </c>
    </row>
    <row r="178" spans="1:5" hidden="1" x14ac:dyDescent="0.3">
      <c r="A178">
        <v>6</v>
      </c>
      <c r="B178">
        <v>130000</v>
      </c>
      <c r="C178" t="s">
        <v>45</v>
      </c>
      <c r="D178" t="s">
        <v>14</v>
      </c>
      <c r="E178">
        <v>2.9378999999999999E-2</v>
      </c>
    </row>
    <row r="179" spans="1:5" hidden="1" x14ac:dyDescent="0.3">
      <c r="A179">
        <v>6</v>
      </c>
      <c r="B179">
        <v>130000</v>
      </c>
      <c r="C179" t="s">
        <v>45</v>
      </c>
      <c r="D179" t="s">
        <v>15</v>
      </c>
      <c r="E179">
        <v>3.6830000000000001E-3</v>
      </c>
    </row>
    <row r="180" spans="1:5" hidden="1" x14ac:dyDescent="0.3">
      <c r="A180">
        <v>6</v>
      </c>
      <c r="B180">
        <v>130000</v>
      </c>
      <c r="C180" t="s">
        <v>45</v>
      </c>
      <c r="D180" t="s">
        <v>16</v>
      </c>
      <c r="E180">
        <v>1.077E-2</v>
      </c>
    </row>
    <row r="181" spans="1:5" hidden="1" x14ac:dyDescent="0.3">
      <c r="A181">
        <v>6</v>
      </c>
      <c r="B181">
        <v>130000</v>
      </c>
      <c r="C181" t="s">
        <v>45</v>
      </c>
      <c r="D181" t="s">
        <v>17</v>
      </c>
      <c r="E181">
        <v>1.7080999999999999E-2</v>
      </c>
    </row>
    <row r="182" spans="1:5" hidden="1" x14ac:dyDescent="0.3">
      <c r="A182">
        <v>6</v>
      </c>
      <c r="B182">
        <v>130000</v>
      </c>
      <c r="C182" t="s">
        <v>45</v>
      </c>
      <c r="D182" t="s">
        <v>18</v>
      </c>
      <c r="E182">
        <v>0.55168200000000001</v>
      </c>
    </row>
    <row r="183" spans="1:5" hidden="1" x14ac:dyDescent="0.3">
      <c r="A183">
        <v>6</v>
      </c>
      <c r="B183">
        <v>130000</v>
      </c>
      <c r="C183" t="s">
        <v>45</v>
      </c>
      <c r="D183" t="s">
        <v>19</v>
      </c>
      <c r="E183">
        <v>4.2791999999999997E-2</v>
      </c>
    </row>
    <row r="184" spans="1:5" hidden="1" x14ac:dyDescent="0.3">
      <c r="A184">
        <v>6</v>
      </c>
      <c r="B184">
        <v>130000</v>
      </c>
      <c r="C184" t="s">
        <v>45</v>
      </c>
      <c r="D184" t="s">
        <v>20</v>
      </c>
      <c r="E184">
        <v>15166.666606000001</v>
      </c>
    </row>
    <row r="185" spans="1:5" hidden="1" x14ac:dyDescent="0.3">
      <c r="A185">
        <v>6</v>
      </c>
      <c r="B185">
        <v>130000</v>
      </c>
      <c r="C185" t="s">
        <v>45</v>
      </c>
      <c r="D185" t="s">
        <v>21</v>
      </c>
      <c r="E185">
        <v>3.1180000000000001E-3</v>
      </c>
    </row>
    <row r="186" spans="1:5" hidden="1" x14ac:dyDescent="0.3">
      <c r="A186">
        <v>6</v>
      </c>
      <c r="B186">
        <v>130000</v>
      </c>
      <c r="C186" t="s">
        <v>45</v>
      </c>
      <c r="D186" t="s">
        <v>22</v>
      </c>
      <c r="E186">
        <v>3.092E-2</v>
      </c>
    </row>
    <row r="187" spans="1:5" hidden="1" x14ac:dyDescent="0.3">
      <c r="A187">
        <v>6</v>
      </c>
      <c r="B187">
        <v>130000</v>
      </c>
      <c r="C187" t="s">
        <v>45</v>
      </c>
      <c r="D187" t="s">
        <v>23</v>
      </c>
      <c r="E187">
        <v>4444.4444229999999</v>
      </c>
    </row>
    <row r="188" spans="1:5" hidden="1" x14ac:dyDescent="0.3">
      <c r="A188">
        <v>6</v>
      </c>
      <c r="B188">
        <v>130000</v>
      </c>
      <c r="C188" t="s">
        <v>45</v>
      </c>
      <c r="D188" t="s">
        <v>24</v>
      </c>
      <c r="E188">
        <v>3.7339999999999999E-3</v>
      </c>
    </row>
    <row r="189" spans="1:5" hidden="1" x14ac:dyDescent="0.3">
      <c r="A189">
        <v>6</v>
      </c>
      <c r="B189">
        <v>130000</v>
      </c>
      <c r="C189" t="s">
        <v>45</v>
      </c>
      <c r="D189" t="s">
        <v>25</v>
      </c>
      <c r="E189">
        <v>8.8888999999999996E-2</v>
      </c>
    </row>
    <row r="190" spans="1:5" hidden="1" x14ac:dyDescent="0.3">
      <c r="A190">
        <v>6</v>
      </c>
      <c r="B190">
        <v>130000</v>
      </c>
      <c r="C190" t="s">
        <v>45</v>
      </c>
      <c r="D190" t="s">
        <v>26</v>
      </c>
      <c r="E190">
        <v>3.4979999999999998E-3</v>
      </c>
    </row>
    <row r="191" spans="1:5" x14ac:dyDescent="0.3">
      <c r="A191">
        <v>6</v>
      </c>
      <c r="B191">
        <v>130000</v>
      </c>
      <c r="C191" t="s">
        <v>46</v>
      </c>
      <c r="D191" t="s">
        <v>6</v>
      </c>
      <c r="E191">
        <v>54.987046999999997</v>
      </c>
    </row>
    <row r="192" spans="1:5" hidden="1" x14ac:dyDescent="0.3">
      <c r="A192">
        <v>6</v>
      </c>
      <c r="B192">
        <v>130000</v>
      </c>
      <c r="C192" t="s">
        <v>46</v>
      </c>
      <c r="D192" t="s">
        <v>7</v>
      </c>
      <c r="E192">
        <v>26663.306859</v>
      </c>
    </row>
    <row r="193" spans="1:5" hidden="1" x14ac:dyDescent="0.3">
      <c r="A193">
        <v>6</v>
      </c>
      <c r="B193">
        <v>130000</v>
      </c>
      <c r="C193" t="s">
        <v>46</v>
      </c>
      <c r="D193" t="s">
        <v>8</v>
      </c>
      <c r="E193">
        <v>194.44196199999999</v>
      </c>
    </row>
    <row r="194" spans="1:5" hidden="1" x14ac:dyDescent="0.3">
      <c r="A194">
        <v>6</v>
      </c>
      <c r="B194">
        <v>130000</v>
      </c>
      <c r="C194" t="s">
        <v>46</v>
      </c>
      <c r="D194" t="s">
        <v>9</v>
      </c>
      <c r="E194">
        <v>34138.473297999997</v>
      </c>
    </row>
    <row r="195" spans="1:5" hidden="1" x14ac:dyDescent="0.3">
      <c r="A195">
        <v>6</v>
      </c>
      <c r="B195">
        <v>130000</v>
      </c>
      <c r="C195" t="s">
        <v>46</v>
      </c>
      <c r="D195" t="s">
        <v>10</v>
      </c>
      <c r="E195">
        <v>0.64549800000000002</v>
      </c>
    </row>
    <row r="196" spans="1:5" hidden="1" x14ac:dyDescent="0.3">
      <c r="A196">
        <v>6</v>
      </c>
      <c r="B196">
        <v>130000</v>
      </c>
      <c r="C196" t="s">
        <v>46</v>
      </c>
      <c r="D196" t="s">
        <v>11</v>
      </c>
      <c r="E196">
        <v>28361.110834999999</v>
      </c>
    </row>
    <row r="197" spans="1:5" hidden="1" x14ac:dyDescent="0.3">
      <c r="A197">
        <v>6</v>
      </c>
      <c r="B197">
        <v>130000</v>
      </c>
      <c r="C197" t="s">
        <v>46</v>
      </c>
      <c r="D197" t="s">
        <v>12</v>
      </c>
      <c r="E197">
        <v>12555.55615</v>
      </c>
    </row>
    <row r="198" spans="1:5" hidden="1" x14ac:dyDescent="0.3">
      <c r="A198">
        <v>6</v>
      </c>
      <c r="B198">
        <v>130000</v>
      </c>
      <c r="C198" t="s">
        <v>46</v>
      </c>
      <c r="D198" t="s">
        <v>13</v>
      </c>
      <c r="E198">
        <v>14172.545859</v>
      </c>
    </row>
    <row r="199" spans="1:5" hidden="1" x14ac:dyDescent="0.3">
      <c r="A199">
        <v>6</v>
      </c>
      <c r="B199">
        <v>130000</v>
      </c>
      <c r="C199" t="s">
        <v>46</v>
      </c>
      <c r="D199" t="s">
        <v>14</v>
      </c>
      <c r="E199">
        <v>44.616173000000003</v>
      </c>
    </row>
    <row r="200" spans="1:5" hidden="1" x14ac:dyDescent="0.3">
      <c r="A200">
        <v>6</v>
      </c>
      <c r="B200">
        <v>130000</v>
      </c>
      <c r="C200" t="s">
        <v>46</v>
      </c>
      <c r="D200" t="s">
        <v>15</v>
      </c>
      <c r="E200">
        <v>6.5587999999999994E-2</v>
      </c>
    </row>
    <row r="201" spans="1:5" hidden="1" x14ac:dyDescent="0.3">
      <c r="A201">
        <v>6</v>
      </c>
      <c r="B201">
        <v>130000</v>
      </c>
      <c r="C201" t="s">
        <v>46</v>
      </c>
      <c r="D201" t="s">
        <v>16</v>
      </c>
      <c r="E201">
        <v>0.34234100000000001</v>
      </c>
    </row>
    <row r="202" spans="1:5" hidden="1" x14ac:dyDescent="0.3">
      <c r="A202">
        <v>6</v>
      </c>
      <c r="B202">
        <v>130000</v>
      </c>
      <c r="C202" t="s">
        <v>46</v>
      </c>
      <c r="D202" t="s">
        <v>17</v>
      </c>
      <c r="E202">
        <v>0.48631400000000002</v>
      </c>
    </row>
    <row r="203" spans="1:5" hidden="1" x14ac:dyDescent="0.3">
      <c r="A203">
        <v>6</v>
      </c>
      <c r="B203">
        <v>130000</v>
      </c>
      <c r="C203" t="s">
        <v>46</v>
      </c>
      <c r="D203" t="s">
        <v>18</v>
      </c>
      <c r="E203">
        <v>44.417811</v>
      </c>
    </row>
    <row r="204" spans="1:5" hidden="1" x14ac:dyDescent="0.3">
      <c r="A204">
        <v>6</v>
      </c>
      <c r="B204">
        <v>130000</v>
      </c>
      <c r="C204" t="s">
        <v>46</v>
      </c>
      <c r="D204" t="s">
        <v>19</v>
      </c>
      <c r="E204">
        <v>4222.2201949999999</v>
      </c>
    </row>
    <row r="205" spans="1:5" hidden="1" x14ac:dyDescent="0.3">
      <c r="A205">
        <v>6</v>
      </c>
      <c r="B205">
        <v>130000</v>
      </c>
      <c r="C205" t="s">
        <v>46</v>
      </c>
      <c r="D205" t="s">
        <v>20</v>
      </c>
      <c r="E205">
        <v>6055.5571929999996</v>
      </c>
    </row>
    <row r="206" spans="1:5" hidden="1" x14ac:dyDescent="0.3">
      <c r="A206">
        <v>6</v>
      </c>
      <c r="B206">
        <v>130000</v>
      </c>
      <c r="C206" t="s">
        <v>46</v>
      </c>
      <c r="D206" t="s">
        <v>21</v>
      </c>
      <c r="E206">
        <v>5.6454999999999998E-2</v>
      </c>
    </row>
    <row r="207" spans="1:5" hidden="1" x14ac:dyDescent="0.3">
      <c r="A207">
        <v>6</v>
      </c>
      <c r="B207">
        <v>130000</v>
      </c>
      <c r="C207" t="s">
        <v>46</v>
      </c>
      <c r="D207" t="s">
        <v>22</v>
      </c>
      <c r="E207">
        <v>268.86418500000002</v>
      </c>
    </row>
    <row r="208" spans="1:5" hidden="1" x14ac:dyDescent="0.3">
      <c r="A208">
        <v>6</v>
      </c>
      <c r="B208">
        <v>130000</v>
      </c>
      <c r="C208" t="s">
        <v>46</v>
      </c>
      <c r="D208" t="s">
        <v>23</v>
      </c>
      <c r="E208">
        <v>1722.2241100000001</v>
      </c>
    </row>
    <row r="209" spans="1:5" hidden="1" x14ac:dyDescent="0.3">
      <c r="A209">
        <v>6</v>
      </c>
      <c r="B209">
        <v>130000</v>
      </c>
      <c r="C209" t="s">
        <v>46</v>
      </c>
      <c r="D209" t="s">
        <v>24</v>
      </c>
      <c r="E209">
        <v>6.6713999999999996E-2</v>
      </c>
    </row>
    <row r="210" spans="1:5" hidden="1" x14ac:dyDescent="0.3">
      <c r="A210">
        <v>6</v>
      </c>
      <c r="B210">
        <v>130000</v>
      </c>
      <c r="C210" t="s">
        <v>46</v>
      </c>
      <c r="D210" t="s">
        <v>25</v>
      </c>
      <c r="E210">
        <v>1500.0009869999999</v>
      </c>
    </row>
    <row r="211" spans="1:5" hidden="1" x14ac:dyDescent="0.3">
      <c r="A211">
        <v>6</v>
      </c>
      <c r="B211">
        <v>130000</v>
      </c>
      <c r="C211" t="s">
        <v>46</v>
      </c>
      <c r="D211" t="s">
        <v>26</v>
      </c>
      <c r="E211">
        <v>6.4266000000000004E-2</v>
      </c>
    </row>
    <row r="212" spans="1:5" hidden="1" x14ac:dyDescent="0.3">
      <c r="A212">
        <v>7</v>
      </c>
      <c r="B212">
        <v>135000</v>
      </c>
      <c r="C212" t="s">
        <v>45</v>
      </c>
      <c r="D212" t="s">
        <v>6</v>
      </c>
      <c r="E212">
        <v>0.59138199999999996</v>
      </c>
    </row>
    <row r="213" spans="1:5" hidden="1" x14ac:dyDescent="0.3">
      <c r="A213">
        <v>7</v>
      </c>
      <c r="B213">
        <v>135000</v>
      </c>
      <c r="C213" t="s">
        <v>45</v>
      </c>
      <c r="D213" t="s">
        <v>7</v>
      </c>
      <c r="E213">
        <v>2.2588629999999998</v>
      </c>
    </row>
    <row r="214" spans="1:5" hidden="1" x14ac:dyDescent="0.3">
      <c r="A214">
        <v>7</v>
      </c>
      <c r="B214">
        <v>135000</v>
      </c>
      <c r="C214" t="s">
        <v>45</v>
      </c>
      <c r="D214" t="s">
        <v>8</v>
      </c>
      <c r="E214">
        <v>1.534043</v>
      </c>
    </row>
    <row r="215" spans="1:5" hidden="1" x14ac:dyDescent="0.3">
      <c r="A215">
        <v>7</v>
      </c>
      <c r="B215">
        <v>135000</v>
      </c>
      <c r="C215" t="s">
        <v>45</v>
      </c>
      <c r="D215" t="s">
        <v>9</v>
      </c>
      <c r="E215">
        <v>1303.173119</v>
      </c>
    </row>
    <row r="216" spans="1:5" hidden="1" x14ac:dyDescent="0.3">
      <c r="A216">
        <v>7</v>
      </c>
      <c r="B216">
        <v>135000</v>
      </c>
      <c r="C216" t="s">
        <v>45</v>
      </c>
      <c r="D216" t="s">
        <v>10</v>
      </c>
      <c r="E216">
        <v>0.78484399999999999</v>
      </c>
    </row>
    <row r="217" spans="1:5" hidden="1" x14ac:dyDescent="0.3">
      <c r="A217">
        <v>7</v>
      </c>
      <c r="B217">
        <v>135000</v>
      </c>
      <c r="C217" t="s">
        <v>45</v>
      </c>
      <c r="D217" t="s">
        <v>11</v>
      </c>
      <c r="E217">
        <v>34138.122242999998</v>
      </c>
    </row>
    <row r="218" spans="1:5" hidden="1" x14ac:dyDescent="0.3">
      <c r="A218">
        <v>7</v>
      </c>
      <c r="B218">
        <v>135000</v>
      </c>
      <c r="C218" t="s">
        <v>45</v>
      </c>
      <c r="D218" t="s">
        <v>12</v>
      </c>
      <c r="E218">
        <v>44388.194732999997</v>
      </c>
    </row>
    <row r="219" spans="1:5" hidden="1" x14ac:dyDescent="0.3">
      <c r="A219">
        <v>7</v>
      </c>
      <c r="B219">
        <v>135000</v>
      </c>
      <c r="C219" t="s">
        <v>45</v>
      </c>
      <c r="D219" t="s">
        <v>13</v>
      </c>
      <c r="E219">
        <v>35431.284495</v>
      </c>
    </row>
    <row r="220" spans="1:5" hidden="1" x14ac:dyDescent="0.3">
      <c r="A220">
        <v>7</v>
      </c>
      <c r="B220">
        <v>135000</v>
      </c>
      <c r="C220" t="s">
        <v>45</v>
      </c>
      <c r="D220" t="s">
        <v>14</v>
      </c>
      <c r="E220">
        <v>1.941821</v>
      </c>
    </row>
    <row r="221" spans="1:5" hidden="1" x14ac:dyDescent="0.3">
      <c r="A221">
        <v>7</v>
      </c>
      <c r="B221">
        <v>135000</v>
      </c>
      <c r="C221" t="s">
        <v>45</v>
      </c>
      <c r="D221" t="s">
        <v>15</v>
      </c>
      <c r="E221">
        <v>0.144537</v>
      </c>
    </row>
    <row r="222" spans="1:5" hidden="1" x14ac:dyDescent="0.3">
      <c r="A222">
        <v>7</v>
      </c>
      <c r="B222">
        <v>135000</v>
      </c>
      <c r="C222" t="s">
        <v>45</v>
      </c>
      <c r="D222" t="s">
        <v>16</v>
      </c>
      <c r="E222">
        <v>0.69459300000000002</v>
      </c>
    </row>
    <row r="223" spans="1:5" hidden="1" x14ac:dyDescent="0.3">
      <c r="A223">
        <v>7</v>
      </c>
      <c r="B223">
        <v>135000</v>
      </c>
      <c r="C223" t="s">
        <v>45</v>
      </c>
      <c r="D223" t="s">
        <v>17</v>
      </c>
      <c r="E223">
        <v>0.54531700000000005</v>
      </c>
    </row>
    <row r="224" spans="1:5" hidden="1" x14ac:dyDescent="0.3">
      <c r="A224">
        <v>7</v>
      </c>
      <c r="B224">
        <v>135000</v>
      </c>
      <c r="C224" t="s">
        <v>45</v>
      </c>
      <c r="D224" t="s">
        <v>18</v>
      </c>
      <c r="E224">
        <v>88.827130999999994</v>
      </c>
    </row>
    <row r="225" spans="1:5" hidden="1" x14ac:dyDescent="0.3">
      <c r="A225">
        <v>7</v>
      </c>
      <c r="B225">
        <v>135000</v>
      </c>
      <c r="C225" t="s">
        <v>45</v>
      </c>
      <c r="D225" t="s">
        <v>19</v>
      </c>
      <c r="E225">
        <v>10.920450000000001</v>
      </c>
    </row>
    <row r="226" spans="1:5" hidden="1" x14ac:dyDescent="0.3">
      <c r="A226">
        <v>7</v>
      </c>
      <c r="B226">
        <v>135000</v>
      </c>
      <c r="C226" t="s">
        <v>45</v>
      </c>
      <c r="D226" t="s">
        <v>20</v>
      </c>
      <c r="E226">
        <v>15166.668408</v>
      </c>
    </row>
    <row r="227" spans="1:5" hidden="1" x14ac:dyDescent="0.3">
      <c r="A227">
        <v>7</v>
      </c>
      <c r="B227">
        <v>135000</v>
      </c>
      <c r="C227" t="s">
        <v>45</v>
      </c>
      <c r="D227" t="s">
        <v>21</v>
      </c>
      <c r="E227">
        <v>0.114758</v>
      </c>
    </row>
    <row r="228" spans="1:5" hidden="1" x14ac:dyDescent="0.3">
      <c r="A228">
        <v>7</v>
      </c>
      <c r="B228">
        <v>135000</v>
      </c>
      <c r="C228" t="s">
        <v>45</v>
      </c>
      <c r="D228" t="s">
        <v>22</v>
      </c>
      <c r="E228">
        <v>2.6593770000000001</v>
      </c>
    </row>
    <row r="229" spans="1:5" hidden="1" x14ac:dyDescent="0.3">
      <c r="A229">
        <v>7</v>
      </c>
      <c r="B229">
        <v>135000</v>
      </c>
      <c r="C229" t="s">
        <v>45</v>
      </c>
      <c r="D229" t="s">
        <v>23</v>
      </c>
      <c r="E229">
        <v>4444.4473580000003</v>
      </c>
    </row>
    <row r="230" spans="1:5" hidden="1" x14ac:dyDescent="0.3">
      <c r="A230">
        <v>7</v>
      </c>
      <c r="B230">
        <v>135000</v>
      </c>
      <c r="C230" t="s">
        <v>45</v>
      </c>
      <c r="D230" t="s">
        <v>24</v>
      </c>
      <c r="E230">
        <v>0.147059</v>
      </c>
    </row>
    <row r="231" spans="1:5" hidden="1" x14ac:dyDescent="0.3">
      <c r="A231">
        <v>7</v>
      </c>
      <c r="B231">
        <v>135000</v>
      </c>
      <c r="C231" t="s">
        <v>45</v>
      </c>
      <c r="D231" t="s">
        <v>25</v>
      </c>
      <c r="E231">
        <v>16.904944</v>
      </c>
    </row>
    <row r="232" spans="1:5" hidden="1" x14ac:dyDescent="0.3">
      <c r="A232">
        <v>7</v>
      </c>
      <c r="B232">
        <v>135000</v>
      </c>
      <c r="C232" t="s">
        <v>45</v>
      </c>
      <c r="D232" t="s">
        <v>26</v>
      </c>
      <c r="E232">
        <v>0.132134</v>
      </c>
    </row>
    <row r="233" spans="1:5" x14ac:dyDescent="0.3">
      <c r="A233">
        <v>7</v>
      </c>
      <c r="B233">
        <v>135000</v>
      </c>
      <c r="C233" t="s">
        <v>46</v>
      </c>
      <c r="D233" t="s">
        <v>6</v>
      </c>
      <c r="E233">
        <v>54.988802999999997</v>
      </c>
    </row>
    <row r="234" spans="1:5" hidden="1" x14ac:dyDescent="0.3">
      <c r="A234">
        <v>7</v>
      </c>
      <c r="B234">
        <v>135000</v>
      </c>
      <c r="C234" t="s">
        <v>46</v>
      </c>
      <c r="D234" t="s">
        <v>7</v>
      </c>
      <c r="E234">
        <v>31631.016221000002</v>
      </c>
    </row>
    <row r="235" spans="1:5" hidden="1" x14ac:dyDescent="0.3">
      <c r="A235">
        <v>7</v>
      </c>
      <c r="B235">
        <v>135000</v>
      </c>
      <c r="C235" t="s">
        <v>46</v>
      </c>
      <c r="D235" t="s">
        <v>8</v>
      </c>
      <c r="E235">
        <v>194.44093799999999</v>
      </c>
    </row>
    <row r="236" spans="1:5" hidden="1" x14ac:dyDescent="0.3">
      <c r="A236">
        <v>7</v>
      </c>
      <c r="B236">
        <v>135000</v>
      </c>
      <c r="C236" t="s">
        <v>46</v>
      </c>
      <c r="D236" t="s">
        <v>9</v>
      </c>
      <c r="E236">
        <v>34138.484321999997</v>
      </c>
    </row>
    <row r="237" spans="1:5" hidden="1" x14ac:dyDescent="0.3">
      <c r="A237">
        <v>7</v>
      </c>
      <c r="B237">
        <v>135000</v>
      </c>
      <c r="C237" t="s">
        <v>46</v>
      </c>
      <c r="D237" t="s">
        <v>10</v>
      </c>
      <c r="E237">
        <v>1.1632819999999999</v>
      </c>
    </row>
    <row r="238" spans="1:5" hidden="1" x14ac:dyDescent="0.3">
      <c r="A238">
        <v>7</v>
      </c>
      <c r="B238">
        <v>135000</v>
      </c>
      <c r="C238" t="s">
        <v>46</v>
      </c>
      <c r="D238" t="s">
        <v>11</v>
      </c>
      <c r="E238">
        <v>28361.113658999999</v>
      </c>
    </row>
    <row r="239" spans="1:5" hidden="1" x14ac:dyDescent="0.3">
      <c r="A239">
        <v>7</v>
      </c>
      <c r="B239">
        <v>135000</v>
      </c>
      <c r="C239" t="s">
        <v>46</v>
      </c>
      <c r="D239" t="s">
        <v>12</v>
      </c>
      <c r="E239">
        <v>12555.558016999999</v>
      </c>
    </row>
    <row r="240" spans="1:5" hidden="1" x14ac:dyDescent="0.3">
      <c r="A240">
        <v>7</v>
      </c>
      <c r="B240">
        <v>135000</v>
      </c>
      <c r="C240" t="s">
        <v>46</v>
      </c>
      <c r="D240" t="s">
        <v>13</v>
      </c>
      <c r="E240">
        <v>14172.548208</v>
      </c>
    </row>
    <row r="241" spans="1:5" hidden="1" x14ac:dyDescent="0.3">
      <c r="A241">
        <v>7</v>
      </c>
      <c r="B241">
        <v>135000</v>
      </c>
      <c r="C241" t="s">
        <v>46</v>
      </c>
      <c r="D241" t="s">
        <v>14</v>
      </c>
      <c r="E241">
        <v>75.776139000000001</v>
      </c>
    </row>
    <row r="242" spans="1:5" hidden="1" x14ac:dyDescent="0.3">
      <c r="A242">
        <v>7</v>
      </c>
      <c r="B242">
        <v>135000</v>
      </c>
      <c r="C242" t="s">
        <v>46</v>
      </c>
      <c r="D242" t="s">
        <v>15</v>
      </c>
      <c r="E242">
        <v>0.113688</v>
      </c>
    </row>
    <row r="243" spans="1:5" hidden="1" x14ac:dyDescent="0.3">
      <c r="A243">
        <v>7</v>
      </c>
      <c r="B243">
        <v>135000</v>
      </c>
      <c r="C243" t="s">
        <v>46</v>
      </c>
      <c r="D243" t="s">
        <v>16</v>
      </c>
      <c r="E243">
        <v>0.59086899999999998</v>
      </c>
    </row>
    <row r="244" spans="1:5" hidden="1" x14ac:dyDescent="0.3">
      <c r="A244">
        <v>7</v>
      </c>
      <c r="B244">
        <v>135000</v>
      </c>
      <c r="C244" t="s">
        <v>46</v>
      </c>
      <c r="D244" t="s">
        <v>17</v>
      </c>
      <c r="E244">
        <v>0.72275199999999995</v>
      </c>
    </row>
    <row r="245" spans="1:5" hidden="1" x14ac:dyDescent="0.3">
      <c r="A245">
        <v>7</v>
      </c>
      <c r="B245">
        <v>135000</v>
      </c>
      <c r="C245" t="s">
        <v>46</v>
      </c>
      <c r="D245" t="s">
        <v>18</v>
      </c>
      <c r="E245">
        <v>44.419713000000002</v>
      </c>
    </row>
    <row r="246" spans="1:5" hidden="1" x14ac:dyDescent="0.3">
      <c r="A246">
        <v>7</v>
      </c>
      <c r="B246">
        <v>135000</v>
      </c>
      <c r="C246" t="s">
        <v>46</v>
      </c>
      <c r="D246" t="s">
        <v>19</v>
      </c>
      <c r="E246">
        <v>4222.2198859999999</v>
      </c>
    </row>
    <row r="247" spans="1:5" hidden="1" x14ac:dyDescent="0.3">
      <c r="A247">
        <v>7</v>
      </c>
      <c r="B247">
        <v>135000</v>
      </c>
      <c r="C247" t="s">
        <v>46</v>
      </c>
      <c r="D247" t="s">
        <v>20</v>
      </c>
      <c r="E247">
        <v>6055.5596519999999</v>
      </c>
    </row>
    <row r="248" spans="1:5" hidden="1" x14ac:dyDescent="0.3">
      <c r="A248">
        <v>7</v>
      </c>
      <c r="B248">
        <v>135000</v>
      </c>
      <c r="C248" t="s">
        <v>46</v>
      </c>
      <c r="D248" t="s">
        <v>21</v>
      </c>
      <c r="E248">
        <v>9.6684000000000006E-2</v>
      </c>
    </row>
    <row r="249" spans="1:5" hidden="1" x14ac:dyDescent="0.3">
      <c r="A249">
        <v>7</v>
      </c>
      <c r="B249">
        <v>135000</v>
      </c>
      <c r="C249" t="s">
        <v>46</v>
      </c>
      <c r="D249" t="s">
        <v>22</v>
      </c>
      <c r="E249">
        <v>268.84512599999999</v>
      </c>
    </row>
    <row r="250" spans="1:5" hidden="1" x14ac:dyDescent="0.3">
      <c r="A250">
        <v>7</v>
      </c>
      <c r="B250">
        <v>135000</v>
      </c>
      <c r="C250" t="s">
        <v>46</v>
      </c>
      <c r="D250" t="s">
        <v>23</v>
      </c>
      <c r="E250">
        <v>1722.226694</v>
      </c>
    </row>
    <row r="251" spans="1:5" hidden="1" x14ac:dyDescent="0.3">
      <c r="A251">
        <v>7</v>
      </c>
      <c r="B251">
        <v>135000</v>
      </c>
      <c r="C251" t="s">
        <v>46</v>
      </c>
      <c r="D251" t="s">
        <v>24</v>
      </c>
      <c r="E251">
        <v>0.11566800000000001</v>
      </c>
    </row>
    <row r="252" spans="1:5" hidden="1" x14ac:dyDescent="0.3">
      <c r="A252">
        <v>7</v>
      </c>
      <c r="B252">
        <v>135000</v>
      </c>
      <c r="C252" t="s">
        <v>46</v>
      </c>
      <c r="D252" t="s">
        <v>25</v>
      </c>
      <c r="E252">
        <v>1500.0028319999999</v>
      </c>
    </row>
    <row r="253" spans="1:5" hidden="1" x14ac:dyDescent="0.3">
      <c r="A253">
        <v>7</v>
      </c>
      <c r="B253">
        <v>135000</v>
      </c>
      <c r="C253" t="s">
        <v>46</v>
      </c>
      <c r="D253" t="s">
        <v>26</v>
      </c>
      <c r="E253">
        <v>0.109554</v>
      </c>
    </row>
    <row r="254" spans="1:5" hidden="1" x14ac:dyDescent="0.3">
      <c r="A254">
        <v>7</v>
      </c>
      <c r="B254">
        <v>135000</v>
      </c>
      <c r="C254" t="s">
        <v>47</v>
      </c>
      <c r="D254" t="s">
        <v>6</v>
      </c>
      <c r="E254">
        <v>13.741933</v>
      </c>
    </row>
    <row r="255" spans="1:5" hidden="1" x14ac:dyDescent="0.3">
      <c r="A255">
        <v>7</v>
      </c>
      <c r="B255">
        <v>135000</v>
      </c>
      <c r="C255" t="s">
        <v>47</v>
      </c>
      <c r="D255" t="s">
        <v>7</v>
      </c>
      <c r="E255">
        <v>0.22441</v>
      </c>
    </row>
    <row r="256" spans="1:5" hidden="1" x14ac:dyDescent="0.3">
      <c r="A256">
        <v>7</v>
      </c>
      <c r="B256">
        <v>135000</v>
      </c>
      <c r="C256" t="s">
        <v>47</v>
      </c>
      <c r="D256" t="s">
        <v>8</v>
      </c>
      <c r="E256">
        <v>194.44436400000001</v>
      </c>
    </row>
    <row r="257" spans="1:5" hidden="1" x14ac:dyDescent="0.3">
      <c r="A257">
        <v>7</v>
      </c>
      <c r="B257">
        <v>135000</v>
      </c>
      <c r="C257" t="s">
        <v>47</v>
      </c>
      <c r="D257" t="s">
        <v>9</v>
      </c>
      <c r="E257">
        <v>34138.482786</v>
      </c>
    </row>
    <row r="258" spans="1:5" hidden="1" x14ac:dyDescent="0.3">
      <c r="A258">
        <v>7</v>
      </c>
      <c r="B258">
        <v>135000</v>
      </c>
      <c r="C258" t="s">
        <v>47</v>
      </c>
      <c r="D258" t="s">
        <v>10</v>
      </c>
      <c r="E258">
        <v>66945.800109999996</v>
      </c>
    </row>
    <row r="259" spans="1:5" hidden="1" x14ac:dyDescent="0.3">
      <c r="A259">
        <v>7</v>
      </c>
      <c r="B259">
        <v>135000</v>
      </c>
      <c r="C259" t="s">
        <v>47</v>
      </c>
      <c r="D259" t="s">
        <v>11</v>
      </c>
      <c r="E259">
        <v>24709.966413999999</v>
      </c>
    </row>
    <row r="260" spans="1:5" hidden="1" x14ac:dyDescent="0.3">
      <c r="A260">
        <v>7</v>
      </c>
      <c r="B260">
        <v>135000</v>
      </c>
      <c r="C260" t="s">
        <v>47</v>
      </c>
      <c r="D260" t="s">
        <v>12</v>
      </c>
      <c r="E260">
        <v>3166.6664609999998</v>
      </c>
    </row>
    <row r="261" spans="1:5" hidden="1" x14ac:dyDescent="0.3">
      <c r="A261">
        <v>7</v>
      </c>
      <c r="B261">
        <v>135000</v>
      </c>
      <c r="C261" t="s">
        <v>47</v>
      </c>
      <c r="D261" t="s">
        <v>13</v>
      </c>
      <c r="E261">
        <v>3543.1391610000001</v>
      </c>
    </row>
    <row r="262" spans="1:5" hidden="1" x14ac:dyDescent="0.3">
      <c r="A262">
        <v>7</v>
      </c>
      <c r="B262">
        <v>135000</v>
      </c>
      <c r="C262" t="s">
        <v>47</v>
      </c>
      <c r="D262" t="s">
        <v>14</v>
      </c>
      <c r="E262">
        <v>0.22137399999999999</v>
      </c>
    </row>
    <row r="263" spans="1:5" hidden="1" x14ac:dyDescent="0.3">
      <c r="A263">
        <v>7</v>
      </c>
      <c r="B263">
        <v>135000</v>
      </c>
      <c r="C263" t="s">
        <v>47</v>
      </c>
      <c r="D263" t="s">
        <v>15</v>
      </c>
      <c r="E263">
        <v>2.1847999999999999E-2</v>
      </c>
    </row>
    <row r="264" spans="1:5" hidden="1" x14ac:dyDescent="0.3">
      <c r="A264">
        <v>7</v>
      </c>
      <c r="B264">
        <v>135000</v>
      </c>
      <c r="C264" t="s">
        <v>47</v>
      </c>
      <c r="D264" t="s">
        <v>16</v>
      </c>
      <c r="E264">
        <v>5.8384999999999999E-2</v>
      </c>
    </row>
    <row r="265" spans="1:5" hidden="1" x14ac:dyDescent="0.3">
      <c r="A265">
        <v>7</v>
      </c>
      <c r="B265">
        <v>135000</v>
      </c>
      <c r="C265" t="s">
        <v>47</v>
      </c>
      <c r="D265" t="s">
        <v>17</v>
      </c>
      <c r="E265">
        <v>55.554395999999997</v>
      </c>
    </row>
    <row r="266" spans="1:5" hidden="1" x14ac:dyDescent="0.3">
      <c r="A266">
        <v>7</v>
      </c>
      <c r="B266">
        <v>135000</v>
      </c>
      <c r="C266" t="s">
        <v>47</v>
      </c>
      <c r="D266" t="s">
        <v>18</v>
      </c>
      <c r="E266">
        <v>8.889132</v>
      </c>
    </row>
    <row r="267" spans="1:5" hidden="1" x14ac:dyDescent="0.3">
      <c r="A267">
        <v>7</v>
      </c>
      <c r="B267">
        <v>135000</v>
      </c>
      <c r="C267" t="s">
        <v>47</v>
      </c>
      <c r="D267" t="s">
        <v>19</v>
      </c>
      <c r="E267">
        <v>0.28390500000000002</v>
      </c>
    </row>
    <row r="268" spans="1:5" hidden="1" x14ac:dyDescent="0.3">
      <c r="A268">
        <v>7</v>
      </c>
      <c r="B268">
        <v>135000</v>
      </c>
      <c r="C268" t="s">
        <v>47</v>
      </c>
      <c r="D268" t="s">
        <v>20</v>
      </c>
      <c r="E268">
        <v>1472.2225390000001</v>
      </c>
    </row>
    <row r="269" spans="1:5" hidden="1" x14ac:dyDescent="0.3">
      <c r="A269">
        <v>7</v>
      </c>
      <c r="B269">
        <v>135000</v>
      </c>
      <c r="C269" t="s">
        <v>47</v>
      </c>
      <c r="D269" t="s">
        <v>21</v>
      </c>
      <c r="E269">
        <v>2.4849E-2</v>
      </c>
    </row>
    <row r="270" spans="1:5" hidden="1" x14ac:dyDescent="0.3">
      <c r="A270">
        <v>7</v>
      </c>
      <c r="B270">
        <v>135000</v>
      </c>
      <c r="C270" t="s">
        <v>47</v>
      </c>
      <c r="D270" t="s">
        <v>22</v>
      </c>
      <c r="E270">
        <v>0.223667</v>
      </c>
    </row>
    <row r="271" spans="1:5" hidden="1" x14ac:dyDescent="0.3">
      <c r="A271">
        <v>7</v>
      </c>
      <c r="B271">
        <v>135000</v>
      </c>
      <c r="C271" t="s">
        <v>47</v>
      </c>
      <c r="D271" t="s">
        <v>23</v>
      </c>
      <c r="E271">
        <v>388.88929999999999</v>
      </c>
    </row>
    <row r="272" spans="1:5" hidden="1" x14ac:dyDescent="0.3">
      <c r="A272">
        <v>7</v>
      </c>
      <c r="B272">
        <v>135000</v>
      </c>
      <c r="C272" t="s">
        <v>47</v>
      </c>
      <c r="D272" t="s">
        <v>24</v>
      </c>
      <c r="E272">
        <v>2.2046E-2</v>
      </c>
    </row>
    <row r="273" spans="1:5" hidden="1" x14ac:dyDescent="0.3">
      <c r="A273">
        <v>7</v>
      </c>
      <c r="B273">
        <v>135000</v>
      </c>
      <c r="C273" t="s">
        <v>47</v>
      </c>
      <c r="D273" t="s">
        <v>25</v>
      </c>
      <c r="E273">
        <v>361.11125500000003</v>
      </c>
    </row>
    <row r="274" spans="1:5" hidden="1" x14ac:dyDescent="0.3">
      <c r="A274">
        <v>7</v>
      </c>
      <c r="B274">
        <v>135000</v>
      </c>
      <c r="C274" t="s">
        <v>47</v>
      </c>
      <c r="D274" t="s">
        <v>26</v>
      </c>
      <c r="E274">
        <v>2.6315000000000002E-2</v>
      </c>
    </row>
    <row r="275" spans="1:5" hidden="1" x14ac:dyDescent="0.3">
      <c r="A275">
        <v>8</v>
      </c>
      <c r="B275">
        <v>140000</v>
      </c>
      <c r="C275" t="s">
        <v>45</v>
      </c>
      <c r="D275" t="s">
        <v>6</v>
      </c>
      <c r="E275">
        <v>0.147401</v>
      </c>
    </row>
    <row r="276" spans="1:5" hidden="1" x14ac:dyDescent="0.3">
      <c r="A276">
        <v>8</v>
      </c>
      <c r="B276">
        <v>140000</v>
      </c>
      <c r="C276" t="s">
        <v>45</v>
      </c>
      <c r="D276" t="s">
        <v>7</v>
      </c>
      <c r="E276">
        <v>0.75337699999999996</v>
      </c>
    </row>
    <row r="277" spans="1:5" hidden="1" x14ac:dyDescent="0.3">
      <c r="A277">
        <v>8</v>
      </c>
      <c r="B277">
        <v>140000</v>
      </c>
      <c r="C277" t="s">
        <v>45</v>
      </c>
      <c r="D277" t="s">
        <v>8</v>
      </c>
      <c r="E277">
        <v>0.20925199999999999</v>
      </c>
    </row>
    <row r="278" spans="1:5" hidden="1" x14ac:dyDescent="0.3">
      <c r="A278">
        <v>8</v>
      </c>
      <c r="B278">
        <v>140000</v>
      </c>
      <c r="C278" t="s">
        <v>45</v>
      </c>
      <c r="D278" t="s">
        <v>9</v>
      </c>
      <c r="E278">
        <v>0.91872200000000004</v>
      </c>
    </row>
    <row r="279" spans="1:5" hidden="1" x14ac:dyDescent="0.3">
      <c r="A279">
        <v>8</v>
      </c>
      <c r="B279">
        <v>140000</v>
      </c>
      <c r="C279" t="s">
        <v>45</v>
      </c>
      <c r="D279" t="s">
        <v>10</v>
      </c>
      <c r="E279">
        <v>0.16824900000000001</v>
      </c>
    </row>
    <row r="280" spans="1:5" hidden="1" x14ac:dyDescent="0.3">
      <c r="A280">
        <v>8</v>
      </c>
      <c r="B280">
        <v>140000</v>
      </c>
      <c r="C280" t="s">
        <v>45</v>
      </c>
      <c r="D280" t="s">
        <v>11</v>
      </c>
      <c r="E280">
        <v>34138.635284999997</v>
      </c>
    </row>
    <row r="281" spans="1:5" hidden="1" x14ac:dyDescent="0.3">
      <c r="A281">
        <v>8</v>
      </c>
      <c r="B281">
        <v>140000</v>
      </c>
      <c r="C281" t="s">
        <v>45</v>
      </c>
      <c r="D281" t="s">
        <v>12</v>
      </c>
      <c r="E281">
        <v>44388.269250999998</v>
      </c>
    </row>
    <row r="282" spans="1:5" hidden="1" x14ac:dyDescent="0.3">
      <c r="A282">
        <v>8</v>
      </c>
      <c r="B282">
        <v>140000</v>
      </c>
      <c r="C282" t="s">
        <v>45</v>
      </c>
      <c r="D282" t="s">
        <v>13</v>
      </c>
      <c r="E282">
        <v>35431.262170000002</v>
      </c>
    </row>
    <row r="283" spans="1:5" hidden="1" x14ac:dyDescent="0.3">
      <c r="A283">
        <v>8</v>
      </c>
      <c r="B283">
        <v>140000</v>
      </c>
      <c r="C283" t="s">
        <v>45</v>
      </c>
      <c r="D283" t="s">
        <v>14</v>
      </c>
      <c r="E283">
        <v>0.72536699999999998</v>
      </c>
    </row>
    <row r="284" spans="1:5" hidden="1" x14ac:dyDescent="0.3">
      <c r="A284">
        <v>8</v>
      </c>
      <c r="B284">
        <v>140000</v>
      </c>
      <c r="C284" t="s">
        <v>45</v>
      </c>
      <c r="D284" t="s">
        <v>15</v>
      </c>
      <c r="E284">
        <v>4.6732999999999997E-2</v>
      </c>
    </row>
    <row r="285" spans="1:5" hidden="1" x14ac:dyDescent="0.3">
      <c r="A285">
        <v>8</v>
      </c>
      <c r="B285">
        <v>140000</v>
      </c>
      <c r="C285" t="s">
        <v>45</v>
      </c>
      <c r="D285" t="s">
        <v>16</v>
      </c>
      <c r="E285">
        <v>0.320299</v>
      </c>
    </row>
    <row r="286" spans="1:5" hidden="1" x14ac:dyDescent="0.3">
      <c r="A286">
        <v>8</v>
      </c>
      <c r="B286">
        <v>140000</v>
      </c>
      <c r="C286" t="s">
        <v>45</v>
      </c>
      <c r="D286" t="s">
        <v>17</v>
      </c>
      <c r="E286">
        <v>0.107822</v>
      </c>
    </row>
    <row r="287" spans="1:5" hidden="1" x14ac:dyDescent="0.3">
      <c r="A287">
        <v>8</v>
      </c>
      <c r="B287">
        <v>140000</v>
      </c>
      <c r="C287" t="s">
        <v>45</v>
      </c>
      <c r="D287" t="s">
        <v>18</v>
      </c>
      <c r="E287">
        <v>88.817820999999995</v>
      </c>
    </row>
    <row r="288" spans="1:5" hidden="1" x14ac:dyDescent="0.3">
      <c r="A288">
        <v>8</v>
      </c>
      <c r="B288">
        <v>140000</v>
      </c>
      <c r="C288" t="s">
        <v>45</v>
      </c>
      <c r="D288" t="s">
        <v>19</v>
      </c>
      <c r="E288">
        <v>6337.0618519999998</v>
      </c>
    </row>
    <row r="289" spans="1:5" hidden="1" x14ac:dyDescent="0.3">
      <c r="A289">
        <v>8</v>
      </c>
      <c r="B289">
        <v>140000</v>
      </c>
      <c r="C289" t="s">
        <v>45</v>
      </c>
      <c r="D289" t="s">
        <v>20</v>
      </c>
      <c r="E289">
        <v>15166.666711</v>
      </c>
    </row>
    <row r="290" spans="1:5" hidden="1" x14ac:dyDescent="0.3">
      <c r="A290">
        <v>8</v>
      </c>
      <c r="B290">
        <v>140000</v>
      </c>
      <c r="C290" t="s">
        <v>45</v>
      </c>
      <c r="D290" t="s">
        <v>21</v>
      </c>
      <c r="E290">
        <v>3.2419000000000003E-2</v>
      </c>
    </row>
    <row r="291" spans="1:5" hidden="1" x14ac:dyDescent="0.3">
      <c r="A291">
        <v>8</v>
      </c>
      <c r="B291">
        <v>140000</v>
      </c>
      <c r="C291" t="s">
        <v>45</v>
      </c>
      <c r="D291" t="s">
        <v>22</v>
      </c>
      <c r="E291">
        <v>0.82769599999999999</v>
      </c>
    </row>
    <row r="292" spans="1:5" hidden="1" x14ac:dyDescent="0.3">
      <c r="A292">
        <v>8</v>
      </c>
      <c r="B292">
        <v>140000</v>
      </c>
      <c r="C292" t="s">
        <v>45</v>
      </c>
      <c r="D292" t="s">
        <v>23</v>
      </c>
      <c r="E292">
        <v>4444.4449759999998</v>
      </c>
    </row>
    <row r="293" spans="1:5" hidden="1" x14ac:dyDescent="0.3">
      <c r="A293">
        <v>8</v>
      </c>
      <c r="B293">
        <v>140000</v>
      </c>
      <c r="C293" t="s">
        <v>45</v>
      </c>
      <c r="D293" t="s">
        <v>24</v>
      </c>
      <c r="E293">
        <v>4.7780999999999997E-2</v>
      </c>
    </row>
    <row r="294" spans="1:5" hidden="1" x14ac:dyDescent="0.3">
      <c r="A294">
        <v>8</v>
      </c>
      <c r="B294">
        <v>140000</v>
      </c>
      <c r="C294" t="s">
        <v>45</v>
      </c>
      <c r="D294" t="s">
        <v>25</v>
      </c>
      <c r="E294">
        <v>0.51862399999999997</v>
      </c>
    </row>
    <row r="295" spans="1:5" hidden="1" x14ac:dyDescent="0.3">
      <c r="A295">
        <v>8</v>
      </c>
      <c r="B295">
        <v>140000</v>
      </c>
      <c r="C295" t="s">
        <v>45</v>
      </c>
      <c r="D295" t="s">
        <v>26</v>
      </c>
      <c r="E295">
        <v>3.8469000000000003E-2</v>
      </c>
    </row>
    <row r="296" spans="1:5" x14ac:dyDescent="0.3">
      <c r="A296">
        <v>8</v>
      </c>
      <c r="B296">
        <v>140000</v>
      </c>
      <c r="C296" t="s">
        <v>46</v>
      </c>
      <c r="D296" t="s">
        <v>6</v>
      </c>
      <c r="E296">
        <v>54.987521000000001</v>
      </c>
    </row>
    <row r="297" spans="1:5" hidden="1" x14ac:dyDescent="0.3">
      <c r="A297">
        <v>8</v>
      </c>
      <c r="B297">
        <v>140000</v>
      </c>
      <c r="C297" t="s">
        <v>46</v>
      </c>
      <c r="D297" t="s">
        <v>7</v>
      </c>
      <c r="E297">
        <v>36509.295514999998</v>
      </c>
    </row>
    <row r="298" spans="1:5" hidden="1" x14ac:dyDescent="0.3">
      <c r="A298">
        <v>8</v>
      </c>
      <c r="B298">
        <v>140000</v>
      </c>
      <c r="C298" t="s">
        <v>46</v>
      </c>
      <c r="D298" t="s">
        <v>8</v>
      </c>
      <c r="E298">
        <v>194.440293</v>
      </c>
    </row>
    <row r="299" spans="1:5" hidden="1" x14ac:dyDescent="0.3">
      <c r="A299">
        <v>8</v>
      </c>
      <c r="B299">
        <v>140000</v>
      </c>
      <c r="C299" t="s">
        <v>46</v>
      </c>
      <c r="D299" t="s">
        <v>9</v>
      </c>
      <c r="E299">
        <v>34138.445912000003</v>
      </c>
    </row>
    <row r="300" spans="1:5" hidden="1" x14ac:dyDescent="0.3">
      <c r="A300">
        <v>8</v>
      </c>
      <c r="B300">
        <v>140000</v>
      </c>
      <c r="C300" t="s">
        <v>46</v>
      </c>
      <c r="D300" t="s">
        <v>10</v>
      </c>
      <c r="E300">
        <v>0.93450200000000005</v>
      </c>
    </row>
    <row r="301" spans="1:5" hidden="1" x14ac:dyDescent="0.3">
      <c r="A301">
        <v>8</v>
      </c>
      <c r="B301">
        <v>140000</v>
      </c>
      <c r="C301" t="s">
        <v>46</v>
      </c>
      <c r="D301" t="s">
        <v>11</v>
      </c>
      <c r="E301">
        <v>28361.101574</v>
      </c>
    </row>
    <row r="302" spans="1:5" hidden="1" x14ac:dyDescent="0.3">
      <c r="A302">
        <v>8</v>
      </c>
      <c r="B302">
        <v>140000</v>
      </c>
      <c r="C302" t="s">
        <v>46</v>
      </c>
      <c r="D302" t="s">
        <v>12</v>
      </c>
      <c r="E302">
        <v>12555.552151</v>
      </c>
    </row>
    <row r="303" spans="1:5" hidden="1" x14ac:dyDescent="0.3">
      <c r="A303">
        <v>8</v>
      </c>
      <c r="B303">
        <v>140000</v>
      </c>
      <c r="C303" t="s">
        <v>46</v>
      </c>
      <c r="D303" t="s">
        <v>13</v>
      </c>
      <c r="E303">
        <v>14172.544728999999</v>
      </c>
    </row>
    <row r="304" spans="1:5" hidden="1" x14ac:dyDescent="0.3">
      <c r="A304">
        <v>8</v>
      </c>
      <c r="B304">
        <v>140000</v>
      </c>
      <c r="C304" t="s">
        <v>46</v>
      </c>
      <c r="D304" t="s">
        <v>14</v>
      </c>
      <c r="E304">
        <v>198.36035999999999</v>
      </c>
    </row>
    <row r="305" spans="1:5" hidden="1" x14ac:dyDescent="0.3">
      <c r="A305">
        <v>8</v>
      </c>
      <c r="B305">
        <v>140000</v>
      </c>
      <c r="C305" t="s">
        <v>46</v>
      </c>
      <c r="D305" t="s">
        <v>15</v>
      </c>
      <c r="E305">
        <v>8.5568000000000005E-2</v>
      </c>
    </row>
    <row r="306" spans="1:5" hidden="1" x14ac:dyDescent="0.3">
      <c r="A306">
        <v>8</v>
      </c>
      <c r="B306">
        <v>140000</v>
      </c>
      <c r="C306" t="s">
        <v>46</v>
      </c>
      <c r="D306" t="s">
        <v>16</v>
      </c>
      <c r="E306">
        <v>0.44573400000000002</v>
      </c>
    </row>
    <row r="307" spans="1:5" hidden="1" x14ac:dyDescent="0.3">
      <c r="A307">
        <v>8</v>
      </c>
      <c r="B307">
        <v>140000</v>
      </c>
      <c r="C307" t="s">
        <v>46</v>
      </c>
      <c r="D307" t="s">
        <v>17</v>
      </c>
      <c r="E307">
        <v>0.48348400000000002</v>
      </c>
    </row>
    <row r="308" spans="1:5" hidden="1" x14ac:dyDescent="0.3">
      <c r="A308">
        <v>8</v>
      </c>
      <c r="B308">
        <v>140000</v>
      </c>
      <c r="C308" t="s">
        <v>46</v>
      </c>
      <c r="D308" t="s">
        <v>18</v>
      </c>
      <c r="E308">
        <v>44.418033999999999</v>
      </c>
    </row>
    <row r="309" spans="1:5" hidden="1" x14ac:dyDescent="0.3">
      <c r="A309">
        <v>8</v>
      </c>
      <c r="B309">
        <v>140000</v>
      </c>
      <c r="C309" t="s">
        <v>46</v>
      </c>
      <c r="D309" t="s">
        <v>19</v>
      </c>
      <c r="E309">
        <v>4222.1886560000003</v>
      </c>
    </row>
    <row r="310" spans="1:5" hidden="1" x14ac:dyDescent="0.3">
      <c r="A310">
        <v>8</v>
      </c>
      <c r="B310">
        <v>140000</v>
      </c>
      <c r="C310" t="s">
        <v>46</v>
      </c>
      <c r="D310" t="s">
        <v>20</v>
      </c>
      <c r="E310">
        <v>6055.5576499999997</v>
      </c>
    </row>
    <row r="311" spans="1:5" hidden="1" x14ac:dyDescent="0.3">
      <c r="A311">
        <v>8</v>
      </c>
      <c r="B311">
        <v>140000</v>
      </c>
      <c r="C311" t="s">
        <v>46</v>
      </c>
      <c r="D311" t="s">
        <v>21</v>
      </c>
      <c r="E311">
        <v>7.3125999999999997E-2</v>
      </c>
    </row>
    <row r="312" spans="1:5" hidden="1" x14ac:dyDescent="0.3">
      <c r="A312">
        <v>8</v>
      </c>
      <c r="B312">
        <v>140000</v>
      </c>
      <c r="C312" t="s">
        <v>46</v>
      </c>
      <c r="D312" t="s">
        <v>22</v>
      </c>
      <c r="E312">
        <v>268.76933600000001</v>
      </c>
    </row>
    <row r="313" spans="1:5" hidden="1" x14ac:dyDescent="0.3">
      <c r="A313">
        <v>8</v>
      </c>
      <c r="B313">
        <v>140000</v>
      </c>
      <c r="C313" t="s">
        <v>46</v>
      </c>
      <c r="D313" t="s">
        <v>23</v>
      </c>
      <c r="E313">
        <v>1722.2252060000001</v>
      </c>
    </row>
    <row r="314" spans="1:5" hidden="1" x14ac:dyDescent="0.3">
      <c r="A314">
        <v>8</v>
      </c>
      <c r="B314">
        <v>140000</v>
      </c>
      <c r="C314" t="s">
        <v>46</v>
      </c>
      <c r="D314" t="s">
        <v>24</v>
      </c>
      <c r="E314">
        <v>8.7056999999999995E-2</v>
      </c>
    </row>
    <row r="315" spans="1:5" hidden="1" x14ac:dyDescent="0.3">
      <c r="A315">
        <v>8</v>
      </c>
      <c r="B315">
        <v>140000</v>
      </c>
      <c r="C315" t="s">
        <v>46</v>
      </c>
      <c r="D315" t="s">
        <v>25</v>
      </c>
      <c r="E315">
        <v>1500.001229</v>
      </c>
    </row>
    <row r="316" spans="1:5" hidden="1" x14ac:dyDescent="0.3">
      <c r="A316">
        <v>8</v>
      </c>
      <c r="B316">
        <v>140000</v>
      </c>
      <c r="C316" t="s">
        <v>46</v>
      </c>
      <c r="D316" t="s">
        <v>26</v>
      </c>
      <c r="E316">
        <v>8.2624000000000003E-2</v>
      </c>
    </row>
    <row r="317" spans="1:5" hidden="1" x14ac:dyDescent="0.3">
      <c r="A317">
        <v>8</v>
      </c>
      <c r="B317">
        <v>140000</v>
      </c>
      <c r="C317" t="s">
        <v>47</v>
      </c>
      <c r="D317" t="s">
        <v>6</v>
      </c>
      <c r="E317">
        <v>13.742578999999999</v>
      </c>
    </row>
    <row r="318" spans="1:5" hidden="1" x14ac:dyDescent="0.3">
      <c r="A318">
        <v>8</v>
      </c>
      <c r="B318">
        <v>140000</v>
      </c>
      <c r="C318" t="s">
        <v>47</v>
      </c>
      <c r="D318" t="s">
        <v>7</v>
      </c>
      <c r="E318">
        <v>22194.404494999999</v>
      </c>
    </row>
    <row r="319" spans="1:5" hidden="1" x14ac:dyDescent="0.3">
      <c r="A319">
        <v>8</v>
      </c>
      <c r="B319">
        <v>140000</v>
      </c>
      <c r="C319" t="s">
        <v>47</v>
      </c>
      <c r="D319" t="s">
        <v>8</v>
      </c>
      <c r="E319">
        <v>194.445134</v>
      </c>
    </row>
    <row r="320" spans="1:5" hidden="1" x14ac:dyDescent="0.3">
      <c r="A320">
        <v>8</v>
      </c>
      <c r="B320">
        <v>140000</v>
      </c>
      <c r="C320" t="s">
        <v>47</v>
      </c>
      <c r="D320" t="s">
        <v>9</v>
      </c>
      <c r="E320">
        <v>34138.484462</v>
      </c>
    </row>
    <row r="321" spans="1:5" hidden="1" x14ac:dyDescent="0.3">
      <c r="A321">
        <v>8</v>
      </c>
      <c r="B321">
        <v>140000</v>
      </c>
      <c r="C321" t="s">
        <v>47</v>
      </c>
      <c r="D321" t="s">
        <v>10</v>
      </c>
      <c r="E321">
        <v>46510.520662000003</v>
      </c>
    </row>
    <row r="322" spans="1:5" hidden="1" x14ac:dyDescent="0.3">
      <c r="A322">
        <v>8</v>
      </c>
      <c r="B322">
        <v>140000</v>
      </c>
      <c r="C322" t="s">
        <v>47</v>
      </c>
      <c r="D322" t="s">
        <v>11</v>
      </c>
      <c r="E322">
        <v>24709.967893000001</v>
      </c>
    </row>
    <row r="323" spans="1:5" hidden="1" x14ac:dyDescent="0.3">
      <c r="A323">
        <v>8</v>
      </c>
      <c r="B323">
        <v>140000</v>
      </c>
      <c r="C323" t="s">
        <v>47</v>
      </c>
      <c r="D323" t="s">
        <v>12</v>
      </c>
      <c r="E323">
        <v>3166.6678579999998</v>
      </c>
    </row>
    <row r="324" spans="1:5" hidden="1" x14ac:dyDescent="0.3">
      <c r="A324">
        <v>8</v>
      </c>
      <c r="B324">
        <v>140000</v>
      </c>
      <c r="C324" t="s">
        <v>47</v>
      </c>
      <c r="D324" t="s">
        <v>13</v>
      </c>
      <c r="E324">
        <v>3543.1402750000002</v>
      </c>
    </row>
    <row r="325" spans="1:5" hidden="1" x14ac:dyDescent="0.3">
      <c r="A325">
        <v>8</v>
      </c>
      <c r="B325">
        <v>140000</v>
      </c>
      <c r="C325" t="s">
        <v>47</v>
      </c>
      <c r="D325" t="s">
        <v>14</v>
      </c>
      <c r="E325">
        <v>1916.667203</v>
      </c>
    </row>
    <row r="326" spans="1:5" hidden="1" x14ac:dyDescent="0.3">
      <c r="A326">
        <v>8</v>
      </c>
      <c r="B326">
        <v>140000</v>
      </c>
      <c r="C326" t="s">
        <v>47</v>
      </c>
      <c r="D326" t="s">
        <v>15</v>
      </c>
      <c r="E326">
        <v>4.0001000000000002E-2</v>
      </c>
    </row>
    <row r="327" spans="1:5" hidden="1" x14ac:dyDescent="0.3">
      <c r="A327">
        <v>8</v>
      </c>
      <c r="B327">
        <v>140000</v>
      </c>
      <c r="C327" t="s">
        <v>47</v>
      </c>
      <c r="D327" t="s">
        <v>16</v>
      </c>
      <c r="E327">
        <v>1.2591019999999999</v>
      </c>
    </row>
    <row r="328" spans="1:5" hidden="1" x14ac:dyDescent="0.3">
      <c r="A328">
        <v>8</v>
      </c>
      <c r="B328">
        <v>140000</v>
      </c>
      <c r="C328" t="s">
        <v>47</v>
      </c>
      <c r="D328" t="s">
        <v>17</v>
      </c>
      <c r="E328">
        <v>0.85891099999999998</v>
      </c>
    </row>
    <row r="329" spans="1:5" hidden="1" x14ac:dyDescent="0.3">
      <c r="A329">
        <v>8</v>
      </c>
      <c r="B329">
        <v>140000</v>
      </c>
      <c r="C329" t="s">
        <v>47</v>
      </c>
      <c r="D329" t="s">
        <v>18</v>
      </c>
      <c r="E329">
        <v>8.8900450000000006</v>
      </c>
    </row>
    <row r="330" spans="1:5" hidden="1" x14ac:dyDescent="0.3">
      <c r="A330">
        <v>8</v>
      </c>
      <c r="B330">
        <v>140000</v>
      </c>
      <c r="C330" t="s">
        <v>47</v>
      </c>
      <c r="D330" t="s">
        <v>19</v>
      </c>
      <c r="E330">
        <v>1277.778585</v>
      </c>
    </row>
    <row r="331" spans="1:5" hidden="1" x14ac:dyDescent="0.3">
      <c r="A331">
        <v>8</v>
      </c>
      <c r="B331">
        <v>140000</v>
      </c>
      <c r="C331" t="s">
        <v>47</v>
      </c>
      <c r="D331" t="s">
        <v>20</v>
      </c>
      <c r="E331">
        <v>1472.2236250000001</v>
      </c>
    </row>
    <row r="332" spans="1:5" hidden="1" x14ac:dyDescent="0.3">
      <c r="A332">
        <v>8</v>
      </c>
      <c r="B332">
        <v>140000</v>
      </c>
      <c r="C332" t="s">
        <v>47</v>
      </c>
      <c r="D332" t="s">
        <v>21</v>
      </c>
      <c r="E332">
        <v>3.3805000000000002E-2</v>
      </c>
    </row>
    <row r="333" spans="1:5" hidden="1" x14ac:dyDescent="0.3">
      <c r="A333">
        <v>8</v>
      </c>
      <c r="B333">
        <v>140000</v>
      </c>
      <c r="C333" t="s">
        <v>47</v>
      </c>
      <c r="D333" t="s">
        <v>22</v>
      </c>
      <c r="E333">
        <v>100.82791899999999</v>
      </c>
    </row>
    <row r="334" spans="1:5" hidden="1" x14ac:dyDescent="0.3">
      <c r="A334">
        <v>8</v>
      </c>
      <c r="B334">
        <v>140000</v>
      </c>
      <c r="C334" t="s">
        <v>47</v>
      </c>
      <c r="D334" t="s">
        <v>23</v>
      </c>
      <c r="E334">
        <v>388.89035200000001</v>
      </c>
    </row>
    <row r="335" spans="1:5" hidden="1" x14ac:dyDescent="0.3">
      <c r="A335">
        <v>8</v>
      </c>
      <c r="B335">
        <v>140000</v>
      </c>
      <c r="C335" t="s">
        <v>47</v>
      </c>
      <c r="D335" t="s">
        <v>24</v>
      </c>
      <c r="E335">
        <v>4.1209000000000003E-2</v>
      </c>
    </row>
    <row r="336" spans="1:5" hidden="1" x14ac:dyDescent="0.3">
      <c r="A336">
        <v>8</v>
      </c>
      <c r="B336">
        <v>140000</v>
      </c>
      <c r="C336" t="s">
        <v>47</v>
      </c>
      <c r="D336" t="s">
        <v>25</v>
      </c>
      <c r="E336">
        <v>361.11226900000003</v>
      </c>
    </row>
    <row r="337" spans="1:5" hidden="1" x14ac:dyDescent="0.3">
      <c r="A337">
        <v>8</v>
      </c>
      <c r="B337">
        <v>140000</v>
      </c>
      <c r="C337" t="s">
        <v>47</v>
      </c>
      <c r="D337" t="s">
        <v>26</v>
      </c>
      <c r="E337">
        <v>3.9267000000000003E-2</v>
      </c>
    </row>
    <row r="338" spans="1:5" hidden="1" x14ac:dyDescent="0.3">
      <c r="A338">
        <v>9</v>
      </c>
      <c r="B338">
        <v>145000</v>
      </c>
      <c r="C338" t="s">
        <v>45</v>
      </c>
      <c r="D338" t="s">
        <v>6</v>
      </c>
      <c r="E338">
        <v>0.42119800000000002</v>
      </c>
    </row>
    <row r="339" spans="1:5" hidden="1" x14ac:dyDescent="0.3">
      <c r="A339">
        <v>9</v>
      </c>
      <c r="B339">
        <v>145000</v>
      </c>
      <c r="C339" t="s">
        <v>45</v>
      </c>
      <c r="D339" t="s">
        <v>7</v>
      </c>
      <c r="E339">
        <v>1869.1497569999999</v>
      </c>
    </row>
    <row r="340" spans="1:5" hidden="1" x14ac:dyDescent="0.3">
      <c r="A340">
        <v>9</v>
      </c>
      <c r="B340">
        <v>145000</v>
      </c>
      <c r="C340" t="s">
        <v>45</v>
      </c>
      <c r="D340" t="s">
        <v>8</v>
      </c>
      <c r="E340">
        <v>0.77691200000000005</v>
      </c>
    </row>
    <row r="341" spans="1:5" hidden="1" x14ac:dyDescent="0.3">
      <c r="A341">
        <v>9</v>
      </c>
      <c r="B341">
        <v>145000</v>
      </c>
      <c r="C341" t="s">
        <v>45</v>
      </c>
      <c r="D341" t="s">
        <v>9</v>
      </c>
      <c r="E341">
        <v>10.248241999999999</v>
      </c>
    </row>
    <row r="342" spans="1:5" hidden="1" x14ac:dyDescent="0.3">
      <c r="A342">
        <v>9</v>
      </c>
      <c r="B342">
        <v>145000</v>
      </c>
      <c r="C342" t="s">
        <v>45</v>
      </c>
      <c r="D342" t="s">
        <v>10</v>
      </c>
      <c r="E342">
        <v>0.53994299999999995</v>
      </c>
    </row>
    <row r="343" spans="1:5" hidden="1" x14ac:dyDescent="0.3">
      <c r="A343">
        <v>9</v>
      </c>
      <c r="B343">
        <v>145000</v>
      </c>
      <c r="C343" t="s">
        <v>45</v>
      </c>
      <c r="D343" t="s">
        <v>11</v>
      </c>
      <c r="E343">
        <v>34138.874713999998</v>
      </c>
    </row>
    <row r="344" spans="1:5" hidden="1" x14ac:dyDescent="0.3">
      <c r="A344">
        <v>9</v>
      </c>
      <c r="B344">
        <v>145000</v>
      </c>
      <c r="C344" t="s">
        <v>45</v>
      </c>
      <c r="D344" t="s">
        <v>12</v>
      </c>
      <c r="E344">
        <v>44388.806863999998</v>
      </c>
    </row>
    <row r="345" spans="1:5" hidden="1" x14ac:dyDescent="0.3">
      <c r="A345">
        <v>9</v>
      </c>
      <c r="B345">
        <v>145000</v>
      </c>
      <c r="C345" t="s">
        <v>45</v>
      </c>
      <c r="D345" t="s">
        <v>13</v>
      </c>
      <c r="E345">
        <v>35431.282956000003</v>
      </c>
    </row>
    <row r="346" spans="1:5" hidden="1" x14ac:dyDescent="0.3">
      <c r="A346">
        <v>9</v>
      </c>
      <c r="B346">
        <v>145000</v>
      </c>
      <c r="C346" t="s">
        <v>45</v>
      </c>
      <c r="D346" t="s">
        <v>14</v>
      </c>
      <c r="E346">
        <v>117.025929</v>
      </c>
    </row>
    <row r="347" spans="1:5" hidden="1" x14ac:dyDescent="0.3">
      <c r="A347">
        <v>9</v>
      </c>
      <c r="B347">
        <v>145000</v>
      </c>
      <c r="C347" t="s">
        <v>45</v>
      </c>
      <c r="D347" t="s">
        <v>15</v>
      </c>
      <c r="E347">
        <v>0.159853</v>
      </c>
    </row>
    <row r="348" spans="1:5" hidden="1" x14ac:dyDescent="0.3">
      <c r="A348">
        <v>9</v>
      </c>
      <c r="B348">
        <v>145000</v>
      </c>
      <c r="C348" t="s">
        <v>45</v>
      </c>
      <c r="D348" t="s">
        <v>16</v>
      </c>
      <c r="E348">
        <v>2.5305019999999998</v>
      </c>
    </row>
    <row r="349" spans="1:5" hidden="1" x14ac:dyDescent="0.3">
      <c r="A349">
        <v>9</v>
      </c>
      <c r="B349">
        <v>145000</v>
      </c>
      <c r="C349" t="s">
        <v>45</v>
      </c>
      <c r="D349" t="s">
        <v>17</v>
      </c>
      <c r="E349">
        <v>0.30835400000000002</v>
      </c>
    </row>
    <row r="350" spans="1:5" hidden="1" x14ac:dyDescent="0.3">
      <c r="A350">
        <v>9</v>
      </c>
      <c r="B350">
        <v>145000</v>
      </c>
      <c r="C350" t="s">
        <v>45</v>
      </c>
      <c r="D350" t="s">
        <v>18</v>
      </c>
      <c r="E350">
        <v>88.826397999999998</v>
      </c>
    </row>
    <row r="351" spans="1:5" hidden="1" x14ac:dyDescent="0.3">
      <c r="A351">
        <v>9</v>
      </c>
      <c r="B351">
        <v>145000</v>
      </c>
      <c r="C351" t="s">
        <v>45</v>
      </c>
      <c r="D351" t="s">
        <v>19</v>
      </c>
      <c r="E351">
        <v>8833.319184</v>
      </c>
    </row>
    <row r="352" spans="1:5" hidden="1" x14ac:dyDescent="0.3">
      <c r="A352">
        <v>9</v>
      </c>
      <c r="B352">
        <v>145000</v>
      </c>
      <c r="C352" t="s">
        <v>45</v>
      </c>
      <c r="D352" t="s">
        <v>20</v>
      </c>
      <c r="E352">
        <v>15166.66606</v>
      </c>
    </row>
    <row r="353" spans="1:5" hidden="1" x14ac:dyDescent="0.3">
      <c r="A353">
        <v>9</v>
      </c>
      <c r="B353">
        <v>145000</v>
      </c>
      <c r="C353" t="s">
        <v>45</v>
      </c>
      <c r="D353" t="s">
        <v>21</v>
      </c>
      <c r="E353">
        <v>0.10240200000000001</v>
      </c>
    </row>
    <row r="354" spans="1:5" hidden="1" x14ac:dyDescent="0.3">
      <c r="A354">
        <v>9</v>
      </c>
      <c r="B354">
        <v>145000</v>
      </c>
      <c r="C354" t="s">
        <v>45</v>
      </c>
      <c r="D354" t="s">
        <v>22</v>
      </c>
      <c r="E354">
        <v>503.93597599999998</v>
      </c>
    </row>
    <row r="355" spans="1:5" hidden="1" x14ac:dyDescent="0.3">
      <c r="A355">
        <v>9</v>
      </c>
      <c r="B355">
        <v>145000</v>
      </c>
      <c r="C355" t="s">
        <v>45</v>
      </c>
      <c r="D355" t="s">
        <v>23</v>
      </c>
      <c r="E355">
        <v>4444.4448510000002</v>
      </c>
    </row>
    <row r="356" spans="1:5" hidden="1" x14ac:dyDescent="0.3">
      <c r="A356">
        <v>9</v>
      </c>
      <c r="B356">
        <v>145000</v>
      </c>
      <c r="C356" t="s">
        <v>45</v>
      </c>
      <c r="D356" t="s">
        <v>24</v>
      </c>
      <c r="E356">
        <v>0.164049</v>
      </c>
    </row>
    <row r="357" spans="1:5" hidden="1" x14ac:dyDescent="0.3">
      <c r="A357">
        <v>9</v>
      </c>
      <c r="B357">
        <v>145000</v>
      </c>
      <c r="C357" t="s">
        <v>45</v>
      </c>
      <c r="D357" t="s">
        <v>25</v>
      </c>
      <c r="E357">
        <v>2.3283550000000002</v>
      </c>
    </row>
    <row r="358" spans="1:5" hidden="1" x14ac:dyDescent="0.3">
      <c r="A358">
        <v>9</v>
      </c>
      <c r="B358">
        <v>145000</v>
      </c>
      <c r="C358" t="s">
        <v>45</v>
      </c>
      <c r="D358" t="s">
        <v>26</v>
      </c>
      <c r="E358">
        <v>0.12198199999999999</v>
      </c>
    </row>
    <row r="359" spans="1:5" x14ac:dyDescent="0.3">
      <c r="A359">
        <v>9</v>
      </c>
      <c r="B359">
        <v>145000</v>
      </c>
      <c r="C359" t="s">
        <v>46</v>
      </c>
      <c r="D359" t="s">
        <v>6</v>
      </c>
      <c r="E359">
        <v>54.985985999999997</v>
      </c>
    </row>
    <row r="360" spans="1:5" hidden="1" x14ac:dyDescent="0.3">
      <c r="A360">
        <v>9</v>
      </c>
      <c r="B360">
        <v>145000</v>
      </c>
      <c r="C360" t="s">
        <v>46</v>
      </c>
      <c r="D360" t="s">
        <v>7</v>
      </c>
      <c r="E360">
        <v>36553.236080000002</v>
      </c>
    </row>
    <row r="361" spans="1:5" hidden="1" x14ac:dyDescent="0.3">
      <c r="A361">
        <v>9</v>
      </c>
      <c r="B361">
        <v>145000</v>
      </c>
      <c r="C361" t="s">
        <v>46</v>
      </c>
      <c r="D361" t="s">
        <v>8</v>
      </c>
      <c r="E361">
        <v>0.41025899999999998</v>
      </c>
    </row>
    <row r="362" spans="1:5" hidden="1" x14ac:dyDescent="0.3">
      <c r="A362">
        <v>9</v>
      </c>
      <c r="B362">
        <v>145000</v>
      </c>
      <c r="C362" t="s">
        <v>46</v>
      </c>
      <c r="D362" t="s">
        <v>9</v>
      </c>
      <c r="E362">
        <v>34138.481387</v>
      </c>
    </row>
    <row r="363" spans="1:5" hidden="1" x14ac:dyDescent="0.3">
      <c r="A363">
        <v>9</v>
      </c>
      <c r="B363">
        <v>145000</v>
      </c>
      <c r="C363" t="s">
        <v>46</v>
      </c>
      <c r="D363" t="s">
        <v>10</v>
      </c>
      <c r="E363">
        <v>8.4112999999999993E-2</v>
      </c>
    </row>
    <row r="364" spans="1:5" hidden="1" x14ac:dyDescent="0.3">
      <c r="A364">
        <v>9</v>
      </c>
      <c r="B364">
        <v>145000</v>
      </c>
      <c r="C364" t="s">
        <v>46</v>
      </c>
      <c r="D364" t="s">
        <v>11</v>
      </c>
      <c r="E364">
        <v>28361.111121999998</v>
      </c>
    </row>
    <row r="365" spans="1:5" hidden="1" x14ac:dyDescent="0.3">
      <c r="A365">
        <v>9</v>
      </c>
      <c r="B365">
        <v>145000</v>
      </c>
      <c r="C365" t="s">
        <v>46</v>
      </c>
      <c r="D365" t="s">
        <v>12</v>
      </c>
      <c r="E365">
        <v>12555.555566000001</v>
      </c>
    </row>
    <row r="366" spans="1:5" hidden="1" x14ac:dyDescent="0.3">
      <c r="A366">
        <v>9</v>
      </c>
      <c r="B366">
        <v>145000</v>
      </c>
      <c r="C366" t="s">
        <v>46</v>
      </c>
      <c r="D366" t="s">
        <v>13</v>
      </c>
      <c r="E366">
        <v>14172.544818</v>
      </c>
    </row>
    <row r="367" spans="1:5" hidden="1" x14ac:dyDescent="0.3">
      <c r="A367">
        <v>9</v>
      </c>
      <c r="B367">
        <v>145000</v>
      </c>
      <c r="C367" t="s">
        <v>46</v>
      </c>
      <c r="D367" t="s">
        <v>14</v>
      </c>
      <c r="E367">
        <v>5349.9585610000004</v>
      </c>
    </row>
    <row r="368" spans="1:5" hidden="1" x14ac:dyDescent="0.3">
      <c r="A368">
        <v>9</v>
      </c>
      <c r="B368">
        <v>145000</v>
      </c>
      <c r="C368" t="s">
        <v>46</v>
      </c>
      <c r="D368" t="s">
        <v>15</v>
      </c>
      <c r="E368">
        <v>2.1315000000000001E-2</v>
      </c>
    </row>
    <row r="369" spans="1:5" hidden="1" x14ac:dyDescent="0.3">
      <c r="A369">
        <v>9</v>
      </c>
      <c r="B369">
        <v>145000</v>
      </c>
      <c r="C369" t="s">
        <v>46</v>
      </c>
      <c r="D369" t="s">
        <v>16</v>
      </c>
      <c r="E369">
        <v>0.20094100000000001</v>
      </c>
    </row>
    <row r="370" spans="1:5" hidden="1" x14ac:dyDescent="0.3">
      <c r="A370">
        <v>9</v>
      </c>
      <c r="B370">
        <v>145000</v>
      </c>
      <c r="C370" t="s">
        <v>46</v>
      </c>
      <c r="D370" t="s">
        <v>17</v>
      </c>
      <c r="E370">
        <v>7.4463000000000001E-2</v>
      </c>
    </row>
    <row r="371" spans="1:5" hidden="1" x14ac:dyDescent="0.3">
      <c r="A371">
        <v>9</v>
      </c>
      <c r="B371">
        <v>145000</v>
      </c>
      <c r="C371" t="s">
        <v>46</v>
      </c>
      <c r="D371" t="s">
        <v>18</v>
      </c>
      <c r="E371">
        <v>44.416871</v>
      </c>
    </row>
    <row r="372" spans="1:5" hidden="1" x14ac:dyDescent="0.3">
      <c r="A372">
        <v>9</v>
      </c>
      <c r="B372">
        <v>145000</v>
      </c>
      <c r="C372" t="s">
        <v>46</v>
      </c>
      <c r="D372" t="s">
        <v>19</v>
      </c>
      <c r="E372">
        <v>4222.2220029999999</v>
      </c>
    </row>
    <row r="373" spans="1:5" hidden="1" x14ac:dyDescent="0.3">
      <c r="A373">
        <v>9</v>
      </c>
      <c r="B373">
        <v>145000</v>
      </c>
      <c r="C373" t="s">
        <v>46</v>
      </c>
      <c r="D373" t="s">
        <v>20</v>
      </c>
      <c r="E373">
        <v>6055.5559899999998</v>
      </c>
    </row>
    <row r="374" spans="1:5" hidden="1" x14ac:dyDescent="0.3">
      <c r="A374">
        <v>9</v>
      </c>
      <c r="B374">
        <v>145000</v>
      </c>
      <c r="C374" t="s">
        <v>46</v>
      </c>
      <c r="D374" t="s">
        <v>21</v>
      </c>
      <c r="E374">
        <v>1.6518999999999999E-2</v>
      </c>
    </row>
    <row r="375" spans="1:5" hidden="1" x14ac:dyDescent="0.3">
      <c r="A375">
        <v>9</v>
      </c>
      <c r="B375">
        <v>145000</v>
      </c>
      <c r="C375" t="s">
        <v>46</v>
      </c>
      <c r="D375" t="s">
        <v>22</v>
      </c>
      <c r="E375">
        <v>268.87485900000001</v>
      </c>
    </row>
    <row r="376" spans="1:5" hidden="1" x14ac:dyDescent="0.3">
      <c r="A376">
        <v>9</v>
      </c>
      <c r="B376">
        <v>145000</v>
      </c>
      <c r="C376" t="s">
        <v>46</v>
      </c>
      <c r="D376" t="s">
        <v>23</v>
      </c>
      <c r="E376">
        <v>1722.222732</v>
      </c>
    </row>
    <row r="377" spans="1:5" hidden="1" x14ac:dyDescent="0.3">
      <c r="A377">
        <v>9</v>
      </c>
      <c r="B377">
        <v>145000</v>
      </c>
      <c r="C377" t="s">
        <v>46</v>
      </c>
      <c r="D377" t="s">
        <v>24</v>
      </c>
      <c r="E377">
        <v>2.1828E-2</v>
      </c>
    </row>
    <row r="378" spans="1:5" hidden="1" x14ac:dyDescent="0.3">
      <c r="A378">
        <v>9</v>
      </c>
      <c r="B378">
        <v>145000</v>
      </c>
      <c r="C378" t="s">
        <v>46</v>
      </c>
      <c r="D378" t="s">
        <v>25</v>
      </c>
      <c r="E378">
        <v>1499.9999310000001</v>
      </c>
    </row>
    <row r="379" spans="1:5" hidden="1" x14ac:dyDescent="0.3">
      <c r="A379">
        <v>9</v>
      </c>
      <c r="B379">
        <v>145000</v>
      </c>
      <c r="C379" t="s">
        <v>46</v>
      </c>
      <c r="D379" t="s">
        <v>26</v>
      </c>
      <c r="E379">
        <v>1.8461999999999999E-2</v>
      </c>
    </row>
    <row r="380" spans="1:5" hidden="1" x14ac:dyDescent="0.3">
      <c r="A380">
        <v>9</v>
      </c>
      <c r="B380">
        <v>145000</v>
      </c>
      <c r="C380" t="s">
        <v>47</v>
      </c>
      <c r="D380" t="s">
        <v>6</v>
      </c>
      <c r="E380">
        <v>13.742236999999999</v>
      </c>
    </row>
    <row r="381" spans="1:5" hidden="1" x14ac:dyDescent="0.3">
      <c r="A381">
        <v>9</v>
      </c>
      <c r="B381">
        <v>145000</v>
      </c>
      <c r="C381" t="s">
        <v>47</v>
      </c>
      <c r="D381" t="s">
        <v>7</v>
      </c>
      <c r="E381">
        <v>22194.444513999999</v>
      </c>
    </row>
    <row r="382" spans="1:5" hidden="1" x14ac:dyDescent="0.3">
      <c r="A382">
        <v>9</v>
      </c>
      <c r="B382">
        <v>145000</v>
      </c>
      <c r="C382" t="s">
        <v>47</v>
      </c>
      <c r="D382" t="s">
        <v>8</v>
      </c>
      <c r="E382">
        <v>194.44448499999999</v>
      </c>
    </row>
    <row r="383" spans="1:5" hidden="1" x14ac:dyDescent="0.3">
      <c r="A383">
        <v>9</v>
      </c>
      <c r="B383">
        <v>145000</v>
      </c>
      <c r="C383" t="s">
        <v>47</v>
      </c>
      <c r="D383" t="s">
        <v>9</v>
      </c>
      <c r="E383">
        <v>34138.483530999998</v>
      </c>
    </row>
    <row r="384" spans="1:5" hidden="1" x14ac:dyDescent="0.3">
      <c r="A384">
        <v>9</v>
      </c>
      <c r="B384">
        <v>145000</v>
      </c>
      <c r="C384" t="s">
        <v>47</v>
      </c>
      <c r="D384" t="s">
        <v>10</v>
      </c>
      <c r="E384">
        <v>33125.503626999998</v>
      </c>
    </row>
    <row r="385" spans="1:5" hidden="1" x14ac:dyDescent="0.3">
      <c r="A385">
        <v>9</v>
      </c>
      <c r="B385">
        <v>145000</v>
      </c>
      <c r="C385" t="s">
        <v>47</v>
      </c>
      <c r="D385" t="s">
        <v>11</v>
      </c>
      <c r="E385">
        <v>24709.967186999998</v>
      </c>
    </row>
    <row r="386" spans="1:5" hidden="1" x14ac:dyDescent="0.3">
      <c r="A386">
        <v>9</v>
      </c>
      <c r="B386">
        <v>145000</v>
      </c>
      <c r="C386" t="s">
        <v>47</v>
      </c>
      <c r="D386" t="s">
        <v>12</v>
      </c>
      <c r="E386">
        <v>3166.6672520000002</v>
      </c>
    </row>
    <row r="387" spans="1:5" hidden="1" x14ac:dyDescent="0.3">
      <c r="A387">
        <v>9</v>
      </c>
      <c r="B387">
        <v>145000</v>
      </c>
      <c r="C387" t="s">
        <v>47</v>
      </c>
      <c r="D387" t="s">
        <v>13</v>
      </c>
      <c r="E387">
        <v>3543.1398300000001</v>
      </c>
    </row>
    <row r="388" spans="1:5" hidden="1" x14ac:dyDescent="0.3">
      <c r="A388">
        <v>9</v>
      </c>
      <c r="B388">
        <v>145000</v>
      </c>
      <c r="C388" t="s">
        <v>47</v>
      </c>
      <c r="D388" t="s">
        <v>14</v>
      </c>
      <c r="E388">
        <v>1916.66642</v>
      </c>
    </row>
    <row r="389" spans="1:5" hidden="1" x14ac:dyDescent="0.3">
      <c r="A389">
        <v>9</v>
      </c>
      <c r="B389">
        <v>145000</v>
      </c>
      <c r="C389" t="s">
        <v>47</v>
      </c>
      <c r="D389" t="s">
        <v>15</v>
      </c>
      <c r="E389">
        <v>8.2221000000000002E-2</v>
      </c>
    </row>
    <row r="390" spans="1:5" hidden="1" x14ac:dyDescent="0.3">
      <c r="A390">
        <v>9</v>
      </c>
      <c r="B390">
        <v>145000</v>
      </c>
      <c r="C390" t="s">
        <v>47</v>
      </c>
      <c r="D390" t="s">
        <v>16</v>
      </c>
      <c r="E390">
        <v>18385.534319999999</v>
      </c>
    </row>
    <row r="391" spans="1:5" hidden="1" x14ac:dyDescent="0.3">
      <c r="A391">
        <v>9</v>
      </c>
      <c r="B391">
        <v>145000</v>
      </c>
      <c r="C391" t="s">
        <v>47</v>
      </c>
      <c r="D391" t="s">
        <v>17</v>
      </c>
      <c r="E391">
        <v>1.4011670000000001</v>
      </c>
    </row>
    <row r="392" spans="1:5" hidden="1" x14ac:dyDescent="0.3">
      <c r="A392">
        <v>9</v>
      </c>
      <c r="B392">
        <v>145000</v>
      </c>
      <c r="C392" t="s">
        <v>47</v>
      </c>
      <c r="D392" t="s">
        <v>18</v>
      </c>
      <c r="E392">
        <v>8.8897910000000007</v>
      </c>
    </row>
    <row r="393" spans="1:5" hidden="1" x14ac:dyDescent="0.3">
      <c r="A393">
        <v>9</v>
      </c>
      <c r="B393">
        <v>145000</v>
      </c>
      <c r="C393" t="s">
        <v>47</v>
      </c>
      <c r="D393" t="s">
        <v>19</v>
      </c>
      <c r="E393">
        <v>1277.7781319999999</v>
      </c>
    </row>
    <row r="394" spans="1:5" hidden="1" x14ac:dyDescent="0.3">
      <c r="A394">
        <v>9</v>
      </c>
      <c r="B394">
        <v>145000</v>
      </c>
      <c r="C394" t="s">
        <v>47</v>
      </c>
      <c r="D394" t="s">
        <v>20</v>
      </c>
      <c r="E394">
        <v>1472.22324</v>
      </c>
    </row>
    <row r="395" spans="1:5" hidden="1" x14ac:dyDescent="0.3">
      <c r="A395">
        <v>9</v>
      </c>
      <c r="B395">
        <v>145000</v>
      </c>
      <c r="C395" t="s">
        <v>47</v>
      </c>
      <c r="D395" t="s">
        <v>21</v>
      </c>
      <c r="E395">
        <v>6.9099999999999995E-2</v>
      </c>
    </row>
    <row r="396" spans="1:5" hidden="1" x14ac:dyDescent="0.3">
      <c r="A396">
        <v>9</v>
      </c>
      <c r="B396">
        <v>145000</v>
      </c>
      <c r="C396" t="s">
        <v>47</v>
      </c>
      <c r="D396" t="s">
        <v>22</v>
      </c>
      <c r="E396">
        <v>100.827763</v>
      </c>
    </row>
    <row r="397" spans="1:5" hidden="1" x14ac:dyDescent="0.3">
      <c r="A397">
        <v>9</v>
      </c>
      <c r="B397">
        <v>145000</v>
      </c>
      <c r="C397" t="s">
        <v>47</v>
      </c>
      <c r="D397" t="s">
        <v>23</v>
      </c>
      <c r="E397">
        <v>388.89005600000002</v>
      </c>
    </row>
    <row r="398" spans="1:5" hidden="1" x14ac:dyDescent="0.3">
      <c r="A398">
        <v>9</v>
      </c>
      <c r="B398">
        <v>145000</v>
      </c>
      <c r="C398" t="s">
        <v>47</v>
      </c>
      <c r="D398" t="s">
        <v>24</v>
      </c>
      <c r="E398">
        <v>8.4878999999999996E-2</v>
      </c>
    </row>
    <row r="399" spans="1:5" hidden="1" x14ac:dyDescent="0.3">
      <c r="A399">
        <v>9</v>
      </c>
      <c r="B399">
        <v>145000</v>
      </c>
      <c r="C399" t="s">
        <v>47</v>
      </c>
      <c r="D399" t="s">
        <v>25</v>
      </c>
      <c r="E399">
        <v>361.11181199999999</v>
      </c>
    </row>
    <row r="400" spans="1:5" hidden="1" x14ac:dyDescent="0.3">
      <c r="A400">
        <v>9</v>
      </c>
      <c r="B400">
        <v>145000</v>
      </c>
      <c r="C400" t="s">
        <v>47</v>
      </c>
      <c r="D400" t="s">
        <v>26</v>
      </c>
      <c r="E400">
        <v>8.0962999999999993E-2</v>
      </c>
    </row>
    <row r="401" spans="1:5" hidden="1" x14ac:dyDescent="0.3">
      <c r="A401">
        <v>10</v>
      </c>
      <c r="B401">
        <v>150000</v>
      </c>
      <c r="C401" t="s">
        <v>45</v>
      </c>
      <c r="D401" t="s">
        <v>6</v>
      </c>
      <c r="E401">
        <v>0.40298899999999999</v>
      </c>
    </row>
    <row r="402" spans="1:5" hidden="1" x14ac:dyDescent="0.3">
      <c r="A402">
        <v>10</v>
      </c>
      <c r="B402">
        <v>150000</v>
      </c>
      <c r="C402" t="s">
        <v>45</v>
      </c>
      <c r="D402" t="s">
        <v>7</v>
      </c>
      <c r="E402">
        <v>6870.9334609999996</v>
      </c>
    </row>
    <row r="403" spans="1:5" hidden="1" x14ac:dyDescent="0.3">
      <c r="A403">
        <v>10</v>
      </c>
      <c r="B403">
        <v>150000</v>
      </c>
      <c r="C403" t="s">
        <v>45</v>
      </c>
      <c r="D403" t="s">
        <v>8</v>
      </c>
      <c r="E403">
        <v>0.70021199999999995</v>
      </c>
    </row>
    <row r="404" spans="1:5" hidden="1" x14ac:dyDescent="0.3">
      <c r="A404">
        <v>10</v>
      </c>
      <c r="B404">
        <v>150000</v>
      </c>
      <c r="C404" t="s">
        <v>45</v>
      </c>
      <c r="D404" t="s">
        <v>9</v>
      </c>
      <c r="E404">
        <v>10.657885</v>
      </c>
    </row>
    <row r="405" spans="1:5" hidden="1" x14ac:dyDescent="0.3">
      <c r="A405">
        <v>10</v>
      </c>
      <c r="B405">
        <v>150000</v>
      </c>
      <c r="C405" t="s">
        <v>45</v>
      </c>
      <c r="D405" t="s">
        <v>10</v>
      </c>
      <c r="E405">
        <v>0.38536399999999998</v>
      </c>
    </row>
    <row r="406" spans="1:5" hidden="1" x14ac:dyDescent="0.3">
      <c r="A406">
        <v>10</v>
      </c>
      <c r="B406">
        <v>150000</v>
      </c>
      <c r="C406" t="s">
        <v>45</v>
      </c>
      <c r="D406" t="s">
        <v>11</v>
      </c>
      <c r="E406">
        <v>34138.882775999999</v>
      </c>
    </row>
    <row r="407" spans="1:5" hidden="1" x14ac:dyDescent="0.3">
      <c r="A407">
        <v>10</v>
      </c>
      <c r="B407">
        <v>150000</v>
      </c>
      <c r="C407" t="s">
        <v>45</v>
      </c>
      <c r="D407" t="s">
        <v>12</v>
      </c>
      <c r="E407">
        <v>44388.766803999999</v>
      </c>
    </row>
    <row r="408" spans="1:5" hidden="1" x14ac:dyDescent="0.3">
      <c r="A408">
        <v>10</v>
      </c>
      <c r="B408">
        <v>150000</v>
      </c>
      <c r="C408" t="s">
        <v>45</v>
      </c>
      <c r="D408" t="s">
        <v>13</v>
      </c>
      <c r="E408">
        <v>35431.211871</v>
      </c>
    </row>
    <row r="409" spans="1:5" hidden="1" x14ac:dyDescent="0.3">
      <c r="A409">
        <v>10</v>
      </c>
      <c r="B409">
        <v>150000</v>
      </c>
      <c r="C409" t="s">
        <v>45</v>
      </c>
      <c r="D409" t="s">
        <v>14</v>
      </c>
      <c r="E409">
        <v>115.255672</v>
      </c>
    </row>
    <row r="410" spans="1:5" hidden="1" x14ac:dyDescent="0.3">
      <c r="A410">
        <v>10</v>
      </c>
      <c r="B410">
        <v>150000</v>
      </c>
      <c r="C410" t="s">
        <v>45</v>
      </c>
      <c r="D410" t="s">
        <v>15</v>
      </c>
      <c r="E410">
        <v>0.104781</v>
      </c>
    </row>
    <row r="411" spans="1:5" hidden="1" x14ac:dyDescent="0.3">
      <c r="A411">
        <v>10</v>
      </c>
      <c r="B411">
        <v>150000</v>
      </c>
      <c r="C411" t="s">
        <v>45</v>
      </c>
      <c r="D411" t="s">
        <v>16</v>
      </c>
      <c r="E411">
        <v>2.4642559999999998</v>
      </c>
    </row>
    <row r="412" spans="1:5" hidden="1" x14ac:dyDescent="0.3">
      <c r="A412">
        <v>10</v>
      </c>
      <c r="B412">
        <v>150000</v>
      </c>
      <c r="C412" t="s">
        <v>45</v>
      </c>
      <c r="D412" t="s">
        <v>17</v>
      </c>
      <c r="E412">
        <v>0.29067599999999999</v>
      </c>
    </row>
    <row r="413" spans="1:5" hidden="1" x14ac:dyDescent="0.3">
      <c r="A413">
        <v>10</v>
      </c>
      <c r="B413">
        <v>150000</v>
      </c>
      <c r="C413" t="s">
        <v>45</v>
      </c>
      <c r="D413" t="s">
        <v>18</v>
      </c>
      <c r="E413">
        <v>88.829177999999999</v>
      </c>
    </row>
    <row r="414" spans="1:5" hidden="1" x14ac:dyDescent="0.3">
      <c r="A414">
        <v>10</v>
      </c>
      <c r="B414">
        <v>150000</v>
      </c>
      <c r="C414" t="s">
        <v>45</v>
      </c>
      <c r="D414" t="s">
        <v>19</v>
      </c>
      <c r="E414">
        <v>8833.3323779999992</v>
      </c>
    </row>
    <row r="415" spans="1:5" hidden="1" x14ac:dyDescent="0.3">
      <c r="A415">
        <v>10</v>
      </c>
      <c r="B415">
        <v>150000</v>
      </c>
      <c r="C415" t="s">
        <v>45</v>
      </c>
      <c r="D415" t="s">
        <v>20</v>
      </c>
      <c r="E415">
        <v>15166.666728</v>
      </c>
    </row>
    <row r="416" spans="1:5" hidden="1" x14ac:dyDescent="0.3">
      <c r="A416">
        <v>10</v>
      </c>
      <c r="B416">
        <v>150000</v>
      </c>
      <c r="C416" t="s">
        <v>45</v>
      </c>
      <c r="D416" t="s">
        <v>21</v>
      </c>
      <c r="E416">
        <v>6.1538000000000002E-2</v>
      </c>
    </row>
    <row r="417" spans="1:5" hidden="1" x14ac:dyDescent="0.3">
      <c r="A417">
        <v>10</v>
      </c>
      <c r="B417">
        <v>150000</v>
      </c>
      <c r="C417" t="s">
        <v>45</v>
      </c>
      <c r="D417" t="s">
        <v>22</v>
      </c>
      <c r="E417">
        <v>504.12393600000001</v>
      </c>
    </row>
    <row r="418" spans="1:5" hidden="1" x14ac:dyDescent="0.3">
      <c r="A418">
        <v>10</v>
      </c>
      <c r="B418">
        <v>150000</v>
      </c>
      <c r="C418" t="s">
        <v>45</v>
      </c>
      <c r="D418" t="s">
        <v>23</v>
      </c>
      <c r="E418">
        <v>4444.4451250000002</v>
      </c>
    </row>
    <row r="419" spans="1:5" hidden="1" x14ac:dyDescent="0.3">
      <c r="A419">
        <v>10</v>
      </c>
      <c r="B419">
        <v>150000</v>
      </c>
      <c r="C419" t="s">
        <v>45</v>
      </c>
      <c r="D419" t="s">
        <v>24</v>
      </c>
      <c r="E419">
        <v>0.107778</v>
      </c>
    </row>
    <row r="420" spans="1:5" hidden="1" x14ac:dyDescent="0.3">
      <c r="A420">
        <v>10</v>
      </c>
      <c r="B420">
        <v>150000</v>
      </c>
      <c r="C420" t="s">
        <v>45</v>
      </c>
      <c r="D420" t="s">
        <v>25</v>
      </c>
      <c r="E420">
        <v>2.333609</v>
      </c>
    </row>
    <row r="421" spans="1:5" hidden="1" x14ac:dyDescent="0.3">
      <c r="A421">
        <v>10</v>
      </c>
      <c r="B421">
        <v>150000</v>
      </c>
      <c r="C421" t="s">
        <v>45</v>
      </c>
      <c r="D421" t="s">
        <v>26</v>
      </c>
      <c r="E421">
        <v>7.3093000000000005E-2</v>
      </c>
    </row>
    <row r="422" spans="1:5" x14ac:dyDescent="0.3">
      <c r="A422">
        <v>10</v>
      </c>
      <c r="B422">
        <v>150000</v>
      </c>
      <c r="C422" t="s">
        <v>46</v>
      </c>
      <c r="D422" t="s">
        <v>6</v>
      </c>
      <c r="E422">
        <v>54.985297000000003</v>
      </c>
    </row>
    <row r="423" spans="1:5" hidden="1" x14ac:dyDescent="0.3">
      <c r="A423">
        <v>10</v>
      </c>
      <c r="B423">
        <v>150000</v>
      </c>
      <c r="C423" t="s">
        <v>46</v>
      </c>
      <c r="D423" t="s">
        <v>7</v>
      </c>
      <c r="E423">
        <v>36555.481700999997</v>
      </c>
    </row>
    <row r="424" spans="1:5" hidden="1" x14ac:dyDescent="0.3">
      <c r="A424">
        <v>10</v>
      </c>
      <c r="B424">
        <v>150000</v>
      </c>
      <c r="C424" t="s">
        <v>46</v>
      </c>
      <c r="D424" t="s">
        <v>8</v>
      </c>
      <c r="E424">
        <v>194.43913800000001</v>
      </c>
    </row>
    <row r="425" spans="1:5" hidden="1" x14ac:dyDescent="0.3">
      <c r="A425">
        <v>10</v>
      </c>
      <c r="B425">
        <v>150000</v>
      </c>
      <c r="C425" t="s">
        <v>46</v>
      </c>
      <c r="D425" t="s">
        <v>9</v>
      </c>
      <c r="E425">
        <v>34138.475825000001</v>
      </c>
    </row>
    <row r="426" spans="1:5" hidden="1" x14ac:dyDescent="0.3">
      <c r="A426">
        <v>10</v>
      </c>
      <c r="B426">
        <v>150000</v>
      </c>
      <c r="C426" t="s">
        <v>46</v>
      </c>
      <c r="D426" t="s">
        <v>10</v>
      </c>
      <c r="E426">
        <v>1.313062</v>
      </c>
    </row>
    <row r="427" spans="1:5" hidden="1" x14ac:dyDescent="0.3">
      <c r="A427">
        <v>10</v>
      </c>
      <c r="B427">
        <v>150000</v>
      </c>
      <c r="C427" t="s">
        <v>46</v>
      </c>
      <c r="D427" t="s">
        <v>11</v>
      </c>
      <c r="E427">
        <v>28361.109232999999</v>
      </c>
    </row>
    <row r="428" spans="1:5" hidden="1" x14ac:dyDescent="0.3">
      <c r="A428">
        <v>10</v>
      </c>
      <c r="B428">
        <v>150000</v>
      </c>
      <c r="C428" t="s">
        <v>46</v>
      </c>
      <c r="D428" t="s">
        <v>12</v>
      </c>
      <c r="E428">
        <v>12555.553821</v>
      </c>
    </row>
    <row r="429" spans="1:5" hidden="1" x14ac:dyDescent="0.3">
      <c r="A429">
        <v>10</v>
      </c>
      <c r="B429">
        <v>150000</v>
      </c>
      <c r="C429" t="s">
        <v>46</v>
      </c>
      <c r="D429" t="s">
        <v>13</v>
      </c>
      <c r="E429">
        <v>14172.544065</v>
      </c>
    </row>
    <row r="430" spans="1:5" hidden="1" x14ac:dyDescent="0.3">
      <c r="A430">
        <v>10</v>
      </c>
      <c r="B430">
        <v>150000</v>
      </c>
      <c r="C430" t="s">
        <v>46</v>
      </c>
      <c r="D430" t="s">
        <v>14</v>
      </c>
      <c r="E430">
        <v>6388.8838390000001</v>
      </c>
    </row>
    <row r="431" spans="1:5" hidden="1" x14ac:dyDescent="0.3">
      <c r="A431">
        <v>10</v>
      </c>
      <c r="B431">
        <v>150000</v>
      </c>
      <c r="C431" t="s">
        <v>46</v>
      </c>
      <c r="D431" t="s">
        <v>15</v>
      </c>
      <c r="E431">
        <v>0.1109</v>
      </c>
    </row>
    <row r="432" spans="1:5" hidden="1" x14ac:dyDescent="0.3">
      <c r="A432">
        <v>10</v>
      </c>
      <c r="B432">
        <v>150000</v>
      </c>
      <c r="C432" t="s">
        <v>46</v>
      </c>
      <c r="D432" t="s">
        <v>16</v>
      </c>
      <c r="E432">
        <v>3763.194692</v>
      </c>
    </row>
    <row r="433" spans="1:5" hidden="1" x14ac:dyDescent="0.3">
      <c r="A433">
        <v>10</v>
      </c>
      <c r="B433">
        <v>150000</v>
      </c>
      <c r="C433" t="s">
        <v>46</v>
      </c>
      <c r="D433" t="s">
        <v>17</v>
      </c>
      <c r="E433">
        <v>0.358375</v>
      </c>
    </row>
    <row r="434" spans="1:5" hidden="1" x14ac:dyDescent="0.3">
      <c r="A434">
        <v>10</v>
      </c>
      <c r="B434">
        <v>150000</v>
      </c>
      <c r="C434" t="s">
        <v>46</v>
      </c>
      <c r="D434" t="s">
        <v>18</v>
      </c>
      <c r="E434">
        <v>44.416282000000002</v>
      </c>
    </row>
    <row r="435" spans="1:5" hidden="1" x14ac:dyDescent="0.3">
      <c r="A435">
        <v>10</v>
      </c>
      <c r="B435">
        <v>150000</v>
      </c>
      <c r="C435" t="s">
        <v>46</v>
      </c>
      <c r="D435" t="s">
        <v>19</v>
      </c>
      <c r="E435">
        <v>4222.2203149999996</v>
      </c>
    </row>
    <row r="436" spans="1:5" hidden="1" x14ac:dyDescent="0.3">
      <c r="A436">
        <v>10</v>
      </c>
      <c r="B436">
        <v>150000</v>
      </c>
      <c r="C436" t="s">
        <v>46</v>
      </c>
      <c r="D436" t="s">
        <v>20</v>
      </c>
      <c r="E436">
        <v>6055.5556770000003</v>
      </c>
    </row>
    <row r="437" spans="1:5" hidden="1" x14ac:dyDescent="0.3">
      <c r="A437">
        <v>10</v>
      </c>
      <c r="B437">
        <v>150000</v>
      </c>
      <c r="C437" t="s">
        <v>46</v>
      </c>
      <c r="D437" t="s">
        <v>21</v>
      </c>
      <c r="E437">
        <v>7.5776999999999997E-2</v>
      </c>
    </row>
    <row r="438" spans="1:5" hidden="1" x14ac:dyDescent="0.3">
      <c r="A438">
        <v>10</v>
      </c>
      <c r="B438">
        <v>150000</v>
      </c>
      <c r="C438" t="s">
        <v>46</v>
      </c>
      <c r="D438" t="s">
        <v>22</v>
      </c>
      <c r="E438">
        <v>268.87225999999998</v>
      </c>
    </row>
    <row r="439" spans="1:5" hidden="1" x14ac:dyDescent="0.3">
      <c r="A439">
        <v>10</v>
      </c>
      <c r="B439">
        <v>150000</v>
      </c>
      <c r="C439" t="s">
        <v>46</v>
      </c>
      <c r="D439" t="s">
        <v>23</v>
      </c>
      <c r="E439">
        <v>1722.222745</v>
      </c>
    </row>
    <row r="440" spans="1:5" hidden="1" x14ac:dyDescent="0.3">
      <c r="A440">
        <v>10</v>
      </c>
      <c r="B440">
        <v>150000</v>
      </c>
      <c r="C440" t="s">
        <v>46</v>
      </c>
      <c r="D440" t="s">
        <v>24</v>
      </c>
      <c r="E440">
        <v>0.114028</v>
      </c>
    </row>
    <row r="441" spans="1:5" hidden="1" x14ac:dyDescent="0.3">
      <c r="A441">
        <v>10</v>
      </c>
      <c r="B441">
        <v>150000</v>
      </c>
      <c r="C441" t="s">
        <v>46</v>
      </c>
      <c r="D441" t="s">
        <v>25</v>
      </c>
      <c r="E441">
        <v>1499.999376</v>
      </c>
    </row>
    <row r="442" spans="1:5" hidden="1" x14ac:dyDescent="0.3">
      <c r="A442">
        <v>10</v>
      </c>
      <c r="B442">
        <v>150000</v>
      </c>
      <c r="C442" t="s">
        <v>46</v>
      </c>
      <c r="D442" t="s">
        <v>26</v>
      </c>
      <c r="E442">
        <v>9.919E-2</v>
      </c>
    </row>
    <row r="443" spans="1:5" hidden="1" x14ac:dyDescent="0.3">
      <c r="A443">
        <v>10</v>
      </c>
      <c r="B443">
        <v>150000</v>
      </c>
      <c r="C443" t="s">
        <v>47</v>
      </c>
      <c r="D443" t="s">
        <v>6</v>
      </c>
      <c r="E443">
        <v>13.746803999999999</v>
      </c>
    </row>
    <row r="444" spans="1:5" hidden="1" x14ac:dyDescent="0.3">
      <c r="A444">
        <v>10</v>
      </c>
      <c r="B444">
        <v>150000</v>
      </c>
      <c r="C444" t="s">
        <v>47</v>
      </c>
      <c r="D444" t="s">
        <v>7</v>
      </c>
      <c r="E444">
        <v>22194.35713</v>
      </c>
    </row>
    <row r="445" spans="1:5" hidden="1" x14ac:dyDescent="0.3">
      <c r="A445">
        <v>10</v>
      </c>
      <c r="B445">
        <v>150000</v>
      </c>
      <c r="C445" t="s">
        <v>47</v>
      </c>
      <c r="D445" t="s">
        <v>8</v>
      </c>
      <c r="E445">
        <v>194.44833</v>
      </c>
    </row>
    <row r="446" spans="1:5" hidden="1" x14ac:dyDescent="0.3">
      <c r="A446">
        <v>10</v>
      </c>
      <c r="B446">
        <v>150000</v>
      </c>
      <c r="C446" t="s">
        <v>47</v>
      </c>
      <c r="D446" t="s">
        <v>9</v>
      </c>
      <c r="E446">
        <v>34138.487411000002</v>
      </c>
    </row>
    <row r="447" spans="1:5" hidden="1" x14ac:dyDescent="0.3">
      <c r="A447">
        <v>10</v>
      </c>
      <c r="B447">
        <v>150000</v>
      </c>
      <c r="C447" t="s">
        <v>47</v>
      </c>
      <c r="D447" t="s">
        <v>10</v>
      </c>
      <c r="E447">
        <v>38125.488821999999</v>
      </c>
    </row>
    <row r="448" spans="1:5" hidden="1" x14ac:dyDescent="0.3">
      <c r="A448">
        <v>10</v>
      </c>
      <c r="B448">
        <v>150000</v>
      </c>
      <c r="C448" t="s">
        <v>47</v>
      </c>
      <c r="D448" t="s">
        <v>11</v>
      </c>
      <c r="E448">
        <v>24709.971380999999</v>
      </c>
    </row>
    <row r="449" spans="1:5" hidden="1" x14ac:dyDescent="0.3">
      <c r="A449">
        <v>10</v>
      </c>
      <c r="B449">
        <v>150000</v>
      </c>
      <c r="C449" t="s">
        <v>47</v>
      </c>
      <c r="D449" t="s">
        <v>12</v>
      </c>
      <c r="E449">
        <v>3166.6714769999999</v>
      </c>
    </row>
    <row r="450" spans="1:5" hidden="1" x14ac:dyDescent="0.3">
      <c r="A450">
        <v>10</v>
      </c>
      <c r="B450">
        <v>150000</v>
      </c>
      <c r="C450" t="s">
        <v>47</v>
      </c>
      <c r="D450" t="s">
        <v>13</v>
      </c>
      <c r="E450">
        <v>3543.144382</v>
      </c>
    </row>
    <row r="451" spans="1:5" hidden="1" x14ac:dyDescent="0.3">
      <c r="A451">
        <v>10</v>
      </c>
      <c r="B451">
        <v>150000</v>
      </c>
      <c r="C451" t="s">
        <v>47</v>
      </c>
      <c r="D451" t="s">
        <v>14</v>
      </c>
      <c r="E451">
        <v>1916.670331</v>
      </c>
    </row>
    <row r="452" spans="1:5" hidden="1" x14ac:dyDescent="0.3">
      <c r="A452">
        <v>10</v>
      </c>
      <c r="B452">
        <v>150000</v>
      </c>
      <c r="C452" t="s">
        <v>47</v>
      </c>
      <c r="D452" t="s">
        <v>15</v>
      </c>
      <c r="E452">
        <v>0.19550100000000001</v>
      </c>
    </row>
    <row r="453" spans="1:5" hidden="1" x14ac:dyDescent="0.3">
      <c r="A453">
        <v>10</v>
      </c>
      <c r="B453">
        <v>150000</v>
      </c>
      <c r="C453" t="s">
        <v>47</v>
      </c>
      <c r="D453" t="s">
        <v>16</v>
      </c>
      <c r="E453">
        <v>18385.946231000002</v>
      </c>
    </row>
    <row r="454" spans="1:5" hidden="1" x14ac:dyDescent="0.3">
      <c r="A454">
        <v>10</v>
      </c>
      <c r="B454">
        <v>150000</v>
      </c>
      <c r="C454" t="s">
        <v>47</v>
      </c>
      <c r="D454" t="s">
        <v>17</v>
      </c>
      <c r="E454">
        <v>0.72662599999999999</v>
      </c>
    </row>
    <row r="455" spans="1:5" hidden="1" x14ac:dyDescent="0.3">
      <c r="A455">
        <v>10</v>
      </c>
      <c r="B455">
        <v>150000</v>
      </c>
      <c r="C455" t="s">
        <v>47</v>
      </c>
      <c r="D455" t="s">
        <v>18</v>
      </c>
      <c r="E455">
        <v>8.8945939999999997</v>
      </c>
    </row>
    <row r="456" spans="1:5" hidden="1" x14ac:dyDescent="0.3">
      <c r="A456">
        <v>10</v>
      </c>
      <c r="B456">
        <v>150000</v>
      </c>
      <c r="C456" t="s">
        <v>47</v>
      </c>
      <c r="D456" t="s">
        <v>19</v>
      </c>
      <c r="E456">
        <v>1277.7822650000001</v>
      </c>
    </row>
    <row r="457" spans="1:5" hidden="1" x14ac:dyDescent="0.3">
      <c r="A457">
        <v>10</v>
      </c>
      <c r="B457">
        <v>150000</v>
      </c>
      <c r="C457" t="s">
        <v>47</v>
      </c>
      <c r="D457" t="s">
        <v>20</v>
      </c>
      <c r="E457">
        <v>1472.227922</v>
      </c>
    </row>
    <row r="458" spans="1:5" hidden="1" x14ac:dyDescent="0.3">
      <c r="A458">
        <v>10</v>
      </c>
      <c r="B458">
        <v>150000</v>
      </c>
      <c r="C458" t="s">
        <v>47</v>
      </c>
      <c r="D458" t="s">
        <v>21</v>
      </c>
      <c r="E458">
        <v>0.15409</v>
      </c>
    </row>
    <row r="459" spans="1:5" hidden="1" x14ac:dyDescent="0.3">
      <c r="A459">
        <v>10</v>
      </c>
      <c r="B459">
        <v>150000</v>
      </c>
      <c r="C459" t="s">
        <v>47</v>
      </c>
      <c r="D459" t="s">
        <v>22</v>
      </c>
      <c r="E459">
        <v>100.832009</v>
      </c>
    </row>
    <row r="460" spans="1:5" hidden="1" x14ac:dyDescent="0.3">
      <c r="A460">
        <v>10</v>
      </c>
      <c r="B460">
        <v>150000</v>
      </c>
      <c r="C460" t="s">
        <v>47</v>
      </c>
      <c r="D460" t="s">
        <v>23</v>
      </c>
      <c r="E460">
        <v>388.89485999999999</v>
      </c>
    </row>
    <row r="461" spans="1:5" hidden="1" x14ac:dyDescent="0.3">
      <c r="A461">
        <v>10</v>
      </c>
      <c r="B461">
        <v>150000</v>
      </c>
      <c r="C461" t="s">
        <v>47</v>
      </c>
      <c r="D461" t="s">
        <v>24</v>
      </c>
      <c r="E461">
        <v>0.20267299999999999</v>
      </c>
    </row>
    <row r="462" spans="1:5" hidden="1" x14ac:dyDescent="0.3">
      <c r="A462">
        <v>10</v>
      </c>
      <c r="B462">
        <v>150000</v>
      </c>
      <c r="C462" t="s">
        <v>47</v>
      </c>
      <c r="D462" t="s">
        <v>25</v>
      </c>
      <c r="E462">
        <v>361.11613499999999</v>
      </c>
    </row>
    <row r="463" spans="1:5" hidden="1" x14ac:dyDescent="0.3">
      <c r="A463">
        <v>10</v>
      </c>
      <c r="B463">
        <v>150000</v>
      </c>
      <c r="C463" t="s">
        <v>47</v>
      </c>
      <c r="D463" t="s">
        <v>26</v>
      </c>
      <c r="E463">
        <v>0.18344099999999999</v>
      </c>
    </row>
    <row r="464" spans="1:5" hidden="1" x14ac:dyDescent="0.3">
      <c r="A464">
        <v>11</v>
      </c>
      <c r="B464">
        <v>155000</v>
      </c>
      <c r="C464" t="s">
        <v>45</v>
      </c>
      <c r="D464" t="s">
        <v>6</v>
      </c>
      <c r="E464">
        <v>0.48865199999999998</v>
      </c>
    </row>
    <row r="465" spans="1:5" hidden="1" x14ac:dyDescent="0.3">
      <c r="A465">
        <v>11</v>
      </c>
      <c r="B465">
        <v>155000</v>
      </c>
      <c r="C465" t="s">
        <v>45</v>
      </c>
      <c r="D465" t="s">
        <v>7</v>
      </c>
      <c r="E465">
        <v>11837.433816000001</v>
      </c>
    </row>
    <row r="466" spans="1:5" hidden="1" x14ac:dyDescent="0.3">
      <c r="A466">
        <v>11</v>
      </c>
      <c r="B466">
        <v>155000</v>
      </c>
      <c r="C466" t="s">
        <v>45</v>
      </c>
      <c r="D466" t="s">
        <v>8</v>
      </c>
      <c r="E466">
        <v>0.76581200000000005</v>
      </c>
    </row>
    <row r="467" spans="1:5" hidden="1" x14ac:dyDescent="0.3">
      <c r="A467">
        <v>11</v>
      </c>
      <c r="B467">
        <v>155000</v>
      </c>
      <c r="C467" t="s">
        <v>45</v>
      </c>
      <c r="D467" t="s">
        <v>9</v>
      </c>
      <c r="E467">
        <v>13.45684</v>
      </c>
    </row>
    <row r="468" spans="1:5" hidden="1" x14ac:dyDescent="0.3">
      <c r="A468">
        <v>11</v>
      </c>
      <c r="B468">
        <v>155000</v>
      </c>
      <c r="C468" t="s">
        <v>45</v>
      </c>
      <c r="D468" t="s">
        <v>10</v>
      </c>
      <c r="E468">
        <v>0.60274700000000003</v>
      </c>
    </row>
    <row r="469" spans="1:5" hidden="1" x14ac:dyDescent="0.3">
      <c r="A469">
        <v>11</v>
      </c>
      <c r="B469">
        <v>155000</v>
      </c>
      <c r="C469" t="s">
        <v>45</v>
      </c>
      <c r="D469" t="s">
        <v>11</v>
      </c>
      <c r="E469">
        <v>34138.890617999998</v>
      </c>
    </row>
    <row r="470" spans="1:5" hidden="1" x14ac:dyDescent="0.3">
      <c r="A470">
        <v>11</v>
      </c>
      <c r="B470">
        <v>155000</v>
      </c>
      <c r="C470" t="s">
        <v>45</v>
      </c>
      <c r="D470" t="s">
        <v>12</v>
      </c>
      <c r="E470">
        <v>44388.876005999999</v>
      </c>
    </row>
    <row r="471" spans="1:5" hidden="1" x14ac:dyDescent="0.3">
      <c r="A471">
        <v>11</v>
      </c>
      <c r="B471">
        <v>155000</v>
      </c>
      <c r="C471" t="s">
        <v>45</v>
      </c>
      <c r="D471" t="s">
        <v>13</v>
      </c>
      <c r="E471">
        <v>35431.272474999998</v>
      </c>
    </row>
    <row r="472" spans="1:5" hidden="1" x14ac:dyDescent="0.3">
      <c r="A472">
        <v>11</v>
      </c>
      <c r="B472">
        <v>155000</v>
      </c>
      <c r="C472" t="s">
        <v>45</v>
      </c>
      <c r="D472" t="s">
        <v>14</v>
      </c>
      <c r="E472">
        <v>144.79249999999999</v>
      </c>
    </row>
    <row r="473" spans="1:5" hidden="1" x14ac:dyDescent="0.3">
      <c r="A473">
        <v>11</v>
      </c>
      <c r="B473">
        <v>155000</v>
      </c>
      <c r="C473" t="s">
        <v>45</v>
      </c>
      <c r="D473" t="s">
        <v>15</v>
      </c>
      <c r="E473">
        <v>0.15378600000000001</v>
      </c>
    </row>
    <row r="474" spans="1:5" hidden="1" x14ac:dyDescent="0.3">
      <c r="A474">
        <v>11</v>
      </c>
      <c r="B474">
        <v>155000</v>
      </c>
      <c r="C474" t="s">
        <v>45</v>
      </c>
      <c r="D474" t="s">
        <v>16</v>
      </c>
      <c r="E474">
        <v>2.9890560000000002</v>
      </c>
    </row>
    <row r="475" spans="1:5" hidden="1" x14ac:dyDescent="0.3">
      <c r="A475">
        <v>11</v>
      </c>
      <c r="B475">
        <v>155000</v>
      </c>
      <c r="C475" t="s">
        <v>45</v>
      </c>
      <c r="D475" t="s">
        <v>17</v>
      </c>
      <c r="E475">
        <v>0.36141499999999999</v>
      </c>
    </row>
    <row r="476" spans="1:5" hidden="1" x14ac:dyDescent="0.3">
      <c r="A476">
        <v>11</v>
      </c>
      <c r="B476">
        <v>155000</v>
      </c>
      <c r="C476" t="s">
        <v>45</v>
      </c>
      <c r="D476" t="s">
        <v>18</v>
      </c>
      <c r="E476">
        <v>88.826544999999996</v>
      </c>
    </row>
    <row r="477" spans="1:5" hidden="1" x14ac:dyDescent="0.3">
      <c r="A477">
        <v>11</v>
      </c>
      <c r="B477">
        <v>155000</v>
      </c>
      <c r="C477" t="s">
        <v>45</v>
      </c>
      <c r="D477" t="s">
        <v>19</v>
      </c>
      <c r="E477">
        <v>8833.3357250000008</v>
      </c>
    </row>
    <row r="478" spans="1:5" hidden="1" x14ac:dyDescent="0.3">
      <c r="A478">
        <v>11</v>
      </c>
      <c r="B478">
        <v>155000</v>
      </c>
      <c r="C478" t="s">
        <v>45</v>
      </c>
      <c r="D478" t="s">
        <v>20</v>
      </c>
      <c r="E478">
        <v>15166.667592</v>
      </c>
    </row>
    <row r="479" spans="1:5" hidden="1" x14ac:dyDescent="0.3">
      <c r="A479">
        <v>11</v>
      </c>
      <c r="B479">
        <v>155000</v>
      </c>
      <c r="C479" t="s">
        <v>45</v>
      </c>
      <c r="D479" t="s">
        <v>21</v>
      </c>
      <c r="E479">
        <v>9.6048999999999995E-2</v>
      </c>
    </row>
    <row r="480" spans="1:5" hidden="1" x14ac:dyDescent="0.3">
      <c r="A480">
        <v>11</v>
      </c>
      <c r="B480">
        <v>155000</v>
      </c>
      <c r="C480" t="s">
        <v>45</v>
      </c>
      <c r="D480" t="s">
        <v>22</v>
      </c>
      <c r="E480">
        <v>504.09288800000002</v>
      </c>
    </row>
    <row r="481" spans="1:5" hidden="1" x14ac:dyDescent="0.3">
      <c r="A481">
        <v>11</v>
      </c>
      <c r="B481">
        <v>155000</v>
      </c>
      <c r="C481" t="s">
        <v>45</v>
      </c>
      <c r="D481" t="s">
        <v>23</v>
      </c>
      <c r="E481">
        <v>4444.4465419999997</v>
      </c>
    </row>
    <row r="482" spans="1:5" hidden="1" x14ac:dyDescent="0.3">
      <c r="A482">
        <v>11</v>
      </c>
      <c r="B482">
        <v>155000</v>
      </c>
      <c r="C482" t="s">
        <v>45</v>
      </c>
      <c r="D482" t="s">
        <v>24</v>
      </c>
      <c r="E482">
        <v>0.15776100000000001</v>
      </c>
    </row>
    <row r="483" spans="1:5" hidden="1" x14ac:dyDescent="0.3">
      <c r="A483">
        <v>11</v>
      </c>
      <c r="B483">
        <v>155000</v>
      </c>
      <c r="C483" t="s">
        <v>45</v>
      </c>
      <c r="D483" t="s">
        <v>25</v>
      </c>
      <c r="E483">
        <v>2.2408779999999999</v>
      </c>
    </row>
    <row r="484" spans="1:5" hidden="1" x14ac:dyDescent="0.3">
      <c r="A484">
        <v>11</v>
      </c>
      <c r="B484">
        <v>155000</v>
      </c>
      <c r="C484" t="s">
        <v>45</v>
      </c>
      <c r="D484" t="s">
        <v>26</v>
      </c>
      <c r="E484">
        <v>0.121184</v>
      </c>
    </row>
    <row r="485" spans="1:5" x14ac:dyDescent="0.3">
      <c r="A485">
        <v>11</v>
      </c>
      <c r="B485">
        <v>155000</v>
      </c>
      <c r="C485" t="s">
        <v>46</v>
      </c>
      <c r="D485" t="s">
        <v>6</v>
      </c>
      <c r="E485">
        <v>54.985550000000003</v>
      </c>
    </row>
    <row r="486" spans="1:5" hidden="1" x14ac:dyDescent="0.3">
      <c r="A486">
        <v>11</v>
      </c>
      <c r="B486">
        <v>155000</v>
      </c>
      <c r="C486" t="s">
        <v>46</v>
      </c>
      <c r="D486" t="s">
        <v>7</v>
      </c>
      <c r="E486">
        <v>36554.940376999999</v>
      </c>
    </row>
    <row r="487" spans="1:5" hidden="1" x14ac:dyDescent="0.3">
      <c r="A487">
        <v>11</v>
      </c>
      <c r="B487">
        <v>155000</v>
      </c>
      <c r="C487" t="s">
        <v>46</v>
      </c>
      <c r="D487" t="s">
        <v>8</v>
      </c>
      <c r="E487">
        <v>1.556605</v>
      </c>
    </row>
    <row r="488" spans="1:5" hidden="1" x14ac:dyDescent="0.3">
      <c r="A488">
        <v>11</v>
      </c>
      <c r="B488">
        <v>155000</v>
      </c>
      <c r="C488" t="s">
        <v>46</v>
      </c>
      <c r="D488" t="s">
        <v>9</v>
      </c>
      <c r="E488">
        <v>34138.482444000001</v>
      </c>
    </row>
    <row r="489" spans="1:5" hidden="1" x14ac:dyDescent="0.3">
      <c r="A489">
        <v>11</v>
      </c>
      <c r="B489">
        <v>155000</v>
      </c>
      <c r="C489" t="s">
        <v>46</v>
      </c>
      <c r="D489" t="s">
        <v>10</v>
      </c>
      <c r="E489">
        <v>0.15110000000000001</v>
      </c>
    </row>
    <row r="490" spans="1:5" hidden="1" x14ac:dyDescent="0.3">
      <c r="A490">
        <v>11</v>
      </c>
      <c r="B490">
        <v>155000</v>
      </c>
      <c r="C490" t="s">
        <v>46</v>
      </c>
      <c r="D490" t="s">
        <v>11</v>
      </c>
      <c r="E490">
        <v>28361.110935000001</v>
      </c>
    </row>
    <row r="491" spans="1:5" hidden="1" x14ac:dyDescent="0.3">
      <c r="A491">
        <v>11</v>
      </c>
      <c r="B491">
        <v>155000</v>
      </c>
      <c r="C491" t="s">
        <v>46</v>
      </c>
      <c r="D491" t="s">
        <v>12</v>
      </c>
      <c r="E491">
        <v>12555.555297999999</v>
      </c>
    </row>
    <row r="492" spans="1:5" hidden="1" x14ac:dyDescent="0.3">
      <c r="A492">
        <v>11</v>
      </c>
      <c r="B492">
        <v>155000</v>
      </c>
      <c r="C492" t="s">
        <v>46</v>
      </c>
      <c r="D492" t="s">
        <v>13</v>
      </c>
      <c r="E492">
        <v>14172.544476999999</v>
      </c>
    </row>
    <row r="493" spans="1:5" hidden="1" x14ac:dyDescent="0.3">
      <c r="A493">
        <v>11</v>
      </c>
      <c r="B493">
        <v>155000</v>
      </c>
      <c r="C493" t="s">
        <v>46</v>
      </c>
      <c r="D493" t="s">
        <v>14</v>
      </c>
      <c r="E493">
        <v>6388.8879399999996</v>
      </c>
    </row>
    <row r="494" spans="1:5" hidden="1" x14ac:dyDescent="0.3">
      <c r="A494">
        <v>11</v>
      </c>
      <c r="B494">
        <v>155000</v>
      </c>
      <c r="C494" t="s">
        <v>46</v>
      </c>
      <c r="D494" t="s">
        <v>15</v>
      </c>
      <c r="E494">
        <v>3.1981999999999997E-2</v>
      </c>
    </row>
    <row r="495" spans="1:5" hidden="1" x14ac:dyDescent="0.3">
      <c r="A495">
        <v>11</v>
      </c>
      <c r="B495">
        <v>155000</v>
      </c>
      <c r="C495" t="s">
        <v>46</v>
      </c>
      <c r="D495" t="s">
        <v>16</v>
      </c>
      <c r="E495">
        <v>8958.2592629999999</v>
      </c>
    </row>
    <row r="496" spans="1:5" hidden="1" x14ac:dyDescent="0.3">
      <c r="A496">
        <v>11</v>
      </c>
      <c r="B496">
        <v>155000</v>
      </c>
      <c r="C496" t="s">
        <v>46</v>
      </c>
      <c r="D496" t="s">
        <v>17</v>
      </c>
      <c r="E496">
        <v>0.12706799999999999</v>
      </c>
    </row>
    <row r="497" spans="1:5" hidden="1" x14ac:dyDescent="0.3">
      <c r="A497">
        <v>11</v>
      </c>
      <c r="B497">
        <v>155000</v>
      </c>
      <c r="C497" t="s">
        <v>46</v>
      </c>
      <c r="D497" t="s">
        <v>18</v>
      </c>
      <c r="E497">
        <v>44.416448000000003</v>
      </c>
    </row>
    <row r="498" spans="1:5" hidden="1" x14ac:dyDescent="0.3">
      <c r="A498">
        <v>11</v>
      </c>
      <c r="B498">
        <v>155000</v>
      </c>
      <c r="C498" t="s">
        <v>46</v>
      </c>
      <c r="D498" t="s">
        <v>19</v>
      </c>
      <c r="E498">
        <v>4222.221896</v>
      </c>
    </row>
    <row r="499" spans="1:5" hidden="1" x14ac:dyDescent="0.3">
      <c r="A499">
        <v>11</v>
      </c>
      <c r="B499">
        <v>155000</v>
      </c>
      <c r="C499" t="s">
        <v>46</v>
      </c>
      <c r="D499" t="s">
        <v>20</v>
      </c>
      <c r="E499">
        <v>6055.5556560000005</v>
      </c>
    </row>
    <row r="500" spans="1:5" hidden="1" x14ac:dyDescent="0.3">
      <c r="A500">
        <v>11</v>
      </c>
      <c r="B500">
        <v>155000</v>
      </c>
      <c r="C500" t="s">
        <v>46</v>
      </c>
      <c r="D500" t="s">
        <v>21</v>
      </c>
      <c r="E500">
        <v>2.2967999999999999E-2</v>
      </c>
    </row>
    <row r="501" spans="1:5" hidden="1" x14ac:dyDescent="0.3">
      <c r="A501">
        <v>11</v>
      </c>
      <c r="B501">
        <v>155000</v>
      </c>
      <c r="C501" t="s">
        <v>46</v>
      </c>
      <c r="D501" t="s">
        <v>22</v>
      </c>
      <c r="E501">
        <v>268.87666000000002</v>
      </c>
    </row>
    <row r="502" spans="1:5" hidden="1" x14ac:dyDescent="0.3">
      <c r="A502">
        <v>11</v>
      </c>
      <c r="B502">
        <v>155000</v>
      </c>
      <c r="C502" t="s">
        <v>46</v>
      </c>
      <c r="D502" t="s">
        <v>23</v>
      </c>
      <c r="E502">
        <v>1722.2224040000001</v>
      </c>
    </row>
    <row r="503" spans="1:5" hidden="1" x14ac:dyDescent="0.3">
      <c r="A503">
        <v>11</v>
      </c>
      <c r="B503">
        <v>155000</v>
      </c>
      <c r="C503" t="s">
        <v>46</v>
      </c>
      <c r="D503" t="s">
        <v>24</v>
      </c>
      <c r="E503">
        <v>3.2937000000000001E-2</v>
      </c>
    </row>
    <row r="504" spans="1:5" hidden="1" x14ac:dyDescent="0.3">
      <c r="A504">
        <v>11</v>
      </c>
      <c r="B504">
        <v>155000</v>
      </c>
      <c r="C504" t="s">
        <v>46</v>
      </c>
      <c r="D504" t="s">
        <v>25</v>
      </c>
      <c r="E504">
        <v>1499.9995919999999</v>
      </c>
    </row>
    <row r="505" spans="1:5" hidden="1" x14ac:dyDescent="0.3">
      <c r="A505">
        <v>11</v>
      </c>
      <c r="B505">
        <v>155000</v>
      </c>
      <c r="C505" t="s">
        <v>46</v>
      </c>
      <c r="D505" t="s">
        <v>26</v>
      </c>
      <c r="E505">
        <v>2.6189E-2</v>
      </c>
    </row>
    <row r="506" spans="1:5" hidden="1" x14ac:dyDescent="0.3">
      <c r="A506">
        <v>11</v>
      </c>
      <c r="B506">
        <v>155000</v>
      </c>
      <c r="C506" t="s">
        <v>47</v>
      </c>
      <c r="D506" t="s">
        <v>6</v>
      </c>
      <c r="E506">
        <v>13.743975000000001</v>
      </c>
    </row>
    <row r="507" spans="1:5" hidden="1" x14ac:dyDescent="0.3">
      <c r="A507">
        <v>11</v>
      </c>
      <c r="B507">
        <v>155000</v>
      </c>
      <c r="C507" t="s">
        <v>47</v>
      </c>
      <c r="D507" t="s">
        <v>7</v>
      </c>
      <c r="E507">
        <v>22194.421651000001</v>
      </c>
    </row>
    <row r="508" spans="1:5" hidden="1" x14ac:dyDescent="0.3">
      <c r="A508">
        <v>11</v>
      </c>
      <c r="B508">
        <v>155000</v>
      </c>
      <c r="C508" t="s">
        <v>47</v>
      </c>
      <c r="D508" t="s">
        <v>8</v>
      </c>
      <c r="E508">
        <v>194.44583</v>
      </c>
    </row>
    <row r="509" spans="1:5" hidden="1" x14ac:dyDescent="0.3">
      <c r="A509">
        <v>11</v>
      </c>
      <c r="B509">
        <v>155000</v>
      </c>
      <c r="C509" t="s">
        <v>47</v>
      </c>
      <c r="D509" t="s">
        <v>9</v>
      </c>
      <c r="E509">
        <v>34138.484595000002</v>
      </c>
    </row>
    <row r="510" spans="1:5" hidden="1" x14ac:dyDescent="0.3">
      <c r="A510">
        <v>11</v>
      </c>
      <c r="B510">
        <v>155000</v>
      </c>
      <c r="C510" t="s">
        <v>47</v>
      </c>
      <c r="D510" t="s">
        <v>10</v>
      </c>
      <c r="E510">
        <v>43123.323069999999</v>
      </c>
    </row>
    <row r="511" spans="1:5" hidden="1" x14ac:dyDescent="0.3">
      <c r="A511">
        <v>11</v>
      </c>
      <c r="B511">
        <v>155000</v>
      </c>
      <c r="C511" t="s">
        <v>47</v>
      </c>
      <c r="D511" t="s">
        <v>11</v>
      </c>
      <c r="E511">
        <v>24709.968315999999</v>
      </c>
    </row>
    <row r="512" spans="1:5" hidden="1" x14ac:dyDescent="0.3">
      <c r="A512">
        <v>11</v>
      </c>
      <c r="B512">
        <v>155000</v>
      </c>
      <c r="C512" t="s">
        <v>47</v>
      </c>
      <c r="D512" t="s">
        <v>12</v>
      </c>
      <c r="E512">
        <v>3166.6688250000002</v>
      </c>
    </row>
    <row r="513" spans="1:5" hidden="1" x14ac:dyDescent="0.3">
      <c r="A513">
        <v>11</v>
      </c>
      <c r="B513">
        <v>155000</v>
      </c>
      <c r="C513" t="s">
        <v>47</v>
      </c>
      <c r="D513" t="s">
        <v>13</v>
      </c>
      <c r="E513">
        <v>3543.1415950000001</v>
      </c>
    </row>
    <row r="514" spans="1:5" hidden="1" x14ac:dyDescent="0.3">
      <c r="A514">
        <v>11</v>
      </c>
      <c r="B514">
        <v>155000</v>
      </c>
      <c r="C514" t="s">
        <v>47</v>
      </c>
      <c r="D514" t="s">
        <v>14</v>
      </c>
      <c r="E514">
        <v>1916.667731</v>
      </c>
    </row>
    <row r="515" spans="1:5" hidden="1" x14ac:dyDescent="0.3">
      <c r="A515">
        <v>11</v>
      </c>
      <c r="B515">
        <v>155000</v>
      </c>
      <c r="C515" t="s">
        <v>47</v>
      </c>
      <c r="D515" t="s">
        <v>15</v>
      </c>
      <c r="E515">
        <v>0.14208799999999999</v>
      </c>
    </row>
    <row r="516" spans="1:5" hidden="1" x14ac:dyDescent="0.3">
      <c r="A516">
        <v>11</v>
      </c>
      <c r="B516">
        <v>155000</v>
      </c>
      <c r="C516" t="s">
        <v>47</v>
      </c>
      <c r="D516" t="s">
        <v>16</v>
      </c>
      <c r="E516">
        <v>18386.112885999999</v>
      </c>
    </row>
    <row r="517" spans="1:5" hidden="1" x14ac:dyDescent="0.3">
      <c r="A517">
        <v>11</v>
      </c>
      <c r="B517">
        <v>155000</v>
      </c>
      <c r="C517" t="s">
        <v>47</v>
      </c>
      <c r="D517" t="s">
        <v>17</v>
      </c>
      <c r="E517">
        <v>2.8371490000000001</v>
      </c>
    </row>
    <row r="518" spans="1:5" hidden="1" x14ac:dyDescent="0.3">
      <c r="A518">
        <v>11</v>
      </c>
      <c r="B518">
        <v>155000</v>
      </c>
      <c r="C518" t="s">
        <v>47</v>
      </c>
      <c r="D518" t="s">
        <v>18</v>
      </c>
      <c r="E518">
        <v>8.8916900000000005</v>
      </c>
    </row>
    <row r="519" spans="1:5" hidden="1" x14ac:dyDescent="0.3">
      <c r="A519">
        <v>11</v>
      </c>
      <c r="B519">
        <v>155000</v>
      </c>
      <c r="C519" t="s">
        <v>47</v>
      </c>
      <c r="D519" t="s">
        <v>19</v>
      </c>
      <c r="E519">
        <v>1277.779577</v>
      </c>
    </row>
    <row r="520" spans="1:5" hidden="1" x14ac:dyDescent="0.3">
      <c r="A520">
        <v>11</v>
      </c>
      <c r="B520">
        <v>155000</v>
      </c>
      <c r="C520" t="s">
        <v>47</v>
      </c>
      <c r="D520" t="s">
        <v>20</v>
      </c>
      <c r="E520">
        <v>1472.22513</v>
      </c>
    </row>
    <row r="521" spans="1:5" hidden="1" x14ac:dyDescent="0.3">
      <c r="A521">
        <v>11</v>
      </c>
      <c r="B521">
        <v>155000</v>
      </c>
      <c r="C521" t="s">
        <v>47</v>
      </c>
      <c r="D521" t="s">
        <v>21</v>
      </c>
      <c r="E521">
        <v>0.111925</v>
      </c>
    </row>
    <row r="522" spans="1:5" hidden="1" x14ac:dyDescent="0.3">
      <c r="A522">
        <v>11</v>
      </c>
      <c r="B522">
        <v>155000</v>
      </c>
      <c r="C522" t="s">
        <v>47</v>
      </c>
      <c r="D522" t="s">
        <v>22</v>
      </c>
      <c r="E522">
        <v>100.82911799999999</v>
      </c>
    </row>
    <row r="523" spans="1:5" hidden="1" x14ac:dyDescent="0.3">
      <c r="A523">
        <v>11</v>
      </c>
      <c r="B523">
        <v>155000</v>
      </c>
      <c r="C523" t="s">
        <v>47</v>
      </c>
      <c r="D523" t="s">
        <v>23</v>
      </c>
      <c r="E523">
        <v>388.89204599999999</v>
      </c>
    </row>
    <row r="524" spans="1:5" hidden="1" x14ac:dyDescent="0.3">
      <c r="A524">
        <v>11</v>
      </c>
      <c r="B524">
        <v>155000</v>
      </c>
      <c r="C524" t="s">
        <v>47</v>
      </c>
      <c r="D524" t="s">
        <v>24</v>
      </c>
      <c r="E524">
        <v>0.14724200000000001</v>
      </c>
    </row>
    <row r="525" spans="1:5" hidden="1" x14ac:dyDescent="0.3">
      <c r="A525">
        <v>11</v>
      </c>
      <c r="B525">
        <v>155000</v>
      </c>
      <c r="C525" t="s">
        <v>47</v>
      </c>
      <c r="D525" t="s">
        <v>25</v>
      </c>
      <c r="E525">
        <v>361.11354899999998</v>
      </c>
    </row>
    <row r="526" spans="1:5" hidden="1" x14ac:dyDescent="0.3">
      <c r="A526">
        <v>11</v>
      </c>
      <c r="B526">
        <v>155000</v>
      </c>
      <c r="C526" t="s">
        <v>47</v>
      </c>
      <c r="D526" t="s">
        <v>26</v>
      </c>
      <c r="E526">
        <v>0.13064200000000001</v>
      </c>
    </row>
    <row r="527" spans="1:5" hidden="1" x14ac:dyDescent="0.3">
      <c r="A527">
        <v>12</v>
      </c>
      <c r="B527">
        <v>160000</v>
      </c>
      <c r="C527" t="s">
        <v>45</v>
      </c>
      <c r="D527" t="s">
        <v>6</v>
      </c>
      <c r="E527">
        <v>0.30087799999999998</v>
      </c>
    </row>
    <row r="528" spans="1:5" hidden="1" x14ac:dyDescent="0.3">
      <c r="A528">
        <v>12</v>
      </c>
      <c r="B528">
        <v>160000</v>
      </c>
      <c r="C528" t="s">
        <v>45</v>
      </c>
      <c r="D528" t="s">
        <v>7</v>
      </c>
      <c r="E528">
        <v>16883.246127999999</v>
      </c>
    </row>
    <row r="529" spans="1:5" hidden="1" x14ac:dyDescent="0.3">
      <c r="A529">
        <v>12</v>
      </c>
      <c r="B529">
        <v>160000</v>
      </c>
      <c r="C529" t="s">
        <v>45</v>
      </c>
      <c r="D529" t="s">
        <v>8</v>
      </c>
      <c r="E529">
        <v>0.34329900000000002</v>
      </c>
    </row>
    <row r="530" spans="1:5" hidden="1" x14ac:dyDescent="0.3">
      <c r="A530">
        <v>12</v>
      </c>
      <c r="B530">
        <v>160000</v>
      </c>
      <c r="C530" t="s">
        <v>45</v>
      </c>
      <c r="D530" t="s">
        <v>9</v>
      </c>
      <c r="E530">
        <v>6.0517209999999997</v>
      </c>
    </row>
    <row r="531" spans="1:5" hidden="1" x14ac:dyDescent="0.3">
      <c r="A531">
        <v>12</v>
      </c>
      <c r="B531">
        <v>160000</v>
      </c>
      <c r="C531" t="s">
        <v>45</v>
      </c>
      <c r="D531" t="s">
        <v>10</v>
      </c>
      <c r="E531">
        <v>0.22348599999999999</v>
      </c>
    </row>
    <row r="532" spans="1:5" hidden="1" x14ac:dyDescent="0.3">
      <c r="A532">
        <v>12</v>
      </c>
      <c r="B532">
        <v>160000</v>
      </c>
      <c r="C532" t="s">
        <v>45</v>
      </c>
      <c r="D532" t="s">
        <v>11</v>
      </c>
      <c r="E532">
        <v>34138.863216999998</v>
      </c>
    </row>
    <row r="533" spans="1:5" hidden="1" x14ac:dyDescent="0.3">
      <c r="A533">
        <v>12</v>
      </c>
      <c r="B533">
        <v>160000</v>
      </c>
      <c r="C533" t="s">
        <v>45</v>
      </c>
      <c r="D533" t="s">
        <v>12</v>
      </c>
      <c r="E533">
        <v>44388.724590999998</v>
      </c>
    </row>
    <row r="534" spans="1:5" hidden="1" x14ac:dyDescent="0.3">
      <c r="A534">
        <v>12</v>
      </c>
      <c r="B534">
        <v>160000</v>
      </c>
      <c r="C534" t="s">
        <v>45</v>
      </c>
      <c r="D534" t="s">
        <v>13</v>
      </c>
      <c r="E534">
        <v>35431.319871</v>
      </c>
    </row>
    <row r="535" spans="1:5" hidden="1" x14ac:dyDescent="0.3">
      <c r="A535">
        <v>12</v>
      </c>
      <c r="B535">
        <v>160000</v>
      </c>
      <c r="C535" t="s">
        <v>45</v>
      </c>
      <c r="D535" t="s">
        <v>14</v>
      </c>
      <c r="E535">
        <v>110.787274</v>
      </c>
    </row>
    <row r="536" spans="1:5" hidden="1" x14ac:dyDescent="0.3">
      <c r="A536">
        <v>12</v>
      </c>
      <c r="B536">
        <v>160000</v>
      </c>
      <c r="C536" t="s">
        <v>45</v>
      </c>
      <c r="D536" t="s">
        <v>15</v>
      </c>
      <c r="E536">
        <v>6.3361000000000001E-2</v>
      </c>
    </row>
    <row r="537" spans="1:5" hidden="1" x14ac:dyDescent="0.3">
      <c r="A537">
        <v>12</v>
      </c>
      <c r="B537">
        <v>160000</v>
      </c>
      <c r="C537" t="s">
        <v>45</v>
      </c>
      <c r="D537" t="s">
        <v>16</v>
      </c>
      <c r="E537">
        <v>1.3407709999999999</v>
      </c>
    </row>
    <row r="538" spans="1:5" hidden="1" x14ac:dyDescent="0.3">
      <c r="A538">
        <v>12</v>
      </c>
      <c r="B538">
        <v>160000</v>
      </c>
      <c r="C538" t="s">
        <v>45</v>
      </c>
      <c r="D538" t="s">
        <v>17</v>
      </c>
      <c r="E538">
        <v>0.137687</v>
      </c>
    </row>
    <row r="539" spans="1:5" hidden="1" x14ac:dyDescent="0.3">
      <c r="A539">
        <v>12</v>
      </c>
      <c r="B539">
        <v>160000</v>
      </c>
      <c r="C539" t="s">
        <v>45</v>
      </c>
      <c r="D539" t="s">
        <v>18</v>
      </c>
      <c r="E539">
        <v>88.827917999999997</v>
      </c>
    </row>
    <row r="540" spans="1:5" hidden="1" x14ac:dyDescent="0.3">
      <c r="A540">
        <v>12</v>
      </c>
      <c r="B540">
        <v>160000</v>
      </c>
      <c r="C540" t="s">
        <v>45</v>
      </c>
      <c r="D540" t="s">
        <v>19</v>
      </c>
      <c r="E540">
        <v>8833.3317110000007</v>
      </c>
    </row>
    <row r="541" spans="1:5" hidden="1" x14ac:dyDescent="0.3">
      <c r="A541">
        <v>12</v>
      </c>
      <c r="B541">
        <v>160000</v>
      </c>
      <c r="C541" t="s">
        <v>45</v>
      </c>
      <c r="D541" t="s">
        <v>20</v>
      </c>
      <c r="E541">
        <v>15166.666612000001</v>
      </c>
    </row>
    <row r="542" spans="1:5" hidden="1" x14ac:dyDescent="0.3">
      <c r="A542">
        <v>12</v>
      </c>
      <c r="B542">
        <v>160000</v>
      </c>
      <c r="C542" t="s">
        <v>45</v>
      </c>
      <c r="D542" t="s">
        <v>21</v>
      </c>
      <c r="E542">
        <v>3.8068999999999999E-2</v>
      </c>
    </row>
    <row r="543" spans="1:5" hidden="1" x14ac:dyDescent="0.3">
      <c r="A543">
        <v>12</v>
      </c>
      <c r="B543">
        <v>160000</v>
      </c>
      <c r="C543" t="s">
        <v>45</v>
      </c>
      <c r="D543" t="s">
        <v>22</v>
      </c>
      <c r="E543">
        <v>504.11661099999998</v>
      </c>
    </row>
    <row r="544" spans="1:5" hidden="1" x14ac:dyDescent="0.3">
      <c r="A544">
        <v>12</v>
      </c>
      <c r="B544">
        <v>160000</v>
      </c>
      <c r="C544" t="s">
        <v>45</v>
      </c>
      <c r="D544" t="s">
        <v>23</v>
      </c>
      <c r="E544">
        <v>4444.4448240000002</v>
      </c>
    </row>
    <row r="545" spans="1:5" hidden="1" x14ac:dyDescent="0.3">
      <c r="A545">
        <v>12</v>
      </c>
      <c r="B545">
        <v>160000</v>
      </c>
      <c r="C545" t="s">
        <v>45</v>
      </c>
      <c r="D545" t="s">
        <v>24</v>
      </c>
      <c r="E545">
        <v>6.5009999999999998E-2</v>
      </c>
    </row>
    <row r="546" spans="1:5" hidden="1" x14ac:dyDescent="0.3">
      <c r="A546">
        <v>12</v>
      </c>
      <c r="B546">
        <v>160000</v>
      </c>
      <c r="C546" t="s">
        <v>45</v>
      </c>
      <c r="D546" t="s">
        <v>25</v>
      </c>
      <c r="E546">
        <v>1.0751189999999999</v>
      </c>
    </row>
    <row r="547" spans="1:5" hidden="1" x14ac:dyDescent="0.3">
      <c r="A547">
        <v>12</v>
      </c>
      <c r="B547">
        <v>160000</v>
      </c>
      <c r="C547" t="s">
        <v>45</v>
      </c>
      <c r="D547" t="s">
        <v>26</v>
      </c>
      <c r="E547">
        <v>4.9486000000000002E-2</v>
      </c>
    </row>
    <row r="548" spans="1:5" x14ac:dyDescent="0.3">
      <c r="A548">
        <v>12</v>
      </c>
      <c r="B548">
        <v>160000</v>
      </c>
      <c r="C548" t="s">
        <v>46</v>
      </c>
      <c r="D548" t="s">
        <v>6</v>
      </c>
      <c r="E548">
        <v>54.985354999999998</v>
      </c>
    </row>
    <row r="549" spans="1:5" hidden="1" x14ac:dyDescent="0.3">
      <c r="A549">
        <v>12</v>
      </c>
      <c r="B549">
        <v>160000</v>
      </c>
      <c r="C549" t="s">
        <v>46</v>
      </c>
      <c r="D549" t="s">
        <v>7</v>
      </c>
      <c r="E549">
        <v>36555.268051999999</v>
      </c>
    </row>
    <row r="550" spans="1:5" hidden="1" x14ac:dyDescent="0.3">
      <c r="A550">
        <v>12</v>
      </c>
      <c r="B550">
        <v>160000</v>
      </c>
      <c r="C550" t="s">
        <v>46</v>
      </c>
      <c r="D550" t="s">
        <v>8</v>
      </c>
      <c r="E550">
        <v>0.773509</v>
      </c>
    </row>
    <row r="551" spans="1:5" hidden="1" x14ac:dyDescent="0.3">
      <c r="A551">
        <v>12</v>
      </c>
      <c r="B551">
        <v>160000</v>
      </c>
      <c r="C551" t="s">
        <v>46</v>
      </c>
      <c r="D551" t="s">
        <v>9</v>
      </c>
      <c r="E551">
        <v>34138.344068999999</v>
      </c>
    </row>
    <row r="552" spans="1:5" hidden="1" x14ac:dyDescent="0.3">
      <c r="A552">
        <v>12</v>
      </c>
      <c r="B552">
        <v>160000</v>
      </c>
      <c r="C552" t="s">
        <v>46</v>
      </c>
      <c r="D552" t="s">
        <v>10</v>
      </c>
      <c r="E552">
        <v>0.27354400000000001</v>
      </c>
    </row>
    <row r="553" spans="1:5" hidden="1" x14ac:dyDescent="0.3">
      <c r="A553">
        <v>12</v>
      </c>
      <c r="B553">
        <v>160000</v>
      </c>
      <c r="C553" t="s">
        <v>46</v>
      </c>
      <c r="D553" t="s">
        <v>11</v>
      </c>
      <c r="E553">
        <v>28361.101069</v>
      </c>
    </row>
    <row r="554" spans="1:5" hidden="1" x14ac:dyDescent="0.3">
      <c r="A554">
        <v>12</v>
      </c>
      <c r="B554">
        <v>160000</v>
      </c>
      <c r="C554" t="s">
        <v>46</v>
      </c>
      <c r="D554" t="s">
        <v>12</v>
      </c>
      <c r="E554">
        <v>12555.555550999999</v>
      </c>
    </row>
    <row r="555" spans="1:5" hidden="1" x14ac:dyDescent="0.3">
      <c r="A555">
        <v>12</v>
      </c>
      <c r="B555">
        <v>160000</v>
      </c>
      <c r="C555" t="s">
        <v>46</v>
      </c>
      <c r="D555" t="s">
        <v>13</v>
      </c>
      <c r="E555">
        <v>14172.545604999999</v>
      </c>
    </row>
    <row r="556" spans="1:5" hidden="1" x14ac:dyDescent="0.3">
      <c r="A556">
        <v>12</v>
      </c>
      <c r="B556">
        <v>160000</v>
      </c>
      <c r="C556" t="s">
        <v>46</v>
      </c>
      <c r="D556" t="s">
        <v>14</v>
      </c>
      <c r="E556">
        <v>6388.8865059999998</v>
      </c>
    </row>
    <row r="557" spans="1:5" hidden="1" x14ac:dyDescent="0.3">
      <c r="A557">
        <v>12</v>
      </c>
      <c r="B557">
        <v>160000</v>
      </c>
      <c r="C557" t="s">
        <v>46</v>
      </c>
      <c r="D557" t="s">
        <v>15</v>
      </c>
      <c r="E557">
        <v>7.2541999999999995E-2</v>
      </c>
    </row>
    <row r="558" spans="1:5" hidden="1" x14ac:dyDescent="0.3">
      <c r="A558">
        <v>12</v>
      </c>
      <c r="B558">
        <v>160000</v>
      </c>
      <c r="C558" t="s">
        <v>46</v>
      </c>
      <c r="D558" t="s">
        <v>16</v>
      </c>
      <c r="E558">
        <v>13958.571534999999</v>
      </c>
    </row>
    <row r="559" spans="1:5" hidden="1" x14ac:dyDescent="0.3">
      <c r="A559">
        <v>12</v>
      </c>
      <c r="B559">
        <v>160000</v>
      </c>
      <c r="C559" t="s">
        <v>46</v>
      </c>
      <c r="D559" t="s">
        <v>17</v>
      </c>
      <c r="E559">
        <v>0.18926299999999999</v>
      </c>
    </row>
    <row r="560" spans="1:5" hidden="1" x14ac:dyDescent="0.3">
      <c r="A560">
        <v>12</v>
      </c>
      <c r="B560">
        <v>160000</v>
      </c>
      <c r="C560" t="s">
        <v>46</v>
      </c>
      <c r="D560" t="s">
        <v>18</v>
      </c>
      <c r="E560">
        <v>44.417392</v>
      </c>
    </row>
    <row r="561" spans="1:5" hidden="1" x14ac:dyDescent="0.3">
      <c r="A561">
        <v>12</v>
      </c>
      <c r="B561">
        <v>160000</v>
      </c>
      <c r="C561" t="s">
        <v>46</v>
      </c>
      <c r="D561" t="s">
        <v>19</v>
      </c>
      <c r="E561">
        <v>4222.2226680000003</v>
      </c>
    </row>
    <row r="562" spans="1:5" hidden="1" x14ac:dyDescent="0.3">
      <c r="A562">
        <v>12</v>
      </c>
      <c r="B562">
        <v>160000</v>
      </c>
      <c r="C562" t="s">
        <v>46</v>
      </c>
      <c r="D562" t="s">
        <v>20</v>
      </c>
      <c r="E562">
        <v>6055.5570230000003</v>
      </c>
    </row>
    <row r="563" spans="1:5" hidden="1" x14ac:dyDescent="0.3">
      <c r="A563">
        <v>12</v>
      </c>
      <c r="B563">
        <v>160000</v>
      </c>
      <c r="C563" t="s">
        <v>46</v>
      </c>
      <c r="D563" t="s">
        <v>21</v>
      </c>
      <c r="E563">
        <v>4.8280999999999998E-2</v>
      </c>
    </row>
    <row r="564" spans="1:5" hidden="1" x14ac:dyDescent="0.3">
      <c r="A564">
        <v>12</v>
      </c>
      <c r="B564">
        <v>160000</v>
      </c>
      <c r="C564" t="s">
        <v>46</v>
      </c>
      <c r="D564" t="s">
        <v>22</v>
      </c>
      <c r="E564">
        <v>268.87561599999998</v>
      </c>
    </row>
    <row r="565" spans="1:5" hidden="1" x14ac:dyDescent="0.3">
      <c r="A565">
        <v>12</v>
      </c>
      <c r="B565">
        <v>160000</v>
      </c>
      <c r="C565" t="s">
        <v>46</v>
      </c>
      <c r="D565" t="s">
        <v>23</v>
      </c>
      <c r="E565">
        <v>1722.2239460000001</v>
      </c>
    </row>
    <row r="566" spans="1:5" hidden="1" x14ac:dyDescent="0.3">
      <c r="A566">
        <v>12</v>
      </c>
      <c r="B566">
        <v>160000</v>
      </c>
      <c r="C566" t="s">
        <v>46</v>
      </c>
      <c r="D566" t="s">
        <v>24</v>
      </c>
      <c r="E566">
        <v>7.4708999999999998E-2</v>
      </c>
    </row>
    <row r="567" spans="1:5" hidden="1" x14ac:dyDescent="0.3">
      <c r="A567">
        <v>12</v>
      </c>
      <c r="B567">
        <v>160000</v>
      </c>
      <c r="C567" t="s">
        <v>46</v>
      </c>
      <c r="D567" t="s">
        <v>25</v>
      </c>
      <c r="E567">
        <v>1499.9998350000001</v>
      </c>
    </row>
    <row r="568" spans="1:5" hidden="1" x14ac:dyDescent="0.3">
      <c r="A568">
        <v>12</v>
      </c>
      <c r="B568">
        <v>160000</v>
      </c>
      <c r="C568" t="s">
        <v>46</v>
      </c>
      <c r="D568" t="s">
        <v>26</v>
      </c>
      <c r="E568">
        <v>5.9042999999999998E-2</v>
      </c>
    </row>
    <row r="569" spans="1:5" hidden="1" x14ac:dyDescent="0.3">
      <c r="A569">
        <v>12</v>
      </c>
      <c r="B569">
        <v>160000</v>
      </c>
      <c r="C569" t="s">
        <v>47</v>
      </c>
      <c r="D569" t="s">
        <v>6</v>
      </c>
      <c r="E569">
        <v>13.74452</v>
      </c>
    </row>
    <row r="570" spans="1:5" hidden="1" x14ac:dyDescent="0.3">
      <c r="A570">
        <v>12</v>
      </c>
      <c r="B570">
        <v>160000</v>
      </c>
      <c r="C570" t="s">
        <v>47</v>
      </c>
      <c r="D570" t="s">
        <v>7</v>
      </c>
      <c r="E570">
        <v>22194.434202</v>
      </c>
    </row>
    <row r="571" spans="1:5" hidden="1" x14ac:dyDescent="0.3">
      <c r="A571">
        <v>12</v>
      </c>
      <c r="B571">
        <v>160000</v>
      </c>
      <c r="C571" t="s">
        <v>47</v>
      </c>
      <c r="D571" t="s">
        <v>8</v>
      </c>
      <c r="E571">
        <v>194.44627299999999</v>
      </c>
    </row>
    <row r="572" spans="1:5" hidden="1" x14ac:dyDescent="0.3">
      <c r="A572">
        <v>12</v>
      </c>
      <c r="B572">
        <v>160000</v>
      </c>
      <c r="C572" t="s">
        <v>47</v>
      </c>
      <c r="D572" t="s">
        <v>9</v>
      </c>
      <c r="E572">
        <v>34138.485511999999</v>
      </c>
    </row>
    <row r="573" spans="1:5" hidden="1" x14ac:dyDescent="0.3">
      <c r="A573">
        <v>12</v>
      </c>
      <c r="B573">
        <v>160000</v>
      </c>
      <c r="C573" t="s">
        <v>47</v>
      </c>
      <c r="D573" t="s">
        <v>10</v>
      </c>
      <c r="E573">
        <v>48125.412104000003</v>
      </c>
    </row>
    <row r="574" spans="1:5" hidden="1" x14ac:dyDescent="0.3">
      <c r="A574">
        <v>12</v>
      </c>
      <c r="B574">
        <v>160000</v>
      </c>
      <c r="C574" t="s">
        <v>47</v>
      </c>
      <c r="D574" t="s">
        <v>11</v>
      </c>
      <c r="E574">
        <v>24709.969117000001</v>
      </c>
    </row>
    <row r="575" spans="1:5" hidden="1" x14ac:dyDescent="0.3">
      <c r="A575">
        <v>12</v>
      </c>
      <c r="B575">
        <v>160000</v>
      </c>
      <c r="C575" t="s">
        <v>47</v>
      </c>
      <c r="D575" t="s">
        <v>12</v>
      </c>
      <c r="E575">
        <v>3166.6691470000001</v>
      </c>
    </row>
    <row r="576" spans="1:5" hidden="1" x14ac:dyDescent="0.3">
      <c r="A576">
        <v>12</v>
      </c>
      <c r="B576">
        <v>160000</v>
      </c>
      <c r="C576" t="s">
        <v>47</v>
      </c>
      <c r="D576" t="s">
        <v>13</v>
      </c>
      <c r="E576">
        <v>3543.1417729999998</v>
      </c>
    </row>
    <row r="577" spans="1:5" hidden="1" x14ac:dyDescent="0.3">
      <c r="A577">
        <v>12</v>
      </c>
      <c r="B577">
        <v>160000</v>
      </c>
      <c r="C577" t="s">
        <v>47</v>
      </c>
      <c r="D577" t="s">
        <v>14</v>
      </c>
      <c r="E577">
        <v>1916.668586</v>
      </c>
    </row>
    <row r="578" spans="1:5" hidden="1" x14ac:dyDescent="0.3">
      <c r="A578">
        <v>12</v>
      </c>
      <c r="B578">
        <v>160000</v>
      </c>
      <c r="C578" t="s">
        <v>47</v>
      </c>
      <c r="D578" t="s">
        <v>15</v>
      </c>
      <c r="E578">
        <v>0.13552900000000001</v>
      </c>
    </row>
    <row r="579" spans="1:5" hidden="1" x14ac:dyDescent="0.3">
      <c r="A579">
        <v>12</v>
      </c>
      <c r="B579">
        <v>160000</v>
      </c>
      <c r="C579" t="s">
        <v>47</v>
      </c>
      <c r="D579" t="s">
        <v>16</v>
      </c>
      <c r="E579">
        <v>18385.872693000001</v>
      </c>
    </row>
    <row r="580" spans="1:5" hidden="1" x14ac:dyDescent="0.3">
      <c r="A580">
        <v>12</v>
      </c>
      <c r="B580">
        <v>160000</v>
      </c>
      <c r="C580" t="s">
        <v>47</v>
      </c>
      <c r="D580" t="s">
        <v>17</v>
      </c>
      <c r="E580">
        <v>0.99015500000000001</v>
      </c>
    </row>
    <row r="581" spans="1:5" hidden="1" x14ac:dyDescent="0.3">
      <c r="A581">
        <v>12</v>
      </c>
      <c r="B581">
        <v>160000</v>
      </c>
      <c r="C581" t="s">
        <v>47</v>
      </c>
      <c r="D581" t="s">
        <v>18</v>
      </c>
      <c r="E581">
        <v>8.8920309999999994</v>
      </c>
    </row>
    <row r="582" spans="1:5" hidden="1" x14ac:dyDescent="0.3">
      <c r="A582">
        <v>12</v>
      </c>
      <c r="B582">
        <v>160000</v>
      </c>
      <c r="C582" t="s">
        <v>47</v>
      </c>
      <c r="D582" t="s">
        <v>19</v>
      </c>
      <c r="E582">
        <v>1277.780182</v>
      </c>
    </row>
    <row r="583" spans="1:5" hidden="1" x14ac:dyDescent="0.3">
      <c r="A583">
        <v>12</v>
      </c>
      <c r="B583">
        <v>160000</v>
      </c>
      <c r="C583" t="s">
        <v>47</v>
      </c>
      <c r="D583" t="s">
        <v>20</v>
      </c>
      <c r="E583">
        <v>1472.225207</v>
      </c>
    </row>
    <row r="584" spans="1:5" hidden="1" x14ac:dyDescent="0.3">
      <c r="A584">
        <v>12</v>
      </c>
      <c r="B584">
        <v>160000</v>
      </c>
      <c r="C584" t="s">
        <v>47</v>
      </c>
      <c r="D584" t="s">
        <v>21</v>
      </c>
      <c r="E584">
        <v>0.108681</v>
      </c>
    </row>
    <row r="585" spans="1:5" hidden="1" x14ac:dyDescent="0.3">
      <c r="A585">
        <v>12</v>
      </c>
      <c r="B585">
        <v>160000</v>
      </c>
      <c r="C585" t="s">
        <v>47</v>
      </c>
      <c r="D585" t="s">
        <v>22</v>
      </c>
      <c r="E585">
        <v>100.83008700000001</v>
      </c>
    </row>
    <row r="586" spans="1:5" hidden="1" x14ac:dyDescent="0.3">
      <c r="A586">
        <v>12</v>
      </c>
      <c r="B586">
        <v>160000</v>
      </c>
      <c r="C586" t="s">
        <v>47</v>
      </c>
      <c r="D586" t="s">
        <v>23</v>
      </c>
      <c r="E586">
        <v>388.89206100000001</v>
      </c>
    </row>
    <row r="587" spans="1:5" hidden="1" x14ac:dyDescent="0.3">
      <c r="A587">
        <v>12</v>
      </c>
      <c r="B587">
        <v>160000</v>
      </c>
      <c r="C587" t="s">
        <v>47</v>
      </c>
      <c r="D587" t="s">
        <v>24</v>
      </c>
      <c r="E587">
        <v>0.14082900000000001</v>
      </c>
    </row>
    <row r="588" spans="1:5" hidden="1" x14ac:dyDescent="0.3">
      <c r="A588">
        <v>12</v>
      </c>
      <c r="B588">
        <v>160000</v>
      </c>
      <c r="C588" t="s">
        <v>47</v>
      </c>
      <c r="D588" t="s">
        <v>25</v>
      </c>
      <c r="E588">
        <v>361.11371500000001</v>
      </c>
    </row>
    <row r="589" spans="1:5" hidden="1" x14ac:dyDescent="0.3">
      <c r="A589">
        <v>12</v>
      </c>
      <c r="B589">
        <v>160000</v>
      </c>
      <c r="C589" t="s">
        <v>47</v>
      </c>
      <c r="D589" t="s">
        <v>26</v>
      </c>
      <c r="E589">
        <v>0.12414600000000001</v>
      </c>
    </row>
    <row r="590" spans="1:5" hidden="1" x14ac:dyDescent="0.3">
      <c r="A590">
        <v>13</v>
      </c>
      <c r="B590">
        <v>165000</v>
      </c>
      <c r="C590" t="s">
        <v>45</v>
      </c>
      <c r="D590" t="s">
        <v>6</v>
      </c>
      <c r="E590">
        <v>0.60356699999999996</v>
      </c>
    </row>
    <row r="591" spans="1:5" hidden="1" x14ac:dyDescent="0.3">
      <c r="A591">
        <v>13</v>
      </c>
      <c r="B591">
        <v>165000</v>
      </c>
      <c r="C591" t="s">
        <v>45</v>
      </c>
      <c r="D591" t="s">
        <v>7</v>
      </c>
      <c r="E591">
        <v>21851.331608</v>
      </c>
    </row>
    <row r="592" spans="1:5" hidden="1" x14ac:dyDescent="0.3">
      <c r="A592">
        <v>13</v>
      </c>
      <c r="B592">
        <v>165000</v>
      </c>
      <c r="C592" t="s">
        <v>45</v>
      </c>
      <c r="D592" t="s">
        <v>8</v>
      </c>
      <c r="E592">
        <v>0.95994100000000004</v>
      </c>
    </row>
    <row r="593" spans="1:5" hidden="1" x14ac:dyDescent="0.3">
      <c r="A593">
        <v>13</v>
      </c>
      <c r="B593">
        <v>165000</v>
      </c>
      <c r="C593" t="s">
        <v>45</v>
      </c>
      <c r="D593" t="s">
        <v>9</v>
      </c>
      <c r="E593">
        <v>6.7732619999999999</v>
      </c>
    </row>
    <row r="594" spans="1:5" hidden="1" x14ac:dyDescent="0.3">
      <c r="A594">
        <v>13</v>
      </c>
      <c r="B594">
        <v>165000</v>
      </c>
      <c r="C594" t="s">
        <v>45</v>
      </c>
      <c r="D594" t="s">
        <v>10</v>
      </c>
      <c r="E594">
        <v>0.552481</v>
      </c>
    </row>
    <row r="595" spans="1:5" hidden="1" x14ac:dyDescent="0.3">
      <c r="A595">
        <v>13</v>
      </c>
      <c r="B595">
        <v>165000</v>
      </c>
      <c r="C595" t="s">
        <v>45</v>
      </c>
      <c r="D595" t="s">
        <v>11</v>
      </c>
      <c r="E595">
        <v>34138.879586000003</v>
      </c>
    </row>
    <row r="596" spans="1:5" hidden="1" x14ac:dyDescent="0.3">
      <c r="A596">
        <v>13</v>
      </c>
      <c r="B596">
        <v>165000</v>
      </c>
      <c r="C596" t="s">
        <v>45</v>
      </c>
      <c r="D596" t="s">
        <v>12</v>
      </c>
      <c r="E596">
        <v>44388.304185000001</v>
      </c>
    </row>
    <row r="597" spans="1:5" hidden="1" x14ac:dyDescent="0.3">
      <c r="A597">
        <v>13</v>
      </c>
      <c r="B597">
        <v>165000</v>
      </c>
      <c r="C597" t="s">
        <v>45</v>
      </c>
      <c r="D597" t="s">
        <v>13</v>
      </c>
      <c r="E597">
        <v>35431.303373000002</v>
      </c>
    </row>
    <row r="598" spans="1:5" hidden="1" x14ac:dyDescent="0.3">
      <c r="A598">
        <v>13</v>
      </c>
      <c r="B598">
        <v>165000</v>
      </c>
      <c r="C598" t="s">
        <v>45</v>
      </c>
      <c r="D598" t="s">
        <v>14</v>
      </c>
      <c r="E598">
        <v>133.30391900000001</v>
      </c>
    </row>
    <row r="599" spans="1:5" hidden="1" x14ac:dyDescent="0.3">
      <c r="A599">
        <v>13</v>
      </c>
      <c r="B599">
        <v>165000</v>
      </c>
      <c r="C599" t="s">
        <v>45</v>
      </c>
      <c r="D599" t="s">
        <v>15</v>
      </c>
      <c r="E599">
        <v>0.199571</v>
      </c>
    </row>
    <row r="600" spans="1:5" hidden="1" x14ac:dyDescent="0.3">
      <c r="A600">
        <v>13</v>
      </c>
      <c r="B600">
        <v>165000</v>
      </c>
      <c r="C600" t="s">
        <v>45</v>
      </c>
      <c r="D600" t="s">
        <v>16</v>
      </c>
      <c r="E600">
        <v>7.178871</v>
      </c>
    </row>
    <row r="601" spans="1:5" hidden="1" x14ac:dyDescent="0.3">
      <c r="A601">
        <v>13</v>
      </c>
      <c r="B601">
        <v>165000</v>
      </c>
      <c r="C601" t="s">
        <v>45</v>
      </c>
      <c r="D601" t="s">
        <v>17</v>
      </c>
      <c r="E601">
        <v>0.41430299999999998</v>
      </c>
    </row>
    <row r="602" spans="1:5" hidden="1" x14ac:dyDescent="0.3">
      <c r="A602">
        <v>13</v>
      </c>
      <c r="B602">
        <v>165000</v>
      </c>
      <c r="C602" t="s">
        <v>45</v>
      </c>
      <c r="D602" t="s">
        <v>18</v>
      </c>
      <c r="E602">
        <v>88.828541999999999</v>
      </c>
    </row>
    <row r="603" spans="1:5" hidden="1" x14ac:dyDescent="0.3">
      <c r="A603">
        <v>13</v>
      </c>
      <c r="B603">
        <v>165000</v>
      </c>
      <c r="C603" t="s">
        <v>45</v>
      </c>
      <c r="D603" t="s">
        <v>19</v>
      </c>
      <c r="E603">
        <v>8833.3016200000002</v>
      </c>
    </row>
    <row r="604" spans="1:5" hidden="1" x14ac:dyDescent="0.3">
      <c r="A604">
        <v>13</v>
      </c>
      <c r="B604">
        <v>165000</v>
      </c>
      <c r="C604" t="s">
        <v>45</v>
      </c>
      <c r="D604" t="s">
        <v>20</v>
      </c>
      <c r="E604">
        <v>15166.668233</v>
      </c>
    </row>
    <row r="605" spans="1:5" hidden="1" x14ac:dyDescent="0.3">
      <c r="A605">
        <v>13</v>
      </c>
      <c r="B605">
        <v>165000</v>
      </c>
      <c r="C605" t="s">
        <v>45</v>
      </c>
      <c r="D605" t="s">
        <v>21</v>
      </c>
      <c r="E605">
        <v>0.13039999999999999</v>
      </c>
    </row>
    <row r="606" spans="1:5" hidden="1" x14ac:dyDescent="0.3">
      <c r="A606">
        <v>13</v>
      </c>
      <c r="B606">
        <v>165000</v>
      </c>
      <c r="C606" t="s">
        <v>45</v>
      </c>
      <c r="D606" t="s">
        <v>22</v>
      </c>
      <c r="E606">
        <v>504.11972400000002</v>
      </c>
    </row>
    <row r="607" spans="1:5" hidden="1" x14ac:dyDescent="0.3">
      <c r="A607">
        <v>13</v>
      </c>
      <c r="B607">
        <v>165000</v>
      </c>
      <c r="C607" t="s">
        <v>45</v>
      </c>
      <c r="D607" t="s">
        <v>23</v>
      </c>
      <c r="E607">
        <v>4444.4474980000005</v>
      </c>
    </row>
    <row r="608" spans="1:5" hidden="1" x14ac:dyDescent="0.3">
      <c r="A608">
        <v>13</v>
      </c>
      <c r="B608">
        <v>165000</v>
      </c>
      <c r="C608" t="s">
        <v>45</v>
      </c>
      <c r="D608" t="s">
        <v>24</v>
      </c>
      <c r="E608">
        <v>0.205234</v>
      </c>
    </row>
    <row r="609" spans="1:5" hidden="1" x14ac:dyDescent="0.3">
      <c r="A609">
        <v>13</v>
      </c>
      <c r="B609">
        <v>165000</v>
      </c>
      <c r="C609" t="s">
        <v>45</v>
      </c>
      <c r="D609" t="s">
        <v>25</v>
      </c>
      <c r="E609">
        <v>2.4381729999999999</v>
      </c>
    </row>
    <row r="610" spans="1:5" hidden="1" x14ac:dyDescent="0.3">
      <c r="A610">
        <v>13</v>
      </c>
      <c r="B610">
        <v>165000</v>
      </c>
      <c r="C610" t="s">
        <v>45</v>
      </c>
      <c r="D610" t="s">
        <v>26</v>
      </c>
      <c r="E610">
        <v>0.153863</v>
      </c>
    </row>
    <row r="611" spans="1:5" x14ac:dyDescent="0.3">
      <c r="A611">
        <v>13</v>
      </c>
      <c r="B611">
        <v>165000</v>
      </c>
      <c r="C611" t="s">
        <v>46</v>
      </c>
      <c r="D611" t="s">
        <v>6</v>
      </c>
      <c r="E611">
        <v>54.980549000000003</v>
      </c>
    </row>
    <row r="612" spans="1:5" hidden="1" x14ac:dyDescent="0.3">
      <c r="A612">
        <v>13</v>
      </c>
      <c r="B612">
        <v>165000</v>
      </c>
      <c r="C612" t="s">
        <v>46</v>
      </c>
      <c r="D612" t="s">
        <v>7</v>
      </c>
      <c r="E612">
        <v>36555.392634999997</v>
      </c>
    </row>
    <row r="613" spans="1:5" hidden="1" x14ac:dyDescent="0.3">
      <c r="A613">
        <v>13</v>
      </c>
      <c r="B613">
        <v>165000</v>
      </c>
      <c r="C613" t="s">
        <v>46</v>
      </c>
      <c r="D613" t="s">
        <v>8</v>
      </c>
      <c r="E613">
        <v>1.0135179999999999</v>
      </c>
    </row>
    <row r="614" spans="1:5" hidden="1" x14ac:dyDescent="0.3">
      <c r="A614">
        <v>13</v>
      </c>
      <c r="B614">
        <v>165000</v>
      </c>
      <c r="C614" t="s">
        <v>46</v>
      </c>
      <c r="D614" t="s">
        <v>9</v>
      </c>
      <c r="E614">
        <v>29473.316127999999</v>
      </c>
    </row>
    <row r="615" spans="1:5" hidden="1" x14ac:dyDescent="0.3">
      <c r="A615">
        <v>13</v>
      </c>
      <c r="B615">
        <v>165000</v>
      </c>
      <c r="C615" t="s">
        <v>46</v>
      </c>
      <c r="D615" t="s">
        <v>10</v>
      </c>
      <c r="E615">
        <v>0.493396</v>
      </c>
    </row>
    <row r="616" spans="1:5" hidden="1" x14ac:dyDescent="0.3">
      <c r="A616">
        <v>13</v>
      </c>
      <c r="B616">
        <v>165000</v>
      </c>
      <c r="C616" t="s">
        <v>46</v>
      </c>
      <c r="D616" t="s">
        <v>11</v>
      </c>
      <c r="E616">
        <v>28361.095667000001</v>
      </c>
    </row>
    <row r="617" spans="1:5" hidden="1" x14ac:dyDescent="0.3">
      <c r="A617">
        <v>13</v>
      </c>
      <c r="B617">
        <v>165000</v>
      </c>
      <c r="C617" t="s">
        <v>46</v>
      </c>
      <c r="D617" t="s">
        <v>12</v>
      </c>
      <c r="E617">
        <v>12555.553712999999</v>
      </c>
    </row>
    <row r="618" spans="1:5" hidden="1" x14ac:dyDescent="0.3">
      <c r="A618">
        <v>13</v>
      </c>
      <c r="B618">
        <v>165000</v>
      </c>
      <c r="C618" t="s">
        <v>46</v>
      </c>
      <c r="D618" t="s">
        <v>13</v>
      </c>
      <c r="E618">
        <v>14172.546039000001</v>
      </c>
    </row>
    <row r="619" spans="1:5" hidden="1" x14ac:dyDescent="0.3">
      <c r="A619">
        <v>13</v>
      </c>
      <c r="B619">
        <v>165000</v>
      </c>
      <c r="C619" t="s">
        <v>46</v>
      </c>
      <c r="D619" t="s">
        <v>14</v>
      </c>
      <c r="E619">
        <v>6388.8746959999999</v>
      </c>
    </row>
    <row r="620" spans="1:5" hidden="1" x14ac:dyDescent="0.3">
      <c r="A620">
        <v>13</v>
      </c>
      <c r="B620">
        <v>165000</v>
      </c>
      <c r="C620" t="s">
        <v>46</v>
      </c>
      <c r="D620" t="s">
        <v>15</v>
      </c>
      <c r="E620">
        <v>0.14968600000000001</v>
      </c>
    </row>
    <row r="621" spans="1:5" hidden="1" x14ac:dyDescent="0.3">
      <c r="A621">
        <v>13</v>
      </c>
      <c r="B621">
        <v>165000</v>
      </c>
      <c r="C621" t="s">
        <v>46</v>
      </c>
      <c r="D621" t="s">
        <v>16</v>
      </c>
      <c r="E621">
        <v>23622.645111000002</v>
      </c>
    </row>
    <row r="622" spans="1:5" hidden="1" x14ac:dyDescent="0.3">
      <c r="A622">
        <v>13</v>
      </c>
      <c r="B622">
        <v>165000</v>
      </c>
      <c r="C622" t="s">
        <v>46</v>
      </c>
      <c r="D622" t="s">
        <v>17</v>
      </c>
      <c r="E622">
        <v>0.38028899999999999</v>
      </c>
    </row>
    <row r="623" spans="1:5" hidden="1" x14ac:dyDescent="0.3">
      <c r="A623">
        <v>13</v>
      </c>
      <c r="B623">
        <v>165000</v>
      </c>
      <c r="C623" t="s">
        <v>46</v>
      </c>
      <c r="D623" t="s">
        <v>18</v>
      </c>
      <c r="E623">
        <v>44.417648999999997</v>
      </c>
    </row>
    <row r="624" spans="1:5" hidden="1" x14ac:dyDescent="0.3">
      <c r="A624">
        <v>13</v>
      </c>
      <c r="B624">
        <v>165000</v>
      </c>
      <c r="C624" t="s">
        <v>46</v>
      </c>
      <c r="D624" t="s">
        <v>19</v>
      </c>
      <c r="E624">
        <v>4222.2183100000002</v>
      </c>
    </row>
    <row r="625" spans="1:5" hidden="1" x14ac:dyDescent="0.3">
      <c r="A625">
        <v>13</v>
      </c>
      <c r="B625">
        <v>165000</v>
      </c>
      <c r="C625" t="s">
        <v>46</v>
      </c>
      <c r="D625" t="s">
        <v>20</v>
      </c>
      <c r="E625">
        <v>6055.558008</v>
      </c>
    </row>
    <row r="626" spans="1:5" hidden="1" x14ac:dyDescent="0.3">
      <c r="A626">
        <v>13</v>
      </c>
      <c r="B626">
        <v>165000</v>
      </c>
      <c r="C626" t="s">
        <v>46</v>
      </c>
      <c r="D626" t="s">
        <v>21</v>
      </c>
      <c r="E626">
        <v>8.9758000000000004E-2</v>
      </c>
    </row>
    <row r="627" spans="1:5" hidden="1" x14ac:dyDescent="0.3">
      <c r="A627">
        <v>13</v>
      </c>
      <c r="B627">
        <v>165000</v>
      </c>
      <c r="C627" t="s">
        <v>46</v>
      </c>
      <c r="D627" t="s">
        <v>22</v>
      </c>
      <c r="E627">
        <v>268.86239999999998</v>
      </c>
    </row>
    <row r="628" spans="1:5" hidden="1" x14ac:dyDescent="0.3">
      <c r="A628">
        <v>13</v>
      </c>
      <c r="B628">
        <v>165000</v>
      </c>
      <c r="C628" t="s">
        <v>46</v>
      </c>
      <c r="D628" t="s">
        <v>23</v>
      </c>
      <c r="E628">
        <v>1722.225271</v>
      </c>
    </row>
    <row r="629" spans="1:5" hidden="1" x14ac:dyDescent="0.3">
      <c r="A629">
        <v>13</v>
      </c>
      <c r="B629">
        <v>165000</v>
      </c>
      <c r="C629" t="s">
        <v>46</v>
      </c>
      <c r="D629" t="s">
        <v>24</v>
      </c>
      <c r="E629">
        <v>0.15422</v>
      </c>
    </row>
    <row r="630" spans="1:5" hidden="1" x14ac:dyDescent="0.3">
      <c r="A630">
        <v>13</v>
      </c>
      <c r="B630">
        <v>165000</v>
      </c>
      <c r="C630" t="s">
        <v>46</v>
      </c>
      <c r="D630" t="s">
        <v>25</v>
      </c>
      <c r="E630">
        <v>1499.9962290000001</v>
      </c>
    </row>
    <row r="631" spans="1:5" hidden="1" x14ac:dyDescent="0.3">
      <c r="A631">
        <v>13</v>
      </c>
      <c r="B631">
        <v>165000</v>
      </c>
      <c r="C631" t="s">
        <v>46</v>
      </c>
      <c r="D631" t="s">
        <v>26</v>
      </c>
      <c r="E631">
        <v>0.12094100000000001</v>
      </c>
    </row>
    <row r="632" spans="1:5" hidden="1" x14ac:dyDescent="0.3">
      <c r="A632">
        <v>13</v>
      </c>
      <c r="B632">
        <v>165000</v>
      </c>
      <c r="C632" t="s">
        <v>47</v>
      </c>
      <c r="D632" t="s">
        <v>6</v>
      </c>
      <c r="E632">
        <v>13.741853000000001</v>
      </c>
    </row>
    <row r="633" spans="1:5" hidden="1" x14ac:dyDescent="0.3">
      <c r="A633">
        <v>13</v>
      </c>
      <c r="B633">
        <v>165000</v>
      </c>
      <c r="C633" t="s">
        <v>47</v>
      </c>
      <c r="D633" t="s">
        <v>7</v>
      </c>
      <c r="E633">
        <v>22194.444488000001</v>
      </c>
    </row>
    <row r="634" spans="1:5" hidden="1" x14ac:dyDescent="0.3">
      <c r="A634">
        <v>13</v>
      </c>
      <c r="B634">
        <v>165000</v>
      </c>
      <c r="C634" t="s">
        <v>47</v>
      </c>
      <c r="D634" t="s">
        <v>8</v>
      </c>
      <c r="E634">
        <v>194.444424</v>
      </c>
    </row>
    <row r="635" spans="1:5" hidden="1" x14ac:dyDescent="0.3">
      <c r="A635">
        <v>13</v>
      </c>
      <c r="B635">
        <v>165000</v>
      </c>
      <c r="C635" t="s">
        <v>47</v>
      </c>
      <c r="D635" t="s">
        <v>9</v>
      </c>
      <c r="E635">
        <v>34138.483505999997</v>
      </c>
    </row>
    <row r="636" spans="1:5" hidden="1" x14ac:dyDescent="0.3">
      <c r="A636">
        <v>13</v>
      </c>
      <c r="B636">
        <v>165000</v>
      </c>
      <c r="C636" t="s">
        <v>47</v>
      </c>
      <c r="D636" t="s">
        <v>10</v>
      </c>
      <c r="E636">
        <v>53125.925625999997</v>
      </c>
    </row>
    <row r="637" spans="1:5" hidden="1" x14ac:dyDescent="0.3">
      <c r="A637">
        <v>13</v>
      </c>
      <c r="B637">
        <v>165000</v>
      </c>
      <c r="C637" t="s">
        <v>47</v>
      </c>
      <c r="D637" t="s">
        <v>11</v>
      </c>
      <c r="E637">
        <v>24709.966913</v>
      </c>
    </row>
    <row r="638" spans="1:5" hidden="1" x14ac:dyDescent="0.3">
      <c r="A638">
        <v>13</v>
      </c>
      <c r="B638">
        <v>165000</v>
      </c>
      <c r="C638" t="s">
        <v>47</v>
      </c>
      <c r="D638" t="s">
        <v>12</v>
      </c>
      <c r="E638">
        <v>3166.6669149999998</v>
      </c>
    </row>
    <row r="639" spans="1:5" hidden="1" x14ac:dyDescent="0.3">
      <c r="A639">
        <v>13</v>
      </c>
      <c r="B639">
        <v>165000</v>
      </c>
      <c r="C639" t="s">
        <v>47</v>
      </c>
      <c r="D639" t="s">
        <v>13</v>
      </c>
      <c r="E639">
        <v>3543.1392679999999</v>
      </c>
    </row>
    <row r="640" spans="1:5" hidden="1" x14ac:dyDescent="0.3">
      <c r="A640">
        <v>13</v>
      </c>
      <c r="B640">
        <v>165000</v>
      </c>
      <c r="C640" t="s">
        <v>47</v>
      </c>
      <c r="D640" t="s">
        <v>14</v>
      </c>
      <c r="E640">
        <v>1916.6667190000001</v>
      </c>
    </row>
    <row r="641" spans="1:5" hidden="1" x14ac:dyDescent="0.3">
      <c r="A641">
        <v>13</v>
      </c>
      <c r="B641">
        <v>165000</v>
      </c>
      <c r="C641" t="s">
        <v>47</v>
      </c>
      <c r="D641" t="s">
        <v>15</v>
      </c>
      <c r="E641">
        <v>3.7143000000000002E-2</v>
      </c>
    </row>
    <row r="642" spans="1:5" hidden="1" x14ac:dyDescent="0.3">
      <c r="A642">
        <v>13</v>
      </c>
      <c r="B642">
        <v>165000</v>
      </c>
      <c r="C642" t="s">
        <v>47</v>
      </c>
      <c r="D642" t="s">
        <v>16</v>
      </c>
      <c r="E642">
        <v>18386.153064999999</v>
      </c>
    </row>
    <row r="643" spans="1:5" hidden="1" x14ac:dyDescent="0.3">
      <c r="A643">
        <v>13</v>
      </c>
      <c r="B643">
        <v>165000</v>
      </c>
      <c r="C643" t="s">
        <v>47</v>
      </c>
      <c r="D643" t="s">
        <v>17</v>
      </c>
      <c r="E643">
        <v>0.52191600000000005</v>
      </c>
    </row>
    <row r="644" spans="1:5" hidden="1" x14ac:dyDescent="0.3">
      <c r="A644">
        <v>13</v>
      </c>
      <c r="B644">
        <v>165000</v>
      </c>
      <c r="C644" t="s">
        <v>47</v>
      </c>
      <c r="D644" t="s">
        <v>18</v>
      </c>
      <c r="E644">
        <v>8.8892310000000005</v>
      </c>
    </row>
    <row r="645" spans="1:5" hidden="1" x14ac:dyDescent="0.3">
      <c r="A645">
        <v>13</v>
      </c>
      <c r="B645">
        <v>165000</v>
      </c>
      <c r="C645" t="s">
        <v>47</v>
      </c>
      <c r="D645" t="s">
        <v>19</v>
      </c>
      <c r="E645">
        <v>1277.7779949999999</v>
      </c>
    </row>
    <row r="646" spans="1:5" hidden="1" x14ac:dyDescent="0.3">
      <c r="A646">
        <v>13</v>
      </c>
      <c r="B646">
        <v>165000</v>
      </c>
      <c r="C646" t="s">
        <v>47</v>
      </c>
      <c r="D646" t="s">
        <v>20</v>
      </c>
      <c r="E646">
        <v>1472.2226310000001</v>
      </c>
    </row>
    <row r="647" spans="1:5" hidden="1" x14ac:dyDescent="0.3">
      <c r="A647">
        <v>13</v>
      </c>
      <c r="B647">
        <v>165000</v>
      </c>
      <c r="C647" t="s">
        <v>47</v>
      </c>
      <c r="D647" t="s">
        <v>21</v>
      </c>
      <c r="E647">
        <v>2.9446E-2</v>
      </c>
    </row>
    <row r="648" spans="1:5" hidden="1" x14ac:dyDescent="0.3">
      <c r="A648">
        <v>13</v>
      </c>
      <c r="B648">
        <v>165000</v>
      </c>
      <c r="C648" t="s">
        <v>47</v>
      </c>
      <c r="D648" t="s">
        <v>22</v>
      </c>
      <c r="E648">
        <v>100.827907</v>
      </c>
    </row>
    <row r="649" spans="1:5" hidden="1" x14ac:dyDescent="0.3">
      <c r="A649">
        <v>13</v>
      </c>
      <c r="B649">
        <v>165000</v>
      </c>
      <c r="C649" t="s">
        <v>47</v>
      </c>
      <c r="D649" t="s">
        <v>23</v>
      </c>
      <c r="E649">
        <v>388.88935300000003</v>
      </c>
    </row>
    <row r="650" spans="1:5" hidden="1" x14ac:dyDescent="0.3">
      <c r="A650">
        <v>13</v>
      </c>
      <c r="B650">
        <v>165000</v>
      </c>
      <c r="C650" t="s">
        <v>47</v>
      </c>
      <c r="D650" t="s">
        <v>24</v>
      </c>
      <c r="E650">
        <v>3.8559999999999997E-2</v>
      </c>
    </row>
    <row r="651" spans="1:5" hidden="1" x14ac:dyDescent="0.3">
      <c r="A651">
        <v>13</v>
      </c>
      <c r="B651">
        <v>165000</v>
      </c>
      <c r="C651" t="s">
        <v>47</v>
      </c>
      <c r="D651" t="s">
        <v>25</v>
      </c>
      <c r="E651">
        <v>361.11138199999999</v>
      </c>
    </row>
    <row r="652" spans="1:5" hidden="1" x14ac:dyDescent="0.3">
      <c r="A652">
        <v>13</v>
      </c>
      <c r="B652">
        <v>165000</v>
      </c>
      <c r="C652" t="s">
        <v>47</v>
      </c>
      <c r="D652" t="s">
        <v>26</v>
      </c>
      <c r="E652">
        <v>3.4573E-2</v>
      </c>
    </row>
    <row r="653" spans="1:5" hidden="1" x14ac:dyDescent="0.3">
      <c r="A653">
        <v>14</v>
      </c>
      <c r="B653">
        <v>170000</v>
      </c>
      <c r="C653" t="s">
        <v>45</v>
      </c>
      <c r="D653" t="s">
        <v>6</v>
      </c>
      <c r="E653">
        <v>0.566357</v>
      </c>
    </row>
    <row r="654" spans="1:5" hidden="1" x14ac:dyDescent="0.3">
      <c r="A654">
        <v>14</v>
      </c>
      <c r="B654">
        <v>170000</v>
      </c>
      <c r="C654" t="s">
        <v>45</v>
      </c>
      <c r="D654" t="s">
        <v>7</v>
      </c>
      <c r="E654">
        <v>26791.441798</v>
      </c>
    </row>
    <row r="655" spans="1:5" hidden="1" x14ac:dyDescent="0.3">
      <c r="A655">
        <v>14</v>
      </c>
      <c r="B655">
        <v>170000</v>
      </c>
      <c r="C655" t="s">
        <v>45</v>
      </c>
      <c r="D655" t="s">
        <v>8</v>
      </c>
      <c r="E655">
        <v>0.86552200000000001</v>
      </c>
    </row>
    <row r="656" spans="1:5" hidden="1" x14ac:dyDescent="0.3">
      <c r="A656">
        <v>14</v>
      </c>
      <c r="B656">
        <v>170000</v>
      </c>
      <c r="C656" t="s">
        <v>45</v>
      </c>
      <c r="D656" t="s">
        <v>9</v>
      </c>
      <c r="E656">
        <v>5.4086850000000002</v>
      </c>
    </row>
    <row r="657" spans="1:5" hidden="1" x14ac:dyDescent="0.3">
      <c r="A657">
        <v>14</v>
      </c>
      <c r="B657">
        <v>170000</v>
      </c>
      <c r="C657" t="s">
        <v>45</v>
      </c>
      <c r="D657" t="s">
        <v>10</v>
      </c>
      <c r="E657">
        <v>0.59672999999999998</v>
      </c>
    </row>
    <row r="658" spans="1:5" hidden="1" x14ac:dyDescent="0.3">
      <c r="A658">
        <v>14</v>
      </c>
      <c r="B658">
        <v>170000</v>
      </c>
      <c r="C658" t="s">
        <v>45</v>
      </c>
      <c r="D658" t="s">
        <v>11</v>
      </c>
      <c r="E658">
        <v>34138.81637</v>
      </c>
    </row>
    <row r="659" spans="1:5" hidden="1" x14ac:dyDescent="0.3">
      <c r="A659">
        <v>14</v>
      </c>
      <c r="B659">
        <v>170000</v>
      </c>
      <c r="C659" t="s">
        <v>45</v>
      </c>
      <c r="D659" t="s">
        <v>12</v>
      </c>
      <c r="E659">
        <v>44388.748</v>
      </c>
    </row>
    <row r="660" spans="1:5" hidden="1" x14ac:dyDescent="0.3">
      <c r="A660">
        <v>14</v>
      </c>
      <c r="B660">
        <v>170000</v>
      </c>
      <c r="C660" t="s">
        <v>45</v>
      </c>
      <c r="D660" t="s">
        <v>13</v>
      </c>
      <c r="E660">
        <v>35431.281150000003</v>
      </c>
    </row>
    <row r="661" spans="1:5" hidden="1" x14ac:dyDescent="0.3">
      <c r="A661">
        <v>14</v>
      </c>
      <c r="B661">
        <v>170000</v>
      </c>
      <c r="C661" t="s">
        <v>45</v>
      </c>
      <c r="D661" t="s">
        <v>14</v>
      </c>
      <c r="E661">
        <v>187.992482</v>
      </c>
    </row>
    <row r="662" spans="1:5" hidden="1" x14ac:dyDescent="0.3">
      <c r="A662">
        <v>14</v>
      </c>
      <c r="B662">
        <v>170000</v>
      </c>
      <c r="C662" t="s">
        <v>45</v>
      </c>
      <c r="D662" t="s">
        <v>15</v>
      </c>
      <c r="E662">
        <v>0.20783599999999999</v>
      </c>
    </row>
    <row r="663" spans="1:5" hidden="1" x14ac:dyDescent="0.3">
      <c r="A663">
        <v>14</v>
      </c>
      <c r="B663">
        <v>170000</v>
      </c>
      <c r="C663" t="s">
        <v>45</v>
      </c>
      <c r="D663" t="s">
        <v>16</v>
      </c>
      <c r="E663">
        <v>13.807726000000001</v>
      </c>
    </row>
    <row r="664" spans="1:5" hidden="1" x14ac:dyDescent="0.3">
      <c r="A664">
        <v>14</v>
      </c>
      <c r="B664">
        <v>170000</v>
      </c>
      <c r="C664" t="s">
        <v>45</v>
      </c>
      <c r="D664" t="s">
        <v>17</v>
      </c>
      <c r="E664">
        <v>0.47372399999999998</v>
      </c>
    </row>
    <row r="665" spans="1:5" hidden="1" x14ac:dyDescent="0.3">
      <c r="A665">
        <v>14</v>
      </c>
      <c r="B665">
        <v>170000</v>
      </c>
      <c r="C665" t="s">
        <v>45</v>
      </c>
      <c r="D665" t="s">
        <v>18</v>
      </c>
      <c r="E665">
        <v>88.823181000000005</v>
      </c>
    </row>
    <row r="666" spans="1:5" hidden="1" x14ac:dyDescent="0.3">
      <c r="A666">
        <v>14</v>
      </c>
      <c r="B666">
        <v>170000</v>
      </c>
      <c r="C666" t="s">
        <v>45</v>
      </c>
      <c r="D666" t="s">
        <v>19</v>
      </c>
      <c r="E666">
        <v>8833.3308990000005</v>
      </c>
    </row>
    <row r="667" spans="1:5" hidden="1" x14ac:dyDescent="0.3">
      <c r="A667">
        <v>14</v>
      </c>
      <c r="B667">
        <v>170000</v>
      </c>
      <c r="C667" t="s">
        <v>45</v>
      </c>
      <c r="D667" t="s">
        <v>20</v>
      </c>
      <c r="E667">
        <v>15166.667041000001</v>
      </c>
    </row>
    <row r="668" spans="1:5" hidden="1" x14ac:dyDescent="0.3">
      <c r="A668">
        <v>14</v>
      </c>
      <c r="B668">
        <v>170000</v>
      </c>
      <c r="C668" t="s">
        <v>45</v>
      </c>
      <c r="D668" t="s">
        <v>21</v>
      </c>
      <c r="E668">
        <v>0.12327399999999999</v>
      </c>
    </row>
    <row r="669" spans="1:5" hidden="1" x14ac:dyDescent="0.3">
      <c r="A669">
        <v>14</v>
      </c>
      <c r="B669">
        <v>170000</v>
      </c>
      <c r="C669" t="s">
        <v>45</v>
      </c>
      <c r="D669" t="s">
        <v>22</v>
      </c>
      <c r="E669">
        <v>503.79783200000003</v>
      </c>
    </row>
    <row r="670" spans="1:5" hidden="1" x14ac:dyDescent="0.3">
      <c r="A670">
        <v>14</v>
      </c>
      <c r="B670">
        <v>170000</v>
      </c>
      <c r="C670" t="s">
        <v>45</v>
      </c>
      <c r="D670" t="s">
        <v>23</v>
      </c>
      <c r="E670">
        <v>4444.4459729999999</v>
      </c>
    </row>
    <row r="671" spans="1:5" hidden="1" x14ac:dyDescent="0.3">
      <c r="A671">
        <v>14</v>
      </c>
      <c r="B671">
        <v>170000</v>
      </c>
      <c r="C671" t="s">
        <v>45</v>
      </c>
      <c r="D671" t="s">
        <v>24</v>
      </c>
      <c r="E671">
        <v>0.214147</v>
      </c>
    </row>
    <row r="672" spans="1:5" hidden="1" x14ac:dyDescent="0.3">
      <c r="A672">
        <v>14</v>
      </c>
      <c r="B672">
        <v>170000</v>
      </c>
      <c r="C672" t="s">
        <v>45</v>
      </c>
      <c r="D672" t="s">
        <v>25</v>
      </c>
      <c r="E672">
        <v>2.2944990000000001</v>
      </c>
    </row>
    <row r="673" spans="1:5" hidden="1" x14ac:dyDescent="0.3">
      <c r="A673">
        <v>14</v>
      </c>
      <c r="B673">
        <v>170000</v>
      </c>
      <c r="C673" t="s">
        <v>45</v>
      </c>
      <c r="D673" t="s">
        <v>26</v>
      </c>
      <c r="E673">
        <v>0.157637</v>
      </c>
    </row>
    <row r="674" spans="1:5" x14ac:dyDescent="0.3">
      <c r="A674">
        <v>14</v>
      </c>
      <c r="B674">
        <v>170000</v>
      </c>
      <c r="C674" t="s">
        <v>46</v>
      </c>
      <c r="D674" t="s">
        <v>6</v>
      </c>
      <c r="E674">
        <v>54.980159999999998</v>
      </c>
    </row>
    <row r="675" spans="1:5" hidden="1" x14ac:dyDescent="0.3">
      <c r="A675">
        <v>14</v>
      </c>
      <c r="B675">
        <v>170000</v>
      </c>
      <c r="C675" t="s">
        <v>46</v>
      </c>
      <c r="D675" t="s">
        <v>7</v>
      </c>
      <c r="E675">
        <v>36555.346323999998</v>
      </c>
    </row>
    <row r="676" spans="1:5" hidden="1" x14ac:dyDescent="0.3">
      <c r="A676">
        <v>14</v>
      </c>
      <c r="B676">
        <v>170000</v>
      </c>
      <c r="C676" t="s">
        <v>46</v>
      </c>
      <c r="D676" t="s">
        <v>8</v>
      </c>
      <c r="E676">
        <v>0.75880599999999998</v>
      </c>
    </row>
    <row r="677" spans="1:5" hidden="1" x14ac:dyDescent="0.3">
      <c r="A677">
        <v>14</v>
      </c>
      <c r="B677">
        <v>170000</v>
      </c>
      <c r="C677" t="s">
        <v>46</v>
      </c>
      <c r="D677" t="s">
        <v>9</v>
      </c>
      <c r="E677">
        <v>26582.632828999998</v>
      </c>
    </row>
    <row r="678" spans="1:5" hidden="1" x14ac:dyDescent="0.3">
      <c r="A678">
        <v>14</v>
      </c>
      <c r="B678">
        <v>170000</v>
      </c>
      <c r="C678" t="s">
        <v>46</v>
      </c>
      <c r="D678" t="s">
        <v>10</v>
      </c>
      <c r="E678">
        <v>0.477049</v>
      </c>
    </row>
    <row r="679" spans="1:5" hidden="1" x14ac:dyDescent="0.3">
      <c r="A679">
        <v>14</v>
      </c>
      <c r="B679">
        <v>170000</v>
      </c>
      <c r="C679" t="s">
        <v>46</v>
      </c>
      <c r="D679" t="s">
        <v>11</v>
      </c>
      <c r="E679">
        <v>28361.108151</v>
      </c>
    </row>
    <row r="680" spans="1:5" hidden="1" x14ac:dyDescent="0.3">
      <c r="A680">
        <v>14</v>
      </c>
      <c r="B680">
        <v>170000</v>
      </c>
      <c r="C680" t="s">
        <v>46</v>
      </c>
      <c r="D680" t="s">
        <v>12</v>
      </c>
      <c r="E680">
        <v>12555.552121999999</v>
      </c>
    </row>
    <row r="681" spans="1:5" hidden="1" x14ac:dyDescent="0.3">
      <c r="A681">
        <v>14</v>
      </c>
      <c r="B681">
        <v>170000</v>
      </c>
      <c r="C681" t="s">
        <v>46</v>
      </c>
      <c r="D681" t="s">
        <v>13</v>
      </c>
      <c r="E681">
        <v>14172.544621999999</v>
      </c>
    </row>
    <row r="682" spans="1:5" hidden="1" x14ac:dyDescent="0.3">
      <c r="A682">
        <v>14</v>
      </c>
      <c r="B682">
        <v>170000</v>
      </c>
      <c r="C682" t="s">
        <v>46</v>
      </c>
      <c r="D682" t="s">
        <v>14</v>
      </c>
      <c r="E682">
        <v>6388.8797139999997</v>
      </c>
    </row>
    <row r="683" spans="1:5" hidden="1" x14ac:dyDescent="0.3">
      <c r="A683">
        <v>14</v>
      </c>
      <c r="B683">
        <v>170000</v>
      </c>
      <c r="C683" t="s">
        <v>46</v>
      </c>
      <c r="D683" t="s">
        <v>15</v>
      </c>
      <c r="E683">
        <v>0.154972</v>
      </c>
    </row>
    <row r="684" spans="1:5" hidden="1" x14ac:dyDescent="0.3">
      <c r="A684">
        <v>14</v>
      </c>
      <c r="B684">
        <v>170000</v>
      </c>
      <c r="C684" t="s">
        <v>46</v>
      </c>
      <c r="D684" t="s">
        <v>16</v>
      </c>
      <c r="E684">
        <v>31513.670101</v>
      </c>
    </row>
    <row r="685" spans="1:5" hidden="1" x14ac:dyDescent="0.3">
      <c r="A685">
        <v>14</v>
      </c>
      <c r="B685">
        <v>170000</v>
      </c>
      <c r="C685" t="s">
        <v>46</v>
      </c>
      <c r="D685" t="s">
        <v>17</v>
      </c>
      <c r="E685">
        <v>0.30027399999999999</v>
      </c>
    </row>
    <row r="686" spans="1:5" hidden="1" x14ac:dyDescent="0.3">
      <c r="A686">
        <v>14</v>
      </c>
      <c r="B686">
        <v>170000</v>
      </c>
      <c r="C686" t="s">
        <v>46</v>
      </c>
      <c r="D686" t="s">
        <v>18</v>
      </c>
      <c r="E686">
        <v>44.416646</v>
      </c>
    </row>
    <row r="687" spans="1:5" hidden="1" x14ac:dyDescent="0.3">
      <c r="A687">
        <v>14</v>
      </c>
      <c r="B687">
        <v>170000</v>
      </c>
      <c r="C687" t="s">
        <v>46</v>
      </c>
      <c r="D687" t="s">
        <v>19</v>
      </c>
      <c r="E687">
        <v>4222.2205910000002</v>
      </c>
    </row>
    <row r="688" spans="1:5" hidden="1" x14ac:dyDescent="0.3">
      <c r="A688">
        <v>14</v>
      </c>
      <c r="B688">
        <v>170000</v>
      </c>
      <c r="C688" t="s">
        <v>46</v>
      </c>
      <c r="D688" t="s">
        <v>20</v>
      </c>
      <c r="E688">
        <v>6055.5565470000001</v>
      </c>
    </row>
    <row r="689" spans="1:5" hidden="1" x14ac:dyDescent="0.3">
      <c r="A689">
        <v>14</v>
      </c>
      <c r="B689">
        <v>170000</v>
      </c>
      <c r="C689" t="s">
        <v>46</v>
      </c>
      <c r="D689" t="s">
        <v>21</v>
      </c>
      <c r="E689">
        <v>8.4513000000000005E-2</v>
      </c>
    </row>
    <row r="690" spans="1:5" hidden="1" x14ac:dyDescent="0.3">
      <c r="A690">
        <v>14</v>
      </c>
      <c r="B690">
        <v>170000</v>
      </c>
      <c r="C690" t="s">
        <v>46</v>
      </c>
      <c r="D690" t="s">
        <v>22</v>
      </c>
      <c r="E690">
        <v>268.87246699999997</v>
      </c>
    </row>
    <row r="691" spans="1:5" hidden="1" x14ac:dyDescent="0.3">
      <c r="A691">
        <v>14</v>
      </c>
      <c r="B691">
        <v>170000</v>
      </c>
      <c r="C691" t="s">
        <v>46</v>
      </c>
      <c r="D691" t="s">
        <v>23</v>
      </c>
      <c r="E691">
        <v>1722.223909</v>
      </c>
    </row>
    <row r="692" spans="1:5" hidden="1" x14ac:dyDescent="0.3">
      <c r="A692">
        <v>14</v>
      </c>
      <c r="B692">
        <v>170000</v>
      </c>
      <c r="C692" t="s">
        <v>46</v>
      </c>
      <c r="D692" t="s">
        <v>24</v>
      </c>
      <c r="E692">
        <v>0.160052</v>
      </c>
    </row>
    <row r="693" spans="1:5" hidden="1" x14ac:dyDescent="0.3">
      <c r="A693">
        <v>14</v>
      </c>
      <c r="B693">
        <v>170000</v>
      </c>
      <c r="C693" t="s">
        <v>46</v>
      </c>
      <c r="D693" t="s">
        <v>25</v>
      </c>
      <c r="E693">
        <v>1499.9946649999999</v>
      </c>
    </row>
    <row r="694" spans="1:5" hidden="1" x14ac:dyDescent="0.3">
      <c r="A694">
        <v>14</v>
      </c>
      <c r="B694">
        <v>170000</v>
      </c>
      <c r="C694" t="s">
        <v>46</v>
      </c>
      <c r="D694" t="s">
        <v>26</v>
      </c>
      <c r="E694">
        <v>0.120911</v>
      </c>
    </row>
    <row r="695" spans="1:5" hidden="1" x14ac:dyDescent="0.3">
      <c r="A695">
        <v>14</v>
      </c>
      <c r="B695">
        <v>170000</v>
      </c>
      <c r="C695" t="s">
        <v>47</v>
      </c>
      <c r="D695" t="s">
        <v>6</v>
      </c>
      <c r="E695">
        <v>13.742240000000001</v>
      </c>
    </row>
    <row r="696" spans="1:5" hidden="1" x14ac:dyDescent="0.3">
      <c r="A696">
        <v>14</v>
      </c>
      <c r="B696">
        <v>170000</v>
      </c>
      <c r="C696" t="s">
        <v>47</v>
      </c>
      <c r="D696" t="s">
        <v>7</v>
      </c>
      <c r="E696">
        <v>22194.402494999998</v>
      </c>
    </row>
    <row r="697" spans="1:5" hidden="1" x14ac:dyDescent="0.3">
      <c r="A697">
        <v>14</v>
      </c>
      <c r="B697">
        <v>170000</v>
      </c>
      <c r="C697" t="s">
        <v>47</v>
      </c>
      <c r="D697" t="s">
        <v>8</v>
      </c>
      <c r="E697">
        <v>194.44437199999999</v>
      </c>
    </row>
    <row r="698" spans="1:5" hidden="1" x14ac:dyDescent="0.3">
      <c r="A698">
        <v>14</v>
      </c>
      <c r="B698">
        <v>170000</v>
      </c>
      <c r="C698" t="s">
        <v>47</v>
      </c>
      <c r="D698" t="s">
        <v>9</v>
      </c>
      <c r="E698">
        <v>34138.477499000001</v>
      </c>
    </row>
    <row r="699" spans="1:5" hidden="1" x14ac:dyDescent="0.3">
      <c r="A699">
        <v>14</v>
      </c>
      <c r="B699">
        <v>170000</v>
      </c>
      <c r="C699" t="s">
        <v>47</v>
      </c>
      <c r="D699" t="s">
        <v>10</v>
      </c>
      <c r="E699">
        <v>58128.045615000003</v>
      </c>
    </row>
    <row r="700" spans="1:5" hidden="1" x14ac:dyDescent="0.3">
      <c r="A700">
        <v>14</v>
      </c>
      <c r="B700">
        <v>170000</v>
      </c>
      <c r="C700" t="s">
        <v>47</v>
      </c>
      <c r="D700" t="s">
        <v>11</v>
      </c>
      <c r="E700">
        <v>24709.965843999998</v>
      </c>
    </row>
    <row r="701" spans="1:5" hidden="1" x14ac:dyDescent="0.3">
      <c r="A701">
        <v>14</v>
      </c>
      <c r="B701">
        <v>170000</v>
      </c>
      <c r="C701" t="s">
        <v>47</v>
      </c>
      <c r="D701" t="s">
        <v>12</v>
      </c>
      <c r="E701">
        <v>3166.6674290000001</v>
      </c>
    </row>
    <row r="702" spans="1:5" hidden="1" x14ac:dyDescent="0.3">
      <c r="A702">
        <v>14</v>
      </c>
      <c r="B702">
        <v>170000</v>
      </c>
      <c r="C702" t="s">
        <v>47</v>
      </c>
      <c r="D702" t="s">
        <v>13</v>
      </c>
      <c r="E702">
        <v>3543.1400189999999</v>
      </c>
    </row>
    <row r="703" spans="1:5" hidden="1" x14ac:dyDescent="0.3">
      <c r="A703">
        <v>14</v>
      </c>
      <c r="B703">
        <v>170000</v>
      </c>
      <c r="C703" t="s">
        <v>47</v>
      </c>
      <c r="D703" t="s">
        <v>14</v>
      </c>
      <c r="E703">
        <v>1916.666786</v>
      </c>
    </row>
    <row r="704" spans="1:5" hidden="1" x14ac:dyDescent="0.3">
      <c r="A704">
        <v>14</v>
      </c>
      <c r="B704">
        <v>170000</v>
      </c>
      <c r="C704" t="s">
        <v>47</v>
      </c>
      <c r="D704" t="s">
        <v>15</v>
      </c>
      <c r="E704">
        <v>8.9179999999999995E-2</v>
      </c>
    </row>
    <row r="705" spans="1:5" hidden="1" x14ac:dyDescent="0.3">
      <c r="A705">
        <v>14</v>
      </c>
      <c r="B705">
        <v>170000</v>
      </c>
      <c r="C705" t="s">
        <v>47</v>
      </c>
      <c r="D705" t="s">
        <v>16</v>
      </c>
      <c r="E705">
        <v>18383.220947000002</v>
      </c>
    </row>
    <row r="706" spans="1:5" hidden="1" x14ac:dyDescent="0.3">
      <c r="A706">
        <v>14</v>
      </c>
      <c r="B706">
        <v>170000</v>
      </c>
      <c r="C706" t="s">
        <v>47</v>
      </c>
      <c r="D706" t="s">
        <v>17</v>
      </c>
      <c r="E706">
        <v>1.2026889999999999</v>
      </c>
    </row>
    <row r="707" spans="1:5" hidden="1" x14ac:dyDescent="0.3">
      <c r="A707">
        <v>14</v>
      </c>
      <c r="B707">
        <v>170000</v>
      </c>
      <c r="C707" t="s">
        <v>47</v>
      </c>
      <c r="D707" t="s">
        <v>18</v>
      </c>
      <c r="E707">
        <v>8.8899139999999992</v>
      </c>
    </row>
    <row r="708" spans="1:5" hidden="1" x14ac:dyDescent="0.3">
      <c r="A708">
        <v>14</v>
      </c>
      <c r="B708">
        <v>170000</v>
      </c>
      <c r="C708" t="s">
        <v>47</v>
      </c>
      <c r="D708" t="s">
        <v>19</v>
      </c>
      <c r="E708">
        <v>1277.778384</v>
      </c>
    </row>
    <row r="709" spans="1:5" hidden="1" x14ac:dyDescent="0.3">
      <c r="A709">
        <v>14</v>
      </c>
      <c r="B709">
        <v>170000</v>
      </c>
      <c r="C709" t="s">
        <v>47</v>
      </c>
      <c r="D709" t="s">
        <v>20</v>
      </c>
      <c r="E709">
        <v>1472.2234309999999</v>
      </c>
    </row>
    <row r="710" spans="1:5" hidden="1" x14ac:dyDescent="0.3">
      <c r="A710">
        <v>14</v>
      </c>
      <c r="B710">
        <v>170000</v>
      </c>
      <c r="C710" t="s">
        <v>47</v>
      </c>
      <c r="D710" t="s">
        <v>21</v>
      </c>
      <c r="E710">
        <v>7.4186000000000002E-2</v>
      </c>
    </row>
    <row r="711" spans="1:5" hidden="1" x14ac:dyDescent="0.3">
      <c r="A711">
        <v>14</v>
      </c>
      <c r="B711">
        <v>170000</v>
      </c>
      <c r="C711" t="s">
        <v>47</v>
      </c>
      <c r="D711" t="s">
        <v>22</v>
      </c>
      <c r="E711">
        <v>100.828073</v>
      </c>
    </row>
    <row r="712" spans="1:5" hidden="1" x14ac:dyDescent="0.3">
      <c r="A712">
        <v>14</v>
      </c>
      <c r="B712">
        <v>170000</v>
      </c>
      <c r="C712" t="s">
        <v>47</v>
      </c>
      <c r="D712" t="s">
        <v>23</v>
      </c>
      <c r="E712">
        <v>388.89024599999999</v>
      </c>
    </row>
    <row r="713" spans="1:5" hidden="1" x14ac:dyDescent="0.3">
      <c r="A713">
        <v>14</v>
      </c>
      <c r="B713">
        <v>170000</v>
      </c>
      <c r="C713" t="s">
        <v>47</v>
      </c>
      <c r="D713" t="s">
        <v>24</v>
      </c>
      <c r="E713">
        <v>9.2589000000000005E-2</v>
      </c>
    </row>
    <row r="714" spans="1:5" hidden="1" x14ac:dyDescent="0.3">
      <c r="A714">
        <v>14</v>
      </c>
      <c r="B714">
        <v>170000</v>
      </c>
      <c r="C714" t="s">
        <v>47</v>
      </c>
      <c r="D714" t="s">
        <v>25</v>
      </c>
      <c r="E714">
        <v>361.11191700000001</v>
      </c>
    </row>
    <row r="715" spans="1:5" hidden="1" x14ac:dyDescent="0.3">
      <c r="A715">
        <v>14</v>
      </c>
      <c r="B715">
        <v>170000</v>
      </c>
      <c r="C715" t="s">
        <v>47</v>
      </c>
      <c r="D715" t="s">
        <v>26</v>
      </c>
      <c r="E715">
        <v>8.3484000000000003E-2</v>
      </c>
    </row>
    <row r="716" spans="1:5" hidden="1" x14ac:dyDescent="0.3">
      <c r="A716">
        <v>15</v>
      </c>
      <c r="B716">
        <v>175000</v>
      </c>
      <c r="C716" t="s">
        <v>45</v>
      </c>
      <c r="D716" t="s">
        <v>6</v>
      </c>
      <c r="E716">
        <v>0.33305800000000002</v>
      </c>
    </row>
    <row r="717" spans="1:5" hidden="1" x14ac:dyDescent="0.3">
      <c r="A717">
        <v>15</v>
      </c>
      <c r="B717">
        <v>175000</v>
      </c>
      <c r="C717" t="s">
        <v>45</v>
      </c>
      <c r="D717" t="s">
        <v>7</v>
      </c>
      <c r="E717">
        <v>31917.878623000001</v>
      </c>
    </row>
    <row r="718" spans="1:5" hidden="1" x14ac:dyDescent="0.3">
      <c r="A718">
        <v>15</v>
      </c>
      <c r="B718">
        <v>175000</v>
      </c>
      <c r="C718" t="s">
        <v>45</v>
      </c>
      <c r="D718" t="s">
        <v>8</v>
      </c>
      <c r="E718">
        <v>0.45966699999999999</v>
      </c>
    </row>
    <row r="719" spans="1:5" hidden="1" x14ac:dyDescent="0.3">
      <c r="A719">
        <v>15</v>
      </c>
      <c r="B719">
        <v>175000</v>
      </c>
      <c r="C719" t="s">
        <v>45</v>
      </c>
      <c r="D719" t="s">
        <v>9</v>
      </c>
      <c r="E719">
        <v>2.5022340000000001</v>
      </c>
    </row>
    <row r="720" spans="1:5" hidden="1" x14ac:dyDescent="0.3">
      <c r="A720">
        <v>15</v>
      </c>
      <c r="B720">
        <v>175000</v>
      </c>
      <c r="C720" t="s">
        <v>45</v>
      </c>
      <c r="D720" t="s">
        <v>10</v>
      </c>
      <c r="E720">
        <v>0.32625300000000002</v>
      </c>
    </row>
    <row r="721" spans="1:5" hidden="1" x14ac:dyDescent="0.3">
      <c r="A721">
        <v>15</v>
      </c>
      <c r="B721">
        <v>175000</v>
      </c>
      <c r="C721" t="s">
        <v>45</v>
      </c>
      <c r="D721" t="s">
        <v>11</v>
      </c>
      <c r="E721">
        <v>34138.745655999999</v>
      </c>
    </row>
    <row r="722" spans="1:5" hidden="1" x14ac:dyDescent="0.3">
      <c r="A722">
        <v>15</v>
      </c>
      <c r="B722">
        <v>175000</v>
      </c>
      <c r="C722" t="s">
        <v>45</v>
      </c>
      <c r="D722" t="s">
        <v>12</v>
      </c>
      <c r="E722">
        <v>44388.643527</v>
      </c>
    </row>
    <row r="723" spans="1:5" hidden="1" x14ac:dyDescent="0.3">
      <c r="A723">
        <v>15</v>
      </c>
      <c r="B723">
        <v>175000</v>
      </c>
      <c r="C723" t="s">
        <v>45</v>
      </c>
      <c r="D723" t="s">
        <v>13</v>
      </c>
      <c r="E723">
        <v>35431.284709</v>
      </c>
    </row>
    <row r="724" spans="1:5" hidden="1" x14ac:dyDescent="0.3">
      <c r="A724">
        <v>15</v>
      </c>
      <c r="B724">
        <v>175000</v>
      </c>
      <c r="C724" t="s">
        <v>45</v>
      </c>
      <c r="D724" t="s">
        <v>14</v>
      </c>
      <c r="E724">
        <v>74.028182999999999</v>
      </c>
    </row>
    <row r="725" spans="1:5" hidden="1" x14ac:dyDescent="0.3">
      <c r="A725">
        <v>15</v>
      </c>
      <c r="B725">
        <v>175000</v>
      </c>
      <c r="C725" t="s">
        <v>45</v>
      </c>
      <c r="D725" t="s">
        <v>15</v>
      </c>
      <c r="E725">
        <v>0.116442</v>
      </c>
    </row>
    <row r="726" spans="1:5" hidden="1" x14ac:dyDescent="0.3">
      <c r="A726">
        <v>15</v>
      </c>
      <c r="B726">
        <v>175000</v>
      </c>
      <c r="C726" t="s">
        <v>45</v>
      </c>
      <c r="D726" t="s">
        <v>16</v>
      </c>
      <c r="E726">
        <v>6.4542039999999998</v>
      </c>
    </row>
    <row r="727" spans="1:5" hidden="1" x14ac:dyDescent="0.3">
      <c r="A727">
        <v>15</v>
      </c>
      <c r="B727">
        <v>175000</v>
      </c>
      <c r="C727" t="s">
        <v>45</v>
      </c>
      <c r="D727" t="s">
        <v>17</v>
      </c>
      <c r="E727">
        <v>0.211503</v>
      </c>
    </row>
    <row r="728" spans="1:5" hidden="1" x14ac:dyDescent="0.3">
      <c r="A728">
        <v>15</v>
      </c>
      <c r="B728">
        <v>175000</v>
      </c>
      <c r="C728" t="s">
        <v>45</v>
      </c>
      <c r="D728" t="s">
        <v>18</v>
      </c>
      <c r="E728">
        <v>88.828643</v>
      </c>
    </row>
    <row r="729" spans="1:5" hidden="1" x14ac:dyDescent="0.3">
      <c r="A729">
        <v>15</v>
      </c>
      <c r="B729">
        <v>175000</v>
      </c>
      <c r="C729" t="s">
        <v>45</v>
      </c>
      <c r="D729" t="s">
        <v>19</v>
      </c>
      <c r="E729">
        <v>8833.3301780000002</v>
      </c>
    </row>
    <row r="730" spans="1:5" hidden="1" x14ac:dyDescent="0.3">
      <c r="A730">
        <v>15</v>
      </c>
      <c r="B730">
        <v>175000</v>
      </c>
      <c r="C730" t="s">
        <v>45</v>
      </c>
      <c r="D730" t="s">
        <v>20</v>
      </c>
      <c r="E730">
        <v>15166.666902999999</v>
      </c>
    </row>
    <row r="731" spans="1:5" hidden="1" x14ac:dyDescent="0.3">
      <c r="A731">
        <v>15</v>
      </c>
      <c r="B731">
        <v>175000</v>
      </c>
      <c r="C731" t="s">
        <v>45</v>
      </c>
      <c r="D731" t="s">
        <v>21</v>
      </c>
      <c r="E731">
        <v>6.8506999999999998E-2</v>
      </c>
    </row>
    <row r="732" spans="1:5" hidden="1" x14ac:dyDescent="0.3">
      <c r="A732">
        <v>15</v>
      </c>
      <c r="B732">
        <v>175000</v>
      </c>
      <c r="C732" t="s">
        <v>45</v>
      </c>
      <c r="D732" t="s">
        <v>22</v>
      </c>
      <c r="E732">
        <v>504.12432000000001</v>
      </c>
    </row>
    <row r="733" spans="1:5" hidden="1" x14ac:dyDescent="0.3">
      <c r="A733">
        <v>15</v>
      </c>
      <c r="B733">
        <v>175000</v>
      </c>
      <c r="C733" t="s">
        <v>45</v>
      </c>
      <c r="D733" t="s">
        <v>23</v>
      </c>
      <c r="E733">
        <v>4444.4453020000001</v>
      </c>
    </row>
    <row r="734" spans="1:5" hidden="1" x14ac:dyDescent="0.3">
      <c r="A734">
        <v>15</v>
      </c>
      <c r="B734">
        <v>175000</v>
      </c>
      <c r="C734" t="s">
        <v>45</v>
      </c>
      <c r="D734" t="s">
        <v>24</v>
      </c>
      <c r="E734">
        <v>0.119949</v>
      </c>
    </row>
    <row r="735" spans="1:5" hidden="1" x14ac:dyDescent="0.3">
      <c r="A735">
        <v>15</v>
      </c>
      <c r="B735">
        <v>175000</v>
      </c>
      <c r="C735" t="s">
        <v>45</v>
      </c>
      <c r="D735" t="s">
        <v>25</v>
      </c>
      <c r="E735">
        <v>1.3793010000000001</v>
      </c>
    </row>
    <row r="736" spans="1:5" hidden="1" x14ac:dyDescent="0.3">
      <c r="A736">
        <v>15</v>
      </c>
      <c r="B736">
        <v>175000</v>
      </c>
      <c r="C736" t="s">
        <v>45</v>
      </c>
      <c r="D736" t="s">
        <v>26</v>
      </c>
      <c r="E736">
        <v>8.8022000000000003E-2</v>
      </c>
    </row>
    <row r="737" spans="1:5" x14ac:dyDescent="0.3">
      <c r="A737">
        <v>15</v>
      </c>
      <c r="B737">
        <v>175000</v>
      </c>
      <c r="C737" t="s">
        <v>46</v>
      </c>
      <c r="D737" t="s">
        <v>6</v>
      </c>
      <c r="E737">
        <v>54.980150000000002</v>
      </c>
    </row>
    <row r="738" spans="1:5" hidden="1" x14ac:dyDescent="0.3">
      <c r="A738">
        <v>15</v>
      </c>
      <c r="B738">
        <v>175000</v>
      </c>
      <c r="C738" t="s">
        <v>46</v>
      </c>
      <c r="D738" t="s">
        <v>7</v>
      </c>
      <c r="E738">
        <v>36553.163186999998</v>
      </c>
    </row>
    <row r="739" spans="1:5" hidden="1" x14ac:dyDescent="0.3">
      <c r="A739">
        <v>15</v>
      </c>
      <c r="B739">
        <v>175000</v>
      </c>
      <c r="C739" t="s">
        <v>46</v>
      </c>
      <c r="D739" t="s">
        <v>8</v>
      </c>
      <c r="E739">
        <v>1.023738</v>
      </c>
    </row>
    <row r="740" spans="1:5" hidden="1" x14ac:dyDescent="0.3">
      <c r="A740">
        <v>15</v>
      </c>
      <c r="B740">
        <v>175000</v>
      </c>
      <c r="C740" t="s">
        <v>46</v>
      </c>
      <c r="D740" t="s">
        <v>9</v>
      </c>
      <c r="E740">
        <v>31587.272540000002</v>
      </c>
    </row>
    <row r="741" spans="1:5" hidden="1" x14ac:dyDescent="0.3">
      <c r="A741">
        <v>15</v>
      </c>
      <c r="B741">
        <v>175000</v>
      </c>
      <c r="C741" t="s">
        <v>46</v>
      </c>
      <c r="D741" t="s">
        <v>10</v>
      </c>
      <c r="E741">
        <v>0.494919</v>
      </c>
    </row>
    <row r="742" spans="1:5" hidden="1" x14ac:dyDescent="0.3">
      <c r="A742">
        <v>15</v>
      </c>
      <c r="B742">
        <v>175000</v>
      </c>
      <c r="C742" t="s">
        <v>46</v>
      </c>
      <c r="D742" t="s">
        <v>11</v>
      </c>
      <c r="E742">
        <v>28361.103533000001</v>
      </c>
    </row>
    <row r="743" spans="1:5" hidden="1" x14ac:dyDescent="0.3">
      <c r="A743">
        <v>15</v>
      </c>
      <c r="B743">
        <v>175000</v>
      </c>
      <c r="C743" t="s">
        <v>46</v>
      </c>
      <c r="D743" t="s">
        <v>12</v>
      </c>
      <c r="E743">
        <v>12555.552776</v>
      </c>
    </row>
    <row r="744" spans="1:5" hidden="1" x14ac:dyDescent="0.3">
      <c r="A744">
        <v>15</v>
      </c>
      <c r="B744">
        <v>175000</v>
      </c>
      <c r="C744" t="s">
        <v>46</v>
      </c>
      <c r="D744" t="s">
        <v>13</v>
      </c>
      <c r="E744">
        <v>14172.54571</v>
      </c>
    </row>
    <row r="745" spans="1:5" hidden="1" x14ac:dyDescent="0.3">
      <c r="A745">
        <v>15</v>
      </c>
      <c r="B745">
        <v>175000</v>
      </c>
      <c r="C745" t="s">
        <v>46</v>
      </c>
      <c r="D745" t="s">
        <v>14</v>
      </c>
      <c r="E745">
        <v>6388.8804239999999</v>
      </c>
    </row>
    <row r="746" spans="1:5" hidden="1" x14ac:dyDescent="0.3">
      <c r="A746">
        <v>15</v>
      </c>
      <c r="B746">
        <v>175000</v>
      </c>
      <c r="C746" t="s">
        <v>46</v>
      </c>
      <c r="D746" t="s">
        <v>15</v>
      </c>
      <c r="E746">
        <v>0.15787699999999999</v>
      </c>
    </row>
    <row r="747" spans="1:5" hidden="1" x14ac:dyDescent="0.3">
      <c r="A747">
        <v>15</v>
      </c>
      <c r="B747">
        <v>175000</v>
      </c>
      <c r="C747" t="s">
        <v>46</v>
      </c>
      <c r="D747" t="s">
        <v>16</v>
      </c>
      <c r="E747">
        <v>31510.867710999999</v>
      </c>
    </row>
    <row r="748" spans="1:5" hidden="1" x14ac:dyDescent="0.3">
      <c r="A748">
        <v>15</v>
      </c>
      <c r="B748">
        <v>175000</v>
      </c>
      <c r="C748" t="s">
        <v>46</v>
      </c>
      <c r="D748" t="s">
        <v>17</v>
      </c>
      <c r="E748">
        <v>0.351134</v>
      </c>
    </row>
    <row r="749" spans="1:5" hidden="1" x14ac:dyDescent="0.3">
      <c r="A749">
        <v>15</v>
      </c>
      <c r="B749">
        <v>175000</v>
      </c>
      <c r="C749" t="s">
        <v>46</v>
      </c>
      <c r="D749" t="s">
        <v>18</v>
      </c>
      <c r="E749">
        <v>44.417278000000003</v>
      </c>
    </row>
    <row r="750" spans="1:5" hidden="1" x14ac:dyDescent="0.3">
      <c r="A750">
        <v>15</v>
      </c>
      <c r="B750">
        <v>175000</v>
      </c>
      <c r="C750" t="s">
        <v>46</v>
      </c>
      <c r="D750" t="s">
        <v>19</v>
      </c>
      <c r="E750">
        <v>4222.2219109999996</v>
      </c>
    </row>
    <row r="751" spans="1:5" hidden="1" x14ac:dyDescent="0.3">
      <c r="A751">
        <v>15</v>
      </c>
      <c r="B751">
        <v>175000</v>
      </c>
      <c r="C751" t="s">
        <v>46</v>
      </c>
      <c r="D751" t="s">
        <v>20</v>
      </c>
      <c r="E751">
        <v>6055.557828</v>
      </c>
    </row>
    <row r="752" spans="1:5" hidden="1" x14ac:dyDescent="0.3">
      <c r="A752">
        <v>15</v>
      </c>
      <c r="B752">
        <v>175000</v>
      </c>
      <c r="C752" t="s">
        <v>46</v>
      </c>
      <c r="D752" t="s">
        <v>21</v>
      </c>
      <c r="E752">
        <v>0.111316</v>
      </c>
    </row>
    <row r="753" spans="1:5" hidden="1" x14ac:dyDescent="0.3">
      <c r="A753">
        <v>15</v>
      </c>
      <c r="B753">
        <v>175000</v>
      </c>
      <c r="C753" t="s">
        <v>46</v>
      </c>
      <c r="D753" t="s">
        <v>22</v>
      </c>
      <c r="E753">
        <v>268.873153</v>
      </c>
    </row>
    <row r="754" spans="1:5" hidden="1" x14ac:dyDescent="0.3">
      <c r="A754">
        <v>15</v>
      </c>
      <c r="B754">
        <v>175000</v>
      </c>
      <c r="C754" t="s">
        <v>46</v>
      </c>
      <c r="D754" t="s">
        <v>23</v>
      </c>
      <c r="E754">
        <v>1722.2251229999999</v>
      </c>
    </row>
    <row r="755" spans="1:5" hidden="1" x14ac:dyDescent="0.3">
      <c r="A755">
        <v>15</v>
      </c>
      <c r="B755">
        <v>175000</v>
      </c>
      <c r="C755" t="s">
        <v>46</v>
      </c>
      <c r="D755" t="s">
        <v>24</v>
      </c>
      <c r="E755">
        <v>0.162971</v>
      </c>
    </row>
    <row r="756" spans="1:5" hidden="1" x14ac:dyDescent="0.3">
      <c r="A756">
        <v>15</v>
      </c>
      <c r="B756">
        <v>175000</v>
      </c>
      <c r="C756" t="s">
        <v>46</v>
      </c>
      <c r="D756" t="s">
        <v>25</v>
      </c>
      <c r="E756">
        <v>1499.9949710000001</v>
      </c>
    </row>
    <row r="757" spans="1:5" hidden="1" x14ac:dyDescent="0.3">
      <c r="A757">
        <v>15</v>
      </c>
      <c r="B757">
        <v>175000</v>
      </c>
      <c r="C757" t="s">
        <v>46</v>
      </c>
      <c r="D757" t="s">
        <v>26</v>
      </c>
      <c r="E757">
        <v>0.121998</v>
      </c>
    </row>
    <row r="758" spans="1:5" hidden="1" x14ac:dyDescent="0.3">
      <c r="A758">
        <v>15</v>
      </c>
      <c r="B758">
        <v>175000</v>
      </c>
      <c r="C758" t="s">
        <v>47</v>
      </c>
      <c r="D758" t="s">
        <v>6</v>
      </c>
      <c r="E758">
        <v>13.742205999999999</v>
      </c>
    </row>
    <row r="759" spans="1:5" hidden="1" x14ac:dyDescent="0.3">
      <c r="A759">
        <v>15</v>
      </c>
      <c r="B759">
        <v>175000</v>
      </c>
      <c r="C759" t="s">
        <v>47</v>
      </c>
      <c r="D759" t="s">
        <v>7</v>
      </c>
      <c r="E759">
        <v>22194.444154000001</v>
      </c>
    </row>
    <row r="760" spans="1:5" hidden="1" x14ac:dyDescent="0.3">
      <c r="A760">
        <v>15</v>
      </c>
      <c r="B760">
        <v>175000</v>
      </c>
      <c r="C760" t="s">
        <v>47</v>
      </c>
      <c r="D760" t="s">
        <v>8</v>
      </c>
      <c r="E760">
        <v>194.44473199999999</v>
      </c>
    </row>
    <row r="761" spans="1:5" hidden="1" x14ac:dyDescent="0.3">
      <c r="A761">
        <v>15</v>
      </c>
      <c r="B761">
        <v>175000</v>
      </c>
      <c r="C761" t="s">
        <v>47</v>
      </c>
      <c r="D761" t="s">
        <v>9</v>
      </c>
      <c r="E761">
        <v>34138.483468999999</v>
      </c>
    </row>
    <row r="762" spans="1:5" hidden="1" x14ac:dyDescent="0.3">
      <c r="A762">
        <v>15</v>
      </c>
      <c r="B762">
        <v>175000</v>
      </c>
      <c r="C762" t="s">
        <v>47</v>
      </c>
      <c r="D762" t="s">
        <v>10</v>
      </c>
      <c r="E762">
        <v>63125.386509999997</v>
      </c>
    </row>
    <row r="763" spans="1:5" hidden="1" x14ac:dyDescent="0.3">
      <c r="A763">
        <v>15</v>
      </c>
      <c r="B763">
        <v>175000</v>
      </c>
      <c r="C763" t="s">
        <v>47</v>
      </c>
      <c r="D763" t="s">
        <v>11</v>
      </c>
      <c r="E763">
        <v>24709.967215000001</v>
      </c>
    </row>
    <row r="764" spans="1:5" hidden="1" x14ac:dyDescent="0.3">
      <c r="A764">
        <v>15</v>
      </c>
      <c r="B764">
        <v>175000</v>
      </c>
      <c r="C764" t="s">
        <v>47</v>
      </c>
      <c r="D764" t="s">
        <v>12</v>
      </c>
      <c r="E764">
        <v>3166.6673030000002</v>
      </c>
    </row>
    <row r="765" spans="1:5" hidden="1" x14ac:dyDescent="0.3">
      <c r="A765">
        <v>15</v>
      </c>
      <c r="B765">
        <v>175000</v>
      </c>
      <c r="C765" t="s">
        <v>47</v>
      </c>
      <c r="D765" t="s">
        <v>13</v>
      </c>
      <c r="E765">
        <v>3543.1397539999998</v>
      </c>
    </row>
    <row r="766" spans="1:5" hidden="1" x14ac:dyDescent="0.3">
      <c r="A766">
        <v>15</v>
      </c>
      <c r="B766">
        <v>175000</v>
      </c>
      <c r="C766" t="s">
        <v>47</v>
      </c>
      <c r="D766" t="s">
        <v>14</v>
      </c>
      <c r="E766">
        <v>1916.666995</v>
      </c>
    </row>
    <row r="767" spans="1:5" hidden="1" x14ac:dyDescent="0.3">
      <c r="A767">
        <v>15</v>
      </c>
      <c r="B767">
        <v>175000</v>
      </c>
      <c r="C767" t="s">
        <v>47</v>
      </c>
      <c r="D767" t="s">
        <v>15</v>
      </c>
      <c r="E767">
        <v>6.2484999999999999E-2</v>
      </c>
    </row>
    <row r="768" spans="1:5" hidden="1" x14ac:dyDescent="0.3">
      <c r="A768">
        <v>15</v>
      </c>
      <c r="B768">
        <v>175000</v>
      </c>
      <c r="C768" t="s">
        <v>47</v>
      </c>
      <c r="D768" t="s">
        <v>16</v>
      </c>
      <c r="E768">
        <v>18386.113292000002</v>
      </c>
    </row>
    <row r="769" spans="1:5" hidden="1" x14ac:dyDescent="0.3">
      <c r="A769">
        <v>15</v>
      </c>
      <c r="B769">
        <v>175000</v>
      </c>
      <c r="C769" t="s">
        <v>47</v>
      </c>
      <c r="D769" t="s">
        <v>17</v>
      </c>
      <c r="E769">
        <v>1.059231</v>
      </c>
    </row>
    <row r="770" spans="1:5" hidden="1" x14ac:dyDescent="0.3">
      <c r="A770">
        <v>15</v>
      </c>
      <c r="B770">
        <v>175000</v>
      </c>
      <c r="C770" t="s">
        <v>47</v>
      </c>
      <c r="D770" t="s">
        <v>18</v>
      </c>
      <c r="E770">
        <v>8.8897080000000006</v>
      </c>
    </row>
    <row r="771" spans="1:5" hidden="1" x14ac:dyDescent="0.3">
      <c r="A771">
        <v>15</v>
      </c>
      <c r="B771">
        <v>175000</v>
      </c>
      <c r="C771" t="s">
        <v>47</v>
      </c>
      <c r="D771" t="s">
        <v>19</v>
      </c>
      <c r="E771">
        <v>1277.7783939999999</v>
      </c>
    </row>
    <row r="772" spans="1:5" hidden="1" x14ac:dyDescent="0.3">
      <c r="A772">
        <v>15</v>
      </c>
      <c r="B772">
        <v>175000</v>
      </c>
      <c r="C772" t="s">
        <v>47</v>
      </c>
      <c r="D772" t="s">
        <v>20</v>
      </c>
      <c r="E772">
        <v>1472.2231469999999</v>
      </c>
    </row>
    <row r="773" spans="1:5" hidden="1" x14ac:dyDescent="0.3">
      <c r="A773">
        <v>15</v>
      </c>
      <c r="B773">
        <v>175000</v>
      </c>
      <c r="C773" t="s">
        <v>47</v>
      </c>
      <c r="D773" t="s">
        <v>21</v>
      </c>
      <c r="E773">
        <v>7.8829999999999994E-3</v>
      </c>
    </row>
    <row r="774" spans="1:5" hidden="1" x14ac:dyDescent="0.3">
      <c r="A774">
        <v>15</v>
      </c>
      <c r="B774">
        <v>175000</v>
      </c>
      <c r="C774" t="s">
        <v>47</v>
      </c>
      <c r="D774" t="s">
        <v>22</v>
      </c>
      <c r="E774">
        <v>100.828333</v>
      </c>
    </row>
    <row r="775" spans="1:5" hidden="1" x14ac:dyDescent="0.3">
      <c r="A775">
        <v>15</v>
      </c>
      <c r="B775">
        <v>175000</v>
      </c>
      <c r="C775" t="s">
        <v>47</v>
      </c>
      <c r="D775" t="s">
        <v>23</v>
      </c>
      <c r="E775">
        <v>388.889928</v>
      </c>
    </row>
    <row r="776" spans="1:5" hidden="1" x14ac:dyDescent="0.3">
      <c r="A776">
        <v>15</v>
      </c>
      <c r="B776">
        <v>175000</v>
      </c>
      <c r="C776" t="s">
        <v>47</v>
      </c>
      <c r="D776" t="s">
        <v>24</v>
      </c>
      <c r="E776">
        <v>6.4991999999999994E-2</v>
      </c>
    </row>
    <row r="777" spans="1:5" hidden="1" x14ac:dyDescent="0.3">
      <c r="A777">
        <v>15</v>
      </c>
      <c r="B777">
        <v>175000</v>
      </c>
      <c r="C777" t="s">
        <v>47</v>
      </c>
      <c r="D777" t="s">
        <v>25</v>
      </c>
      <c r="E777">
        <v>361.11184600000001</v>
      </c>
    </row>
    <row r="778" spans="1:5" hidden="1" x14ac:dyDescent="0.3">
      <c r="A778">
        <v>15</v>
      </c>
      <c r="B778">
        <v>175000</v>
      </c>
      <c r="C778" t="s">
        <v>47</v>
      </c>
      <c r="D778" t="s">
        <v>26</v>
      </c>
      <c r="E778">
        <v>5.5502000000000003E-2</v>
      </c>
    </row>
    <row r="779" spans="1:5" hidden="1" x14ac:dyDescent="0.3">
      <c r="A779">
        <v>16</v>
      </c>
      <c r="B779">
        <v>180000</v>
      </c>
      <c r="C779" t="s">
        <v>45</v>
      </c>
      <c r="D779" t="s">
        <v>6</v>
      </c>
      <c r="E779">
        <v>0.21181900000000001</v>
      </c>
    </row>
    <row r="780" spans="1:5" hidden="1" x14ac:dyDescent="0.3">
      <c r="A780">
        <v>16</v>
      </c>
      <c r="B780">
        <v>180000</v>
      </c>
      <c r="C780" t="s">
        <v>45</v>
      </c>
      <c r="D780" t="s">
        <v>7</v>
      </c>
      <c r="E780">
        <v>36926.258476000003</v>
      </c>
    </row>
    <row r="781" spans="1:5" hidden="1" x14ac:dyDescent="0.3">
      <c r="A781">
        <v>16</v>
      </c>
      <c r="B781">
        <v>180000</v>
      </c>
      <c r="C781" t="s">
        <v>45</v>
      </c>
      <c r="D781" t="s">
        <v>8</v>
      </c>
      <c r="E781">
        <v>0.29976000000000003</v>
      </c>
    </row>
    <row r="782" spans="1:5" hidden="1" x14ac:dyDescent="0.3">
      <c r="A782">
        <v>16</v>
      </c>
      <c r="B782">
        <v>180000</v>
      </c>
      <c r="C782" t="s">
        <v>45</v>
      </c>
      <c r="D782" t="s">
        <v>9</v>
      </c>
      <c r="E782">
        <v>2.273768</v>
      </c>
    </row>
    <row r="783" spans="1:5" hidden="1" x14ac:dyDescent="0.3">
      <c r="A783">
        <v>16</v>
      </c>
      <c r="B783">
        <v>180000</v>
      </c>
      <c r="C783" t="s">
        <v>45</v>
      </c>
      <c r="D783" t="s">
        <v>10</v>
      </c>
      <c r="E783">
        <v>0.31240600000000002</v>
      </c>
    </row>
    <row r="784" spans="1:5" hidden="1" x14ac:dyDescent="0.3">
      <c r="A784">
        <v>16</v>
      </c>
      <c r="B784">
        <v>180000</v>
      </c>
      <c r="C784" t="s">
        <v>45</v>
      </c>
      <c r="D784" t="s">
        <v>11</v>
      </c>
      <c r="E784">
        <v>34138.729805000003</v>
      </c>
    </row>
    <row r="785" spans="1:5" hidden="1" x14ac:dyDescent="0.3">
      <c r="A785">
        <v>16</v>
      </c>
      <c r="B785">
        <v>180000</v>
      </c>
      <c r="C785" t="s">
        <v>45</v>
      </c>
      <c r="D785" t="s">
        <v>12</v>
      </c>
      <c r="E785">
        <v>44388.580995999997</v>
      </c>
    </row>
    <row r="786" spans="1:5" hidden="1" x14ac:dyDescent="0.3">
      <c r="A786">
        <v>16</v>
      </c>
      <c r="B786">
        <v>180000</v>
      </c>
      <c r="C786" t="s">
        <v>45</v>
      </c>
      <c r="D786" t="s">
        <v>13</v>
      </c>
      <c r="E786">
        <v>35431.324146999999</v>
      </c>
    </row>
    <row r="787" spans="1:5" hidden="1" x14ac:dyDescent="0.3">
      <c r="A787">
        <v>16</v>
      </c>
      <c r="B787">
        <v>180000</v>
      </c>
      <c r="C787" t="s">
        <v>45</v>
      </c>
      <c r="D787" t="s">
        <v>14</v>
      </c>
      <c r="E787">
        <v>67.915595999999994</v>
      </c>
    </row>
    <row r="788" spans="1:5" hidden="1" x14ac:dyDescent="0.3">
      <c r="A788">
        <v>16</v>
      </c>
      <c r="B788">
        <v>180000</v>
      </c>
      <c r="C788" t="s">
        <v>45</v>
      </c>
      <c r="D788" t="s">
        <v>15</v>
      </c>
      <c r="E788">
        <v>0.119806</v>
      </c>
    </row>
    <row r="789" spans="1:5" hidden="1" x14ac:dyDescent="0.3">
      <c r="A789">
        <v>16</v>
      </c>
      <c r="B789">
        <v>180000</v>
      </c>
      <c r="C789" t="s">
        <v>45</v>
      </c>
      <c r="D789" t="s">
        <v>16</v>
      </c>
      <c r="E789">
        <v>5.2148599999999998</v>
      </c>
    </row>
    <row r="790" spans="1:5" hidden="1" x14ac:dyDescent="0.3">
      <c r="A790">
        <v>16</v>
      </c>
      <c r="B790">
        <v>180000</v>
      </c>
      <c r="C790" t="s">
        <v>45</v>
      </c>
      <c r="D790" t="s">
        <v>17</v>
      </c>
      <c r="E790">
        <v>0.101298</v>
      </c>
    </row>
    <row r="791" spans="1:5" hidden="1" x14ac:dyDescent="0.3">
      <c r="A791">
        <v>16</v>
      </c>
      <c r="B791">
        <v>180000</v>
      </c>
      <c r="C791" t="s">
        <v>45</v>
      </c>
      <c r="D791" t="s">
        <v>18</v>
      </c>
      <c r="E791">
        <v>88.827477999999999</v>
      </c>
    </row>
    <row r="792" spans="1:5" hidden="1" x14ac:dyDescent="0.3">
      <c r="A792">
        <v>16</v>
      </c>
      <c r="B792">
        <v>180000</v>
      </c>
      <c r="C792" t="s">
        <v>45</v>
      </c>
      <c r="D792" t="s">
        <v>19</v>
      </c>
      <c r="E792">
        <v>8833.3293859999994</v>
      </c>
    </row>
    <row r="793" spans="1:5" hidden="1" x14ac:dyDescent="0.3">
      <c r="A793">
        <v>16</v>
      </c>
      <c r="B793">
        <v>180000</v>
      </c>
      <c r="C793" t="s">
        <v>45</v>
      </c>
      <c r="D793" t="s">
        <v>20</v>
      </c>
      <c r="E793">
        <v>15166.666493999999</v>
      </c>
    </row>
    <row r="794" spans="1:5" hidden="1" x14ac:dyDescent="0.3">
      <c r="A794">
        <v>16</v>
      </c>
      <c r="B794">
        <v>180000</v>
      </c>
      <c r="C794" t="s">
        <v>45</v>
      </c>
      <c r="D794" t="s">
        <v>21</v>
      </c>
      <c r="E794">
        <v>7.3361999999999997E-2</v>
      </c>
    </row>
    <row r="795" spans="1:5" hidden="1" x14ac:dyDescent="0.3">
      <c r="A795">
        <v>16</v>
      </c>
      <c r="B795">
        <v>180000</v>
      </c>
      <c r="C795" t="s">
        <v>45</v>
      </c>
      <c r="D795" t="s">
        <v>22</v>
      </c>
      <c r="E795">
        <v>504.12475599999999</v>
      </c>
    </row>
    <row r="796" spans="1:5" hidden="1" x14ac:dyDescent="0.3">
      <c r="A796">
        <v>16</v>
      </c>
      <c r="B796">
        <v>180000</v>
      </c>
      <c r="C796" t="s">
        <v>45</v>
      </c>
      <c r="D796" t="s">
        <v>23</v>
      </c>
      <c r="E796">
        <v>4444.4448899999998</v>
      </c>
    </row>
    <row r="797" spans="1:5" hidden="1" x14ac:dyDescent="0.3">
      <c r="A797">
        <v>16</v>
      </c>
      <c r="B797">
        <v>180000</v>
      </c>
      <c r="C797" t="s">
        <v>45</v>
      </c>
      <c r="D797" t="s">
        <v>24</v>
      </c>
      <c r="E797">
        <v>0.123497</v>
      </c>
    </row>
    <row r="798" spans="1:5" hidden="1" x14ac:dyDescent="0.3">
      <c r="A798">
        <v>16</v>
      </c>
      <c r="B798">
        <v>180000</v>
      </c>
      <c r="C798" t="s">
        <v>45</v>
      </c>
      <c r="D798" t="s">
        <v>25</v>
      </c>
      <c r="E798">
        <v>1.0009429999999999</v>
      </c>
    </row>
    <row r="799" spans="1:5" hidden="1" x14ac:dyDescent="0.3">
      <c r="A799">
        <v>16</v>
      </c>
      <c r="B799">
        <v>180000</v>
      </c>
      <c r="C799" t="s">
        <v>45</v>
      </c>
      <c r="D799" t="s">
        <v>26</v>
      </c>
      <c r="E799">
        <v>9.1343999999999995E-2</v>
      </c>
    </row>
    <row r="800" spans="1:5" x14ac:dyDescent="0.3">
      <c r="A800">
        <v>16</v>
      </c>
      <c r="B800">
        <v>180000</v>
      </c>
      <c r="C800" t="s">
        <v>46</v>
      </c>
      <c r="D800" t="s">
        <v>6</v>
      </c>
      <c r="E800">
        <v>54.986783000000003</v>
      </c>
    </row>
    <row r="801" spans="1:5" hidden="1" x14ac:dyDescent="0.3">
      <c r="A801">
        <v>16</v>
      </c>
      <c r="B801">
        <v>180000</v>
      </c>
      <c r="C801" t="s">
        <v>46</v>
      </c>
      <c r="D801" t="s">
        <v>7</v>
      </c>
      <c r="E801">
        <v>36555.461479999998</v>
      </c>
    </row>
    <row r="802" spans="1:5" hidden="1" x14ac:dyDescent="0.3">
      <c r="A802">
        <v>16</v>
      </c>
      <c r="B802">
        <v>180000</v>
      </c>
      <c r="C802" t="s">
        <v>46</v>
      </c>
      <c r="D802" t="s">
        <v>8</v>
      </c>
      <c r="E802">
        <v>194.444016</v>
      </c>
    </row>
    <row r="803" spans="1:5" hidden="1" x14ac:dyDescent="0.3">
      <c r="A803">
        <v>16</v>
      </c>
      <c r="B803">
        <v>180000</v>
      </c>
      <c r="C803" t="s">
        <v>46</v>
      </c>
      <c r="D803" t="s">
        <v>9</v>
      </c>
      <c r="E803">
        <v>34138.484534000003</v>
      </c>
    </row>
    <row r="804" spans="1:5" hidden="1" x14ac:dyDescent="0.3">
      <c r="A804">
        <v>16</v>
      </c>
      <c r="B804">
        <v>180000</v>
      </c>
      <c r="C804" t="s">
        <v>46</v>
      </c>
      <c r="D804" t="s">
        <v>10</v>
      </c>
      <c r="E804">
        <v>2248.0367849999998</v>
      </c>
    </row>
    <row r="805" spans="1:5" hidden="1" x14ac:dyDescent="0.3">
      <c r="A805">
        <v>16</v>
      </c>
      <c r="B805">
        <v>180000</v>
      </c>
      <c r="C805" t="s">
        <v>46</v>
      </c>
      <c r="D805" t="s">
        <v>11</v>
      </c>
      <c r="E805">
        <v>28361.112373</v>
      </c>
    </row>
    <row r="806" spans="1:5" hidden="1" x14ac:dyDescent="0.3">
      <c r="A806">
        <v>16</v>
      </c>
      <c r="B806">
        <v>180000</v>
      </c>
      <c r="C806" t="s">
        <v>46</v>
      </c>
      <c r="D806" t="s">
        <v>12</v>
      </c>
      <c r="E806">
        <v>12555.55668</v>
      </c>
    </row>
    <row r="807" spans="1:5" hidden="1" x14ac:dyDescent="0.3">
      <c r="A807">
        <v>16</v>
      </c>
      <c r="B807">
        <v>180000</v>
      </c>
      <c r="C807" t="s">
        <v>46</v>
      </c>
      <c r="D807" t="s">
        <v>13</v>
      </c>
      <c r="E807">
        <v>14172.545709</v>
      </c>
    </row>
    <row r="808" spans="1:5" hidden="1" x14ac:dyDescent="0.3">
      <c r="A808">
        <v>16</v>
      </c>
      <c r="B808">
        <v>180000</v>
      </c>
      <c r="C808" t="s">
        <v>46</v>
      </c>
      <c r="D808" t="s">
        <v>14</v>
      </c>
      <c r="E808">
        <v>6388.8900679999997</v>
      </c>
    </row>
    <row r="809" spans="1:5" hidden="1" x14ac:dyDescent="0.3">
      <c r="A809">
        <v>16</v>
      </c>
      <c r="B809">
        <v>180000</v>
      </c>
      <c r="C809" t="s">
        <v>46</v>
      </c>
      <c r="D809" t="s">
        <v>15</v>
      </c>
      <c r="E809">
        <v>0.21702199999999999</v>
      </c>
    </row>
    <row r="810" spans="1:5" hidden="1" x14ac:dyDescent="0.3">
      <c r="A810">
        <v>16</v>
      </c>
      <c r="B810">
        <v>180000</v>
      </c>
      <c r="C810" t="s">
        <v>46</v>
      </c>
      <c r="D810" t="s">
        <v>16</v>
      </c>
      <c r="E810">
        <v>31515.362709000001</v>
      </c>
    </row>
    <row r="811" spans="1:5" hidden="1" x14ac:dyDescent="0.3">
      <c r="A811">
        <v>16</v>
      </c>
      <c r="B811">
        <v>180000</v>
      </c>
      <c r="C811" t="s">
        <v>46</v>
      </c>
      <c r="D811" t="s">
        <v>17</v>
      </c>
      <c r="E811">
        <v>1.17313</v>
      </c>
    </row>
    <row r="812" spans="1:5" hidden="1" x14ac:dyDescent="0.3">
      <c r="A812">
        <v>16</v>
      </c>
      <c r="B812">
        <v>180000</v>
      </c>
      <c r="C812" t="s">
        <v>46</v>
      </c>
      <c r="D812" t="s">
        <v>18</v>
      </c>
      <c r="E812">
        <v>44.417611000000001</v>
      </c>
    </row>
    <row r="813" spans="1:5" hidden="1" x14ac:dyDescent="0.3">
      <c r="A813">
        <v>16</v>
      </c>
      <c r="B813">
        <v>180000</v>
      </c>
      <c r="C813" t="s">
        <v>46</v>
      </c>
      <c r="D813" t="s">
        <v>19</v>
      </c>
      <c r="E813">
        <v>4222.2234639999997</v>
      </c>
    </row>
    <row r="814" spans="1:5" hidden="1" x14ac:dyDescent="0.3">
      <c r="A814">
        <v>16</v>
      </c>
      <c r="B814">
        <v>180000</v>
      </c>
      <c r="C814" t="s">
        <v>46</v>
      </c>
      <c r="D814" t="s">
        <v>20</v>
      </c>
      <c r="E814">
        <v>6055.5569340000002</v>
      </c>
    </row>
    <row r="815" spans="1:5" hidden="1" x14ac:dyDescent="0.3">
      <c r="A815">
        <v>16</v>
      </c>
      <c r="B815">
        <v>180000</v>
      </c>
      <c r="C815" t="s">
        <v>46</v>
      </c>
      <c r="D815" t="s">
        <v>21</v>
      </c>
      <c r="E815">
        <v>9.6669000000000005E-2</v>
      </c>
    </row>
    <row r="816" spans="1:5" hidden="1" x14ac:dyDescent="0.3">
      <c r="A816">
        <v>16</v>
      </c>
      <c r="B816">
        <v>180000</v>
      </c>
      <c r="C816" t="s">
        <v>46</v>
      </c>
      <c r="D816" t="s">
        <v>22</v>
      </c>
      <c r="E816">
        <v>268.87858999999997</v>
      </c>
    </row>
    <row r="817" spans="1:5" hidden="1" x14ac:dyDescent="0.3">
      <c r="A817">
        <v>16</v>
      </c>
      <c r="B817">
        <v>180000</v>
      </c>
      <c r="C817" t="s">
        <v>46</v>
      </c>
      <c r="D817" t="s">
        <v>23</v>
      </c>
      <c r="E817">
        <v>1722.223696</v>
      </c>
    </row>
    <row r="818" spans="1:5" hidden="1" x14ac:dyDescent="0.3">
      <c r="A818">
        <v>16</v>
      </c>
      <c r="B818">
        <v>180000</v>
      </c>
      <c r="C818" t="s">
        <v>46</v>
      </c>
      <c r="D818" t="s">
        <v>24</v>
      </c>
      <c r="E818">
        <v>0.22944999999999999</v>
      </c>
    </row>
    <row r="819" spans="1:5" hidden="1" x14ac:dyDescent="0.3">
      <c r="A819">
        <v>16</v>
      </c>
      <c r="B819">
        <v>180000</v>
      </c>
      <c r="C819" t="s">
        <v>46</v>
      </c>
      <c r="D819" t="s">
        <v>25</v>
      </c>
      <c r="E819">
        <v>1500.0010050000001</v>
      </c>
    </row>
    <row r="820" spans="1:5" hidden="1" x14ac:dyDescent="0.3">
      <c r="A820">
        <v>16</v>
      </c>
      <c r="B820">
        <v>180000</v>
      </c>
      <c r="C820" t="s">
        <v>46</v>
      </c>
      <c r="D820" t="s">
        <v>26</v>
      </c>
      <c r="E820">
        <v>0.13994000000000001</v>
      </c>
    </row>
    <row r="821" spans="1:5" hidden="1" x14ac:dyDescent="0.3">
      <c r="A821">
        <v>16</v>
      </c>
      <c r="B821">
        <v>180000</v>
      </c>
      <c r="C821" t="s">
        <v>47</v>
      </c>
      <c r="D821" t="s">
        <v>6</v>
      </c>
      <c r="E821">
        <v>13.741835</v>
      </c>
    </row>
    <row r="822" spans="1:5" hidden="1" x14ac:dyDescent="0.3">
      <c r="A822">
        <v>16</v>
      </c>
      <c r="B822">
        <v>180000</v>
      </c>
      <c r="C822" t="s">
        <v>47</v>
      </c>
      <c r="D822" t="s">
        <v>7</v>
      </c>
      <c r="E822">
        <v>22194.444804999999</v>
      </c>
    </row>
    <row r="823" spans="1:5" hidden="1" x14ac:dyDescent="0.3">
      <c r="A823">
        <v>16</v>
      </c>
      <c r="B823">
        <v>180000</v>
      </c>
      <c r="C823" t="s">
        <v>47</v>
      </c>
      <c r="D823" t="s">
        <v>8</v>
      </c>
      <c r="E823">
        <v>194.44436899999999</v>
      </c>
    </row>
    <row r="824" spans="1:5" hidden="1" x14ac:dyDescent="0.3">
      <c r="A824">
        <v>16</v>
      </c>
      <c r="B824">
        <v>180000</v>
      </c>
      <c r="C824" t="s">
        <v>47</v>
      </c>
      <c r="D824" t="s">
        <v>9</v>
      </c>
      <c r="E824">
        <v>34138.483590999997</v>
      </c>
    </row>
    <row r="825" spans="1:5" hidden="1" x14ac:dyDescent="0.3">
      <c r="A825">
        <v>16</v>
      </c>
      <c r="B825">
        <v>180000</v>
      </c>
      <c r="C825" t="s">
        <v>47</v>
      </c>
      <c r="D825" t="s">
        <v>10</v>
      </c>
      <c r="E825">
        <v>68126.034509000005</v>
      </c>
    </row>
    <row r="826" spans="1:5" hidden="1" x14ac:dyDescent="0.3">
      <c r="A826">
        <v>16</v>
      </c>
      <c r="B826">
        <v>180000</v>
      </c>
      <c r="C826" t="s">
        <v>47</v>
      </c>
      <c r="D826" t="s">
        <v>11</v>
      </c>
      <c r="E826">
        <v>24709.966999</v>
      </c>
    </row>
    <row r="827" spans="1:5" hidden="1" x14ac:dyDescent="0.3">
      <c r="A827">
        <v>16</v>
      </c>
      <c r="B827">
        <v>180000</v>
      </c>
      <c r="C827" t="s">
        <v>47</v>
      </c>
      <c r="D827" t="s">
        <v>12</v>
      </c>
      <c r="E827">
        <v>3166.6669889999998</v>
      </c>
    </row>
    <row r="828" spans="1:5" hidden="1" x14ac:dyDescent="0.3">
      <c r="A828">
        <v>16</v>
      </c>
      <c r="B828">
        <v>180000</v>
      </c>
      <c r="C828" t="s">
        <v>47</v>
      </c>
      <c r="D828" t="s">
        <v>13</v>
      </c>
      <c r="E828">
        <v>3543.1393429999998</v>
      </c>
    </row>
    <row r="829" spans="1:5" hidden="1" x14ac:dyDescent="0.3">
      <c r="A829">
        <v>16</v>
      </c>
      <c r="B829">
        <v>180000</v>
      </c>
      <c r="C829" t="s">
        <v>47</v>
      </c>
      <c r="D829" t="s">
        <v>14</v>
      </c>
      <c r="E829">
        <v>1916.6668420000001</v>
      </c>
    </row>
    <row r="830" spans="1:5" hidden="1" x14ac:dyDescent="0.3">
      <c r="A830">
        <v>16</v>
      </c>
      <c r="B830">
        <v>180000</v>
      </c>
      <c r="C830" t="s">
        <v>47</v>
      </c>
      <c r="D830" t="s">
        <v>15</v>
      </c>
      <c r="E830">
        <v>4.3503E-2</v>
      </c>
    </row>
    <row r="831" spans="1:5" hidden="1" x14ac:dyDescent="0.3">
      <c r="A831">
        <v>16</v>
      </c>
      <c r="B831">
        <v>180000</v>
      </c>
      <c r="C831" t="s">
        <v>47</v>
      </c>
      <c r="D831" t="s">
        <v>16</v>
      </c>
      <c r="E831">
        <v>18386.154323999999</v>
      </c>
    </row>
    <row r="832" spans="1:5" hidden="1" x14ac:dyDescent="0.3">
      <c r="A832">
        <v>16</v>
      </c>
      <c r="B832">
        <v>180000</v>
      </c>
      <c r="C832" t="s">
        <v>47</v>
      </c>
      <c r="D832" t="s">
        <v>17</v>
      </c>
      <c r="E832">
        <v>0.39060499999999998</v>
      </c>
    </row>
    <row r="833" spans="1:5" hidden="1" x14ac:dyDescent="0.3">
      <c r="A833">
        <v>16</v>
      </c>
      <c r="B833">
        <v>180000</v>
      </c>
      <c r="C833" t="s">
        <v>47</v>
      </c>
      <c r="D833" t="s">
        <v>18</v>
      </c>
      <c r="E833">
        <v>8.8892670000000003</v>
      </c>
    </row>
    <row r="834" spans="1:5" hidden="1" x14ac:dyDescent="0.3">
      <c r="A834">
        <v>16</v>
      </c>
      <c r="B834">
        <v>180000</v>
      </c>
      <c r="C834" t="s">
        <v>47</v>
      </c>
      <c r="D834" t="s">
        <v>19</v>
      </c>
      <c r="E834">
        <v>1277.778092</v>
      </c>
    </row>
    <row r="835" spans="1:5" hidden="1" x14ac:dyDescent="0.3">
      <c r="A835">
        <v>16</v>
      </c>
      <c r="B835">
        <v>180000</v>
      </c>
      <c r="C835" t="s">
        <v>47</v>
      </c>
      <c r="D835" t="s">
        <v>20</v>
      </c>
      <c r="E835">
        <v>1472.2227049999999</v>
      </c>
    </row>
    <row r="836" spans="1:5" hidden="1" x14ac:dyDescent="0.3">
      <c r="A836">
        <v>16</v>
      </c>
      <c r="B836">
        <v>180000</v>
      </c>
      <c r="C836" t="s">
        <v>47</v>
      </c>
      <c r="D836" t="s">
        <v>21</v>
      </c>
      <c r="E836">
        <v>3.3570000000000003E-2</v>
      </c>
    </row>
    <row r="837" spans="1:5" hidden="1" x14ac:dyDescent="0.3">
      <c r="A837">
        <v>16</v>
      </c>
      <c r="B837">
        <v>180000</v>
      </c>
      <c r="C837" t="s">
        <v>47</v>
      </c>
      <c r="D837" t="s">
        <v>22</v>
      </c>
      <c r="E837">
        <v>100.82796</v>
      </c>
    </row>
    <row r="838" spans="1:5" hidden="1" x14ac:dyDescent="0.3">
      <c r="A838">
        <v>16</v>
      </c>
      <c r="B838">
        <v>180000</v>
      </c>
      <c r="C838" t="s">
        <v>47</v>
      </c>
      <c r="D838" t="s">
        <v>23</v>
      </c>
      <c r="E838">
        <v>388.88942800000001</v>
      </c>
    </row>
    <row r="839" spans="1:5" hidden="1" x14ac:dyDescent="0.3">
      <c r="A839">
        <v>16</v>
      </c>
      <c r="B839">
        <v>180000</v>
      </c>
      <c r="C839" t="s">
        <v>47</v>
      </c>
      <c r="D839" t="s">
        <v>24</v>
      </c>
      <c r="E839">
        <v>4.5433000000000001E-2</v>
      </c>
    </row>
    <row r="840" spans="1:5" hidden="1" x14ac:dyDescent="0.3">
      <c r="A840">
        <v>16</v>
      </c>
      <c r="B840">
        <v>180000</v>
      </c>
      <c r="C840" t="s">
        <v>47</v>
      </c>
      <c r="D840" t="s">
        <v>25</v>
      </c>
      <c r="E840">
        <v>361.11143299999998</v>
      </c>
    </row>
    <row r="841" spans="1:5" hidden="1" x14ac:dyDescent="0.3">
      <c r="A841">
        <v>16</v>
      </c>
      <c r="B841">
        <v>180000</v>
      </c>
      <c r="C841" t="s">
        <v>47</v>
      </c>
      <c r="D841" t="s">
        <v>26</v>
      </c>
      <c r="E841">
        <v>3.9114000000000003E-2</v>
      </c>
    </row>
    <row r="842" spans="1:5" hidden="1" x14ac:dyDescent="0.3">
      <c r="A842">
        <v>17</v>
      </c>
      <c r="B842">
        <v>185000</v>
      </c>
      <c r="C842" t="s">
        <v>45</v>
      </c>
      <c r="D842" t="s">
        <v>6</v>
      </c>
      <c r="E842">
        <v>0.20949599999999999</v>
      </c>
    </row>
    <row r="843" spans="1:5" hidden="1" x14ac:dyDescent="0.3">
      <c r="A843">
        <v>17</v>
      </c>
      <c r="B843">
        <v>185000</v>
      </c>
      <c r="C843" t="s">
        <v>45</v>
      </c>
      <c r="D843" t="s">
        <v>7</v>
      </c>
      <c r="E843">
        <v>41566.454594000003</v>
      </c>
    </row>
    <row r="844" spans="1:5" hidden="1" x14ac:dyDescent="0.3">
      <c r="A844">
        <v>17</v>
      </c>
      <c r="B844">
        <v>185000</v>
      </c>
      <c r="C844" t="s">
        <v>45</v>
      </c>
      <c r="D844" t="s">
        <v>8</v>
      </c>
      <c r="E844">
        <v>0.33967900000000001</v>
      </c>
    </row>
    <row r="845" spans="1:5" hidden="1" x14ac:dyDescent="0.3">
      <c r="A845">
        <v>17</v>
      </c>
      <c r="B845">
        <v>185000</v>
      </c>
      <c r="C845" t="s">
        <v>45</v>
      </c>
      <c r="D845" t="s">
        <v>9</v>
      </c>
      <c r="E845">
        <v>2.0328349999999999</v>
      </c>
    </row>
    <row r="846" spans="1:5" hidden="1" x14ac:dyDescent="0.3">
      <c r="A846">
        <v>17</v>
      </c>
      <c r="B846">
        <v>185000</v>
      </c>
      <c r="C846" t="s">
        <v>45</v>
      </c>
      <c r="D846" t="s">
        <v>10</v>
      </c>
      <c r="E846">
        <v>0.33210899999999999</v>
      </c>
    </row>
    <row r="847" spans="1:5" hidden="1" x14ac:dyDescent="0.3">
      <c r="A847">
        <v>17</v>
      </c>
      <c r="B847">
        <v>185000</v>
      </c>
      <c r="C847" t="s">
        <v>45</v>
      </c>
      <c r="D847" t="s">
        <v>11</v>
      </c>
      <c r="E847">
        <v>34138.443173</v>
      </c>
    </row>
    <row r="848" spans="1:5" hidden="1" x14ac:dyDescent="0.3">
      <c r="A848">
        <v>17</v>
      </c>
      <c r="B848">
        <v>185000</v>
      </c>
      <c r="C848" t="s">
        <v>45</v>
      </c>
      <c r="D848" t="s">
        <v>12</v>
      </c>
      <c r="E848">
        <v>44388.053466999998</v>
      </c>
    </row>
    <row r="849" spans="1:5" hidden="1" x14ac:dyDescent="0.3">
      <c r="A849">
        <v>17</v>
      </c>
      <c r="B849">
        <v>185000</v>
      </c>
      <c r="C849" t="s">
        <v>45</v>
      </c>
      <c r="D849" t="s">
        <v>13</v>
      </c>
      <c r="E849">
        <v>35431.336014</v>
      </c>
    </row>
    <row r="850" spans="1:5" hidden="1" x14ac:dyDescent="0.3">
      <c r="A850">
        <v>17</v>
      </c>
      <c r="B850">
        <v>185000</v>
      </c>
      <c r="C850" t="s">
        <v>45</v>
      </c>
      <c r="D850" t="s">
        <v>14</v>
      </c>
      <c r="E850">
        <v>85.223225999999997</v>
      </c>
    </row>
    <row r="851" spans="1:5" hidden="1" x14ac:dyDescent="0.3">
      <c r="A851">
        <v>17</v>
      </c>
      <c r="B851">
        <v>185000</v>
      </c>
      <c r="C851" t="s">
        <v>45</v>
      </c>
      <c r="D851" t="s">
        <v>15</v>
      </c>
      <c r="E851">
        <v>0.13320199999999999</v>
      </c>
    </row>
    <row r="852" spans="1:5" hidden="1" x14ac:dyDescent="0.3">
      <c r="A852">
        <v>17</v>
      </c>
      <c r="B852">
        <v>185000</v>
      </c>
      <c r="C852" t="s">
        <v>45</v>
      </c>
      <c r="D852" t="s">
        <v>16</v>
      </c>
      <c r="E852">
        <v>348.67147299999999</v>
      </c>
    </row>
    <row r="853" spans="1:5" hidden="1" x14ac:dyDescent="0.3">
      <c r="A853">
        <v>17</v>
      </c>
      <c r="B853">
        <v>185000</v>
      </c>
      <c r="C853" t="s">
        <v>45</v>
      </c>
      <c r="D853" t="s">
        <v>17</v>
      </c>
      <c r="E853">
        <v>0.17650199999999999</v>
      </c>
    </row>
    <row r="854" spans="1:5" hidden="1" x14ac:dyDescent="0.3">
      <c r="A854">
        <v>17</v>
      </c>
      <c r="B854">
        <v>185000</v>
      </c>
      <c r="C854" t="s">
        <v>45</v>
      </c>
      <c r="D854" t="s">
        <v>18</v>
      </c>
      <c r="E854">
        <v>88.827658999999997</v>
      </c>
    </row>
    <row r="855" spans="1:5" hidden="1" x14ac:dyDescent="0.3">
      <c r="A855">
        <v>17</v>
      </c>
      <c r="B855">
        <v>185000</v>
      </c>
      <c r="C855" t="s">
        <v>45</v>
      </c>
      <c r="D855" t="s">
        <v>19</v>
      </c>
      <c r="E855">
        <v>8833.3297149999999</v>
      </c>
    </row>
    <row r="856" spans="1:5" hidden="1" x14ac:dyDescent="0.3">
      <c r="A856">
        <v>17</v>
      </c>
      <c r="B856">
        <v>185000</v>
      </c>
      <c r="C856" t="s">
        <v>45</v>
      </c>
      <c r="D856" t="s">
        <v>20</v>
      </c>
      <c r="E856">
        <v>15166.66633</v>
      </c>
    </row>
    <row r="857" spans="1:5" hidden="1" x14ac:dyDescent="0.3">
      <c r="A857">
        <v>17</v>
      </c>
      <c r="B857">
        <v>185000</v>
      </c>
      <c r="C857" t="s">
        <v>45</v>
      </c>
      <c r="D857" t="s">
        <v>21</v>
      </c>
      <c r="E857">
        <v>7.7743000000000007E-2</v>
      </c>
    </row>
    <row r="858" spans="1:5" hidden="1" x14ac:dyDescent="0.3">
      <c r="A858">
        <v>17</v>
      </c>
      <c r="B858">
        <v>185000</v>
      </c>
      <c r="C858" t="s">
        <v>45</v>
      </c>
      <c r="D858" t="s">
        <v>22</v>
      </c>
      <c r="E858">
        <v>504.12718699999999</v>
      </c>
    </row>
    <row r="859" spans="1:5" hidden="1" x14ac:dyDescent="0.3">
      <c r="A859">
        <v>17</v>
      </c>
      <c r="B859">
        <v>185000</v>
      </c>
      <c r="C859" t="s">
        <v>45</v>
      </c>
      <c r="D859" t="s">
        <v>23</v>
      </c>
      <c r="E859">
        <v>4444.4448249999996</v>
      </c>
    </row>
    <row r="860" spans="1:5" hidden="1" x14ac:dyDescent="0.3">
      <c r="A860">
        <v>17</v>
      </c>
      <c r="B860">
        <v>185000</v>
      </c>
      <c r="C860" t="s">
        <v>45</v>
      </c>
      <c r="D860" t="s">
        <v>24</v>
      </c>
      <c r="E860">
        <v>0.13744700000000001</v>
      </c>
    </row>
    <row r="861" spans="1:5" hidden="1" x14ac:dyDescent="0.3">
      <c r="A861">
        <v>17</v>
      </c>
      <c r="B861">
        <v>185000</v>
      </c>
      <c r="C861" t="s">
        <v>45</v>
      </c>
      <c r="D861" t="s">
        <v>25</v>
      </c>
      <c r="E861">
        <v>0.90683899999999995</v>
      </c>
    </row>
    <row r="862" spans="1:5" hidden="1" x14ac:dyDescent="0.3">
      <c r="A862">
        <v>17</v>
      </c>
      <c r="B862">
        <v>185000</v>
      </c>
      <c r="C862" t="s">
        <v>45</v>
      </c>
      <c r="D862" t="s">
        <v>26</v>
      </c>
      <c r="E862">
        <v>0.100939</v>
      </c>
    </row>
    <row r="863" spans="1:5" x14ac:dyDescent="0.3">
      <c r="A863">
        <v>17</v>
      </c>
      <c r="B863">
        <v>185000</v>
      </c>
      <c r="C863" t="s">
        <v>46</v>
      </c>
      <c r="D863" t="s">
        <v>6</v>
      </c>
      <c r="E863">
        <v>54.988123000000002</v>
      </c>
    </row>
    <row r="864" spans="1:5" hidden="1" x14ac:dyDescent="0.3">
      <c r="A864">
        <v>17</v>
      </c>
      <c r="B864">
        <v>185000</v>
      </c>
      <c r="C864" t="s">
        <v>46</v>
      </c>
      <c r="D864" t="s">
        <v>7</v>
      </c>
      <c r="E864">
        <v>36555.542173000002</v>
      </c>
    </row>
    <row r="865" spans="1:5" hidden="1" x14ac:dyDescent="0.3">
      <c r="A865">
        <v>17</v>
      </c>
      <c r="B865">
        <v>185000</v>
      </c>
      <c r="C865" t="s">
        <v>46</v>
      </c>
      <c r="D865" t="s">
        <v>8</v>
      </c>
      <c r="E865">
        <v>194.44413599999999</v>
      </c>
    </row>
    <row r="866" spans="1:5" hidden="1" x14ac:dyDescent="0.3">
      <c r="A866">
        <v>17</v>
      </c>
      <c r="B866">
        <v>185000</v>
      </c>
      <c r="C866" t="s">
        <v>46</v>
      </c>
      <c r="D866" t="s">
        <v>9</v>
      </c>
      <c r="E866">
        <v>34138.478833000001</v>
      </c>
    </row>
    <row r="867" spans="1:5" hidden="1" x14ac:dyDescent="0.3">
      <c r="A867">
        <v>17</v>
      </c>
      <c r="B867">
        <v>185000</v>
      </c>
      <c r="C867" t="s">
        <v>46</v>
      </c>
      <c r="D867" t="s">
        <v>10</v>
      </c>
      <c r="E867">
        <v>7246.9423930000003</v>
      </c>
    </row>
    <row r="868" spans="1:5" hidden="1" x14ac:dyDescent="0.3">
      <c r="A868">
        <v>17</v>
      </c>
      <c r="B868">
        <v>185000</v>
      </c>
      <c r="C868" t="s">
        <v>46</v>
      </c>
      <c r="D868" t="s">
        <v>11</v>
      </c>
      <c r="E868">
        <v>28361.110542999999</v>
      </c>
    </row>
    <row r="869" spans="1:5" hidden="1" x14ac:dyDescent="0.3">
      <c r="A869">
        <v>17</v>
      </c>
      <c r="B869">
        <v>185000</v>
      </c>
      <c r="C869" t="s">
        <v>46</v>
      </c>
      <c r="D869" t="s">
        <v>12</v>
      </c>
      <c r="E869">
        <v>12555.557332</v>
      </c>
    </row>
    <row r="870" spans="1:5" hidden="1" x14ac:dyDescent="0.3">
      <c r="A870">
        <v>17</v>
      </c>
      <c r="B870">
        <v>185000</v>
      </c>
      <c r="C870" t="s">
        <v>46</v>
      </c>
      <c r="D870" t="s">
        <v>13</v>
      </c>
      <c r="E870">
        <v>14172.546596</v>
      </c>
    </row>
    <row r="871" spans="1:5" hidden="1" x14ac:dyDescent="0.3">
      <c r="A871">
        <v>17</v>
      </c>
      <c r="B871">
        <v>185000</v>
      </c>
      <c r="C871" t="s">
        <v>46</v>
      </c>
      <c r="D871" t="s">
        <v>14</v>
      </c>
      <c r="E871">
        <v>6388.8903540000001</v>
      </c>
    </row>
    <row r="872" spans="1:5" hidden="1" x14ac:dyDescent="0.3">
      <c r="A872">
        <v>17</v>
      </c>
      <c r="B872">
        <v>185000</v>
      </c>
      <c r="C872" t="s">
        <v>46</v>
      </c>
      <c r="D872" t="s">
        <v>15</v>
      </c>
      <c r="E872">
        <v>0.39140200000000003</v>
      </c>
    </row>
    <row r="873" spans="1:5" hidden="1" x14ac:dyDescent="0.3">
      <c r="A873">
        <v>17</v>
      </c>
      <c r="B873">
        <v>185000</v>
      </c>
      <c r="C873" t="s">
        <v>46</v>
      </c>
      <c r="D873" t="s">
        <v>16</v>
      </c>
      <c r="E873">
        <v>31515.364823</v>
      </c>
    </row>
    <row r="874" spans="1:5" hidden="1" x14ac:dyDescent="0.3">
      <c r="A874">
        <v>17</v>
      </c>
      <c r="B874">
        <v>185000</v>
      </c>
      <c r="C874" t="s">
        <v>46</v>
      </c>
      <c r="D874" t="s">
        <v>17</v>
      </c>
      <c r="E874">
        <v>1.681684</v>
      </c>
    </row>
    <row r="875" spans="1:5" hidden="1" x14ac:dyDescent="0.3">
      <c r="A875">
        <v>17</v>
      </c>
      <c r="B875">
        <v>185000</v>
      </c>
      <c r="C875" t="s">
        <v>46</v>
      </c>
      <c r="D875" t="s">
        <v>18</v>
      </c>
      <c r="E875">
        <v>44.418996</v>
      </c>
    </row>
    <row r="876" spans="1:5" hidden="1" x14ac:dyDescent="0.3">
      <c r="A876">
        <v>17</v>
      </c>
      <c r="B876">
        <v>185000</v>
      </c>
      <c r="C876" t="s">
        <v>46</v>
      </c>
      <c r="D876" t="s">
        <v>19</v>
      </c>
      <c r="E876">
        <v>4222.2235449999998</v>
      </c>
    </row>
    <row r="877" spans="1:5" hidden="1" x14ac:dyDescent="0.3">
      <c r="A877">
        <v>17</v>
      </c>
      <c r="B877">
        <v>185000</v>
      </c>
      <c r="C877" t="s">
        <v>46</v>
      </c>
      <c r="D877" t="s">
        <v>20</v>
      </c>
      <c r="E877">
        <v>6055.5582679999998</v>
      </c>
    </row>
    <row r="878" spans="1:5" hidden="1" x14ac:dyDescent="0.3">
      <c r="A878">
        <v>17</v>
      </c>
      <c r="B878">
        <v>185000</v>
      </c>
      <c r="C878" t="s">
        <v>46</v>
      </c>
      <c r="D878" t="s">
        <v>21</v>
      </c>
      <c r="E878">
        <v>0.174707</v>
      </c>
    </row>
    <row r="879" spans="1:5" hidden="1" x14ac:dyDescent="0.3">
      <c r="A879">
        <v>17</v>
      </c>
      <c r="B879">
        <v>185000</v>
      </c>
      <c r="C879" t="s">
        <v>46</v>
      </c>
      <c r="D879" t="s">
        <v>22</v>
      </c>
      <c r="E879">
        <v>268.87680899999998</v>
      </c>
    </row>
    <row r="880" spans="1:5" hidden="1" x14ac:dyDescent="0.3">
      <c r="A880">
        <v>17</v>
      </c>
      <c r="B880">
        <v>185000</v>
      </c>
      <c r="C880" t="s">
        <v>46</v>
      </c>
      <c r="D880" t="s">
        <v>23</v>
      </c>
      <c r="E880">
        <v>1722.2252599999999</v>
      </c>
    </row>
    <row r="881" spans="1:5" hidden="1" x14ac:dyDescent="0.3">
      <c r="A881">
        <v>17</v>
      </c>
      <c r="B881">
        <v>185000</v>
      </c>
      <c r="C881" t="s">
        <v>46</v>
      </c>
      <c r="D881" t="s">
        <v>24</v>
      </c>
      <c r="E881">
        <v>0.41533999999999999</v>
      </c>
    </row>
    <row r="882" spans="1:5" hidden="1" x14ac:dyDescent="0.3">
      <c r="A882">
        <v>17</v>
      </c>
      <c r="B882">
        <v>185000</v>
      </c>
      <c r="C882" t="s">
        <v>46</v>
      </c>
      <c r="D882" t="s">
        <v>25</v>
      </c>
      <c r="E882">
        <v>1500.0016909999999</v>
      </c>
    </row>
    <row r="883" spans="1:5" hidden="1" x14ac:dyDescent="0.3">
      <c r="A883">
        <v>17</v>
      </c>
      <c r="B883">
        <v>185000</v>
      </c>
      <c r="C883" t="s">
        <v>46</v>
      </c>
      <c r="D883" t="s">
        <v>26</v>
      </c>
      <c r="E883">
        <v>0.25172800000000001</v>
      </c>
    </row>
    <row r="884" spans="1:5" hidden="1" x14ac:dyDescent="0.3">
      <c r="A884">
        <v>17</v>
      </c>
      <c r="B884">
        <v>185000</v>
      </c>
      <c r="C884" t="s">
        <v>47</v>
      </c>
      <c r="D884" t="s">
        <v>6</v>
      </c>
      <c r="E884">
        <v>13.741745999999999</v>
      </c>
    </row>
    <row r="885" spans="1:5" hidden="1" x14ac:dyDescent="0.3">
      <c r="A885">
        <v>17</v>
      </c>
      <c r="B885">
        <v>185000</v>
      </c>
      <c r="C885" t="s">
        <v>47</v>
      </c>
      <c r="D885" t="s">
        <v>7</v>
      </c>
      <c r="E885">
        <v>22194.444433000001</v>
      </c>
    </row>
    <row r="886" spans="1:5" hidden="1" x14ac:dyDescent="0.3">
      <c r="A886">
        <v>17</v>
      </c>
      <c r="B886">
        <v>185000</v>
      </c>
      <c r="C886" t="s">
        <v>47</v>
      </c>
      <c r="D886" t="s">
        <v>8</v>
      </c>
      <c r="E886">
        <v>194.44436899999999</v>
      </c>
    </row>
    <row r="887" spans="1:5" hidden="1" x14ac:dyDescent="0.3">
      <c r="A887">
        <v>17</v>
      </c>
      <c r="B887">
        <v>185000</v>
      </c>
      <c r="C887" t="s">
        <v>47</v>
      </c>
      <c r="D887" t="s">
        <v>9</v>
      </c>
      <c r="E887">
        <v>34138.483337999998</v>
      </c>
    </row>
    <row r="888" spans="1:5" hidden="1" x14ac:dyDescent="0.3">
      <c r="A888">
        <v>17</v>
      </c>
      <c r="B888">
        <v>185000</v>
      </c>
      <c r="C888" t="s">
        <v>47</v>
      </c>
      <c r="D888" t="s">
        <v>10</v>
      </c>
      <c r="E888">
        <v>73126.328469999993</v>
      </c>
    </row>
    <row r="889" spans="1:5" hidden="1" x14ac:dyDescent="0.3">
      <c r="A889">
        <v>17</v>
      </c>
      <c r="B889">
        <v>185000</v>
      </c>
      <c r="C889" t="s">
        <v>47</v>
      </c>
      <c r="D889" t="s">
        <v>11</v>
      </c>
      <c r="E889">
        <v>24709.966731</v>
      </c>
    </row>
    <row r="890" spans="1:5" hidden="1" x14ac:dyDescent="0.3">
      <c r="A890">
        <v>17</v>
      </c>
      <c r="B890">
        <v>185000</v>
      </c>
      <c r="C890" t="s">
        <v>47</v>
      </c>
      <c r="D890" t="s">
        <v>12</v>
      </c>
      <c r="E890">
        <v>3166.6667520000001</v>
      </c>
    </row>
    <row r="891" spans="1:5" hidden="1" x14ac:dyDescent="0.3">
      <c r="A891">
        <v>17</v>
      </c>
      <c r="B891">
        <v>185000</v>
      </c>
      <c r="C891" t="s">
        <v>47</v>
      </c>
      <c r="D891" t="s">
        <v>13</v>
      </c>
      <c r="E891">
        <v>3543.1390449999999</v>
      </c>
    </row>
    <row r="892" spans="1:5" hidden="1" x14ac:dyDescent="0.3">
      <c r="A892">
        <v>17</v>
      </c>
      <c r="B892">
        <v>185000</v>
      </c>
      <c r="C892" t="s">
        <v>47</v>
      </c>
      <c r="D892" t="s">
        <v>14</v>
      </c>
      <c r="E892">
        <v>1916.6667150000001</v>
      </c>
    </row>
    <row r="893" spans="1:5" hidden="1" x14ac:dyDescent="0.3">
      <c r="A893">
        <v>17</v>
      </c>
      <c r="B893">
        <v>185000</v>
      </c>
      <c r="C893" t="s">
        <v>47</v>
      </c>
      <c r="D893" t="s">
        <v>15</v>
      </c>
      <c r="E893">
        <v>3.0981000000000002E-2</v>
      </c>
    </row>
    <row r="894" spans="1:5" hidden="1" x14ac:dyDescent="0.3">
      <c r="A894">
        <v>17</v>
      </c>
      <c r="B894">
        <v>185000</v>
      </c>
      <c r="C894" t="s">
        <v>47</v>
      </c>
      <c r="D894" t="s">
        <v>16</v>
      </c>
      <c r="E894">
        <v>18386.14518</v>
      </c>
    </row>
    <row r="895" spans="1:5" hidden="1" x14ac:dyDescent="0.3">
      <c r="A895">
        <v>17</v>
      </c>
      <c r="B895">
        <v>185000</v>
      </c>
      <c r="C895" t="s">
        <v>47</v>
      </c>
      <c r="D895" t="s">
        <v>17</v>
      </c>
      <c r="E895">
        <v>0.15082100000000001</v>
      </c>
    </row>
    <row r="896" spans="1:5" hidden="1" x14ac:dyDescent="0.3">
      <c r="A896">
        <v>17</v>
      </c>
      <c r="B896">
        <v>185000</v>
      </c>
      <c r="C896" t="s">
        <v>47</v>
      </c>
      <c r="D896" t="s">
        <v>18</v>
      </c>
      <c r="E896">
        <v>8.8890589999999996</v>
      </c>
    </row>
    <row r="897" spans="1:5" hidden="1" x14ac:dyDescent="0.3">
      <c r="A897">
        <v>17</v>
      </c>
      <c r="B897">
        <v>185000</v>
      </c>
      <c r="C897" t="s">
        <v>47</v>
      </c>
      <c r="D897" t="s">
        <v>19</v>
      </c>
      <c r="E897">
        <v>1277.7778920000001</v>
      </c>
    </row>
    <row r="898" spans="1:5" hidden="1" x14ac:dyDescent="0.3">
      <c r="A898">
        <v>17</v>
      </c>
      <c r="B898">
        <v>185000</v>
      </c>
      <c r="C898" t="s">
        <v>47</v>
      </c>
      <c r="D898" t="s">
        <v>20</v>
      </c>
      <c r="E898">
        <v>1472.222401</v>
      </c>
    </row>
    <row r="899" spans="1:5" hidden="1" x14ac:dyDescent="0.3">
      <c r="A899">
        <v>17</v>
      </c>
      <c r="B899">
        <v>185000</v>
      </c>
      <c r="C899" t="s">
        <v>47</v>
      </c>
      <c r="D899" t="s">
        <v>21</v>
      </c>
      <c r="E899">
        <v>2.1534000000000001E-2</v>
      </c>
    </row>
    <row r="900" spans="1:5" hidden="1" x14ac:dyDescent="0.3">
      <c r="A900">
        <v>17</v>
      </c>
      <c r="B900">
        <v>185000</v>
      </c>
      <c r="C900" t="s">
        <v>47</v>
      </c>
      <c r="D900" t="s">
        <v>22</v>
      </c>
      <c r="E900">
        <v>100.827877</v>
      </c>
    </row>
    <row r="901" spans="1:5" hidden="1" x14ac:dyDescent="0.3">
      <c r="A901">
        <v>17</v>
      </c>
      <c r="B901">
        <v>185000</v>
      </c>
      <c r="C901" t="s">
        <v>47</v>
      </c>
      <c r="D901" t="s">
        <v>23</v>
      </c>
      <c r="E901">
        <v>388.88910399999997</v>
      </c>
    </row>
    <row r="902" spans="1:5" hidden="1" x14ac:dyDescent="0.3">
      <c r="A902">
        <v>17</v>
      </c>
      <c r="B902">
        <v>185000</v>
      </c>
      <c r="C902" t="s">
        <v>47</v>
      </c>
      <c r="D902" t="s">
        <v>24</v>
      </c>
      <c r="E902">
        <v>3.2642999999999998E-2</v>
      </c>
    </row>
    <row r="903" spans="1:5" hidden="1" x14ac:dyDescent="0.3">
      <c r="A903">
        <v>17</v>
      </c>
      <c r="B903">
        <v>185000</v>
      </c>
      <c r="C903" t="s">
        <v>47</v>
      </c>
      <c r="D903" t="s">
        <v>25</v>
      </c>
      <c r="E903">
        <v>361.11121300000002</v>
      </c>
    </row>
    <row r="904" spans="1:5" hidden="1" x14ac:dyDescent="0.3">
      <c r="A904">
        <v>17</v>
      </c>
      <c r="B904">
        <v>185000</v>
      </c>
      <c r="C904" t="s">
        <v>47</v>
      </c>
      <c r="D904" t="s">
        <v>26</v>
      </c>
      <c r="E904">
        <v>2.6079000000000001E-2</v>
      </c>
    </row>
    <row r="905" spans="1:5" hidden="1" x14ac:dyDescent="0.3">
      <c r="A905">
        <v>18</v>
      </c>
      <c r="B905">
        <v>190000</v>
      </c>
      <c r="C905" t="s">
        <v>45</v>
      </c>
      <c r="D905" t="s">
        <v>6</v>
      </c>
      <c r="E905">
        <v>0.77418600000000004</v>
      </c>
    </row>
    <row r="906" spans="1:5" hidden="1" x14ac:dyDescent="0.3">
      <c r="A906">
        <v>18</v>
      </c>
      <c r="B906">
        <v>190000</v>
      </c>
      <c r="C906" t="s">
        <v>45</v>
      </c>
      <c r="D906" t="s">
        <v>7</v>
      </c>
      <c r="E906">
        <v>6395.0260040000003</v>
      </c>
    </row>
    <row r="907" spans="1:5" hidden="1" x14ac:dyDescent="0.3">
      <c r="A907">
        <v>18</v>
      </c>
      <c r="B907">
        <v>190000</v>
      </c>
      <c r="C907" t="s">
        <v>45</v>
      </c>
      <c r="D907" t="s">
        <v>8</v>
      </c>
      <c r="E907">
        <v>1.153143</v>
      </c>
    </row>
    <row r="908" spans="1:5" hidden="1" x14ac:dyDescent="0.3">
      <c r="A908">
        <v>18</v>
      </c>
      <c r="B908">
        <v>190000</v>
      </c>
      <c r="C908" t="s">
        <v>45</v>
      </c>
      <c r="D908" t="s">
        <v>9</v>
      </c>
      <c r="E908">
        <v>4.825736</v>
      </c>
    </row>
    <row r="909" spans="1:5" hidden="1" x14ac:dyDescent="0.3">
      <c r="A909">
        <v>18</v>
      </c>
      <c r="B909">
        <v>190000</v>
      </c>
      <c r="C909" t="s">
        <v>45</v>
      </c>
      <c r="D909" t="s">
        <v>10</v>
      </c>
      <c r="E909">
        <v>0.64755300000000005</v>
      </c>
    </row>
    <row r="910" spans="1:5" hidden="1" x14ac:dyDescent="0.3">
      <c r="A910">
        <v>18</v>
      </c>
      <c r="B910">
        <v>190000</v>
      </c>
      <c r="C910" t="s">
        <v>45</v>
      </c>
      <c r="D910" t="s">
        <v>11</v>
      </c>
      <c r="E910">
        <v>34138.586064000003</v>
      </c>
    </row>
    <row r="911" spans="1:5" hidden="1" x14ac:dyDescent="0.3">
      <c r="A911">
        <v>18</v>
      </c>
      <c r="B911">
        <v>190000</v>
      </c>
      <c r="C911" t="s">
        <v>45</v>
      </c>
      <c r="D911" t="s">
        <v>12</v>
      </c>
      <c r="E911">
        <v>44388.753320999997</v>
      </c>
    </row>
    <row r="912" spans="1:5" hidden="1" x14ac:dyDescent="0.3">
      <c r="A912">
        <v>18</v>
      </c>
      <c r="B912">
        <v>190000</v>
      </c>
      <c r="C912" t="s">
        <v>45</v>
      </c>
      <c r="D912" t="s">
        <v>13</v>
      </c>
      <c r="E912">
        <v>35431.342091999999</v>
      </c>
    </row>
    <row r="913" spans="1:5" hidden="1" x14ac:dyDescent="0.3">
      <c r="A913">
        <v>18</v>
      </c>
      <c r="B913">
        <v>190000</v>
      </c>
      <c r="C913" t="s">
        <v>45</v>
      </c>
      <c r="D913" t="s">
        <v>14</v>
      </c>
      <c r="E913">
        <v>299.20988199999999</v>
      </c>
    </row>
    <row r="914" spans="1:5" hidden="1" x14ac:dyDescent="0.3">
      <c r="A914">
        <v>18</v>
      </c>
      <c r="B914">
        <v>190000</v>
      </c>
      <c r="C914" t="s">
        <v>45</v>
      </c>
      <c r="D914" t="s">
        <v>15</v>
      </c>
      <c r="E914">
        <v>0.25366699999999998</v>
      </c>
    </row>
    <row r="915" spans="1:5" hidden="1" x14ac:dyDescent="0.3">
      <c r="A915">
        <v>18</v>
      </c>
      <c r="B915">
        <v>190000</v>
      </c>
      <c r="C915" t="s">
        <v>45</v>
      </c>
      <c r="D915" t="s">
        <v>16</v>
      </c>
      <c r="E915">
        <v>40298.882663999997</v>
      </c>
    </row>
    <row r="916" spans="1:5" hidden="1" x14ac:dyDescent="0.3">
      <c r="A916">
        <v>18</v>
      </c>
      <c r="B916">
        <v>190000</v>
      </c>
      <c r="C916" t="s">
        <v>45</v>
      </c>
      <c r="D916" t="s">
        <v>17</v>
      </c>
      <c r="E916">
        <v>0.49892999999999998</v>
      </c>
    </row>
    <row r="917" spans="1:5" hidden="1" x14ac:dyDescent="0.3">
      <c r="A917">
        <v>18</v>
      </c>
      <c r="B917">
        <v>190000</v>
      </c>
      <c r="C917" t="s">
        <v>45</v>
      </c>
      <c r="D917" t="s">
        <v>18</v>
      </c>
      <c r="E917">
        <v>88.802082999999996</v>
      </c>
    </row>
    <row r="918" spans="1:5" hidden="1" x14ac:dyDescent="0.3">
      <c r="A918">
        <v>18</v>
      </c>
      <c r="B918">
        <v>190000</v>
      </c>
      <c r="C918" t="s">
        <v>45</v>
      </c>
      <c r="D918" t="s">
        <v>19</v>
      </c>
      <c r="E918">
        <v>8833.3238199999996</v>
      </c>
    </row>
    <row r="919" spans="1:5" hidden="1" x14ac:dyDescent="0.3">
      <c r="A919">
        <v>18</v>
      </c>
      <c r="B919">
        <v>190000</v>
      </c>
      <c r="C919" t="s">
        <v>45</v>
      </c>
      <c r="D919" t="s">
        <v>20</v>
      </c>
      <c r="E919">
        <v>15166.666767999999</v>
      </c>
    </row>
    <row r="920" spans="1:5" hidden="1" x14ac:dyDescent="0.3">
      <c r="A920">
        <v>18</v>
      </c>
      <c r="B920">
        <v>190000</v>
      </c>
      <c r="C920" t="s">
        <v>45</v>
      </c>
      <c r="D920" t="s">
        <v>21</v>
      </c>
      <c r="E920">
        <v>0.18088000000000001</v>
      </c>
    </row>
    <row r="921" spans="1:5" hidden="1" x14ac:dyDescent="0.3">
      <c r="A921">
        <v>18</v>
      </c>
      <c r="B921">
        <v>190000</v>
      </c>
      <c r="C921" t="s">
        <v>45</v>
      </c>
      <c r="D921" t="s">
        <v>22</v>
      </c>
      <c r="E921">
        <v>503.93187899999998</v>
      </c>
    </row>
    <row r="922" spans="1:5" hidden="1" x14ac:dyDescent="0.3">
      <c r="A922">
        <v>18</v>
      </c>
      <c r="B922">
        <v>190000</v>
      </c>
      <c r="C922" t="s">
        <v>45</v>
      </c>
      <c r="D922" t="s">
        <v>23</v>
      </c>
      <c r="E922">
        <v>4444.4456819999996</v>
      </c>
    </row>
    <row r="923" spans="1:5" hidden="1" x14ac:dyDescent="0.3">
      <c r="A923">
        <v>18</v>
      </c>
      <c r="B923">
        <v>190000</v>
      </c>
      <c r="C923" t="s">
        <v>45</v>
      </c>
      <c r="D923" t="s">
        <v>24</v>
      </c>
      <c r="E923">
        <v>0.26205600000000001</v>
      </c>
    </row>
    <row r="924" spans="1:5" hidden="1" x14ac:dyDescent="0.3">
      <c r="A924">
        <v>18</v>
      </c>
      <c r="B924">
        <v>190000</v>
      </c>
      <c r="C924" t="s">
        <v>45</v>
      </c>
      <c r="D924" t="s">
        <v>25</v>
      </c>
      <c r="E924">
        <v>2.3034789999999998</v>
      </c>
    </row>
    <row r="925" spans="1:5" hidden="1" x14ac:dyDescent="0.3">
      <c r="A925">
        <v>18</v>
      </c>
      <c r="B925">
        <v>190000</v>
      </c>
      <c r="C925" t="s">
        <v>45</v>
      </c>
      <c r="D925" t="s">
        <v>26</v>
      </c>
      <c r="E925">
        <v>0.19107399999999999</v>
      </c>
    </row>
    <row r="926" spans="1:5" x14ac:dyDescent="0.3">
      <c r="A926">
        <v>18</v>
      </c>
      <c r="B926">
        <v>190000</v>
      </c>
      <c r="C926" t="s">
        <v>46</v>
      </c>
      <c r="D926" t="s">
        <v>6</v>
      </c>
      <c r="E926">
        <v>54.987186999999999</v>
      </c>
    </row>
    <row r="927" spans="1:5" hidden="1" x14ac:dyDescent="0.3">
      <c r="A927">
        <v>18</v>
      </c>
      <c r="B927">
        <v>190000</v>
      </c>
      <c r="C927" t="s">
        <v>46</v>
      </c>
      <c r="D927" t="s">
        <v>7</v>
      </c>
      <c r="E927">
        <v>36555.520593000001</v>
      </c>
    </row>
    <row r="928" spans="1:5" hidden="1" x14ac:dyDescent="0.3">
      <c r="A928">
        <v>18</v>
      </c>
      <c r="B928">
        <v>190000</v>
      </c>
      <c r="C928" t="s">
        <v>46</v>
      </c>
      <c r="D928" t="s">
        <v>8</v>
      </c>
      <c r="E928">
        <v>194.44510700000001</v>
      </c>
    </row>
    <row r="929" spans="1:5" hidden="1" x14ac:dyDescent="0.3">
      <c r="A929">
        <v>18</v>
      </c>
      <c r="B929">
        <v>190000</v>
      </c>
      <c r="C929" t="s">
        <v>46</v>
      </c>
      <c r="D929" t="s">
        <v>9</v>
      </c>
      <c r="E929">
        <v>34138.479984999998</v>
      </c>
    </row>
    <row r="930" spans="1:5" hidden="1" x14ac:dyDescent="0.3">
      <c r="A930">
        <v>18</v>
      </c>
      <c r="B930">
        <v>190000</v>
      </c>
      <c r="C930" t="s">
        <v>46</v>
      </c>
      <c r="D930" t="s">
        <v>10</v>
      </c>
      <c r="E930">
        <v>12249.396666000001</v>
      </c>
    </row>
    <row r="931" spans="1:5" hidden="1" x14ac:dyDescent="0.3">
      <c r="A931">
        <v>18</v>
      </c>
      <c r="B931">
        <v>190000</v>
      </c>
      <c r="C931" t="s">
        <v>46</v>
      </c>
      <c r="D931" t="s">
        <v>11</v>
      </c>
      <c r="E931">
        <v>28361.110778999999</v>
      </c>
    </row>
    <row r="932" spans="1:5" hidden="1" x14ac:dyDescent="0.3">
      <c r="A932">
        <v>18</v>
      </c>
      <c r="B932">
        <v>190000</v>
      </c>
      <c r="C932" t="s">
        <v>46</v>
      </c>
      <c r="D932" t="s">
        <v>12</v>
      </c>
      <c r="E932">
        <v>12555.555984000001</v>
      </c>
    </row>
    <row r="933" spans="1:5" hidden="1" x14ac:dyDescent="0.3">
      <c r="A933">
        <v>18</v>
      </c>
      <c r="B933">
        <v>190000</v>
      </c>
      <c r="C933" t="s">
        <v>46</v>
      </c>
      <c r="D933" t="s">
        <v>13</v>
      </c>
      <c r="E933">
        <v>14172.545192</v>
      </c>
    </row>
    <row r="934" spans="1:5" hidden="1" x14ac:dyDescent="0.3">
      <c r="A934">
        <v>18</v>
      </c>
      <c r="B934">
        <v>190000</v>
      </c>
      <c r="C934" t="s">
        <v>46</v>
      </c>
      <c r="D934" t="s">
        <v>14</v>
      </c>
      <c r="E934">
        <v>6388.8891249999997</v>
      </c>
    </row>
    <row r="935" spans="1:5" hidden="1" x14ac:dyDescent="0.3">
      <c r="A935">
        <v>18</v>
      </c>
      <c r="B935">
        <v>190000</v>
      </c>
      <c r="C935" t="s">
        <v>46</v>
      </c>
      <c r="D935" t="s">
        <v>15</v>
      </c>
      <c r="E935">
        <v>7.2154999999999997E-2</v>
      </c>
    </row>
    <row r="936" spans="1:5" hidden="1" x14ac:dyDescent="0.3">
      <c r="A936">
        <v>18</v>
      </c>
      <c r="B936">
        <v>190000</v>
      </c>
      <c r="C936" t="s">
        <v>46</v>
      </c>
      <c r="D936" t="s">
        <v>16</v>
      </c>
      <c r="E936">
        <v>31515.362243</v>
      </c>
    </row>
    <row r="937" spans="1:5" hidden="1" x14ac:dyDescent="0.3">
      <c r="A937">
        <v>18</v>
      </c>
      <c r="B937">
        <v>190000</v>
      </c>
      <c r="C937" t="s">
        <v>46</v>
      </c>
      <c r="D937" t="s">
        <v>17</v>
      </c>
      <c r="E937">
        <v>0.21035499999999999</v>
      </c>
    </row>
    <row r="938" spans="1:5" hidden="1" x14ac:dyDescent="0.3">
      <c r="A938">
        <v>18</v>
      </c>
      <c r="B938">
        <v>190000</v>
      </c>
      <c r="C938" t="s">
        <v>46</v>
      </c>
      <c r="D938" t="s">
        <v>18</v>
      </c>
      <c r="E938">
        <v>44.417805000000001</v>
      </c>
    </row>
    <row r="939" spans="1:5" hidden="1" x14ac:dyDescent="0.3">
      <c r="A939">
        <v>18</v>
      </c>
      <c r="B939">
        <v>190000</v>
      </c>
      <c r="C939" t="s">
        <v>46</v>
      </c>
      <c r="D939" t="s">
        <v>19</v>
      </c>
      <c r="E939">
        <v>4222.2229100000004</v>
      </c>
    </row>
    <row r="940" spans="1:5" hidden="1" x14ac:dyDescent="0.3">
      <c r="A940">
        <v>18</v>
      </c>
      <c r="B940">
        <v>190000</v>
      </c>
      <c r="C940" t="s">
        <v>46</v>
      </c>
      <c r="D940" t="s">
        <v>20</v>
      </c>
      <c r="E940">
        <v>6055.5566479999998</v>
      </c>
    </row>
    <row r="941" spans="1:5" hidden="1" x14ac:dyDescent="0.3">
      <c r="A941">
        <v>18</v>
      </c>
      <c r="B941">
        <v>190000</v>
      </c>
      <c r="C941" t="s">
        <v>46</v>
      </c>
      <c r="D941" t="s">
        <v>21</v>
      </c>
      <c r="E941">
        <v>3.2876000000000002E-2</v>
      </c>
    </row>
    <row r="942" spans="1:5" hidden="1" x14ac:dyDescent="0.3">
      <c r="A942">
        <v>18</v>
      </c>
      <c r="B942">
        <v>190000</v>
      </c>
      <c r="C942" t="s">
        <v>46</v>
      </c>
      <c r="D942" t="s">
        <v>22</v>
      </c>
      <c r="E942">
        <v>268.87868400000002</v>
      </c>
    </row>
    <row r="943" spans="1:5" hidden="1" x14ac:dyDescent="0.3">
      <c r="A943">
        <v>18</v>
      </c>
      <c r="B943">
        <v>190000</v>
      </c>
      <c r="C943" t="s">
        <v>46</v>
      </c>
      <c r="D943" t="s">
        <v>23</v>
      </c>
      <c r="E943">
        <v>1722.2235209999999</v>
      </c>
    </row>
    <row r="944" spans="1:5" hidden="1" x14ac:dyDescent="0.3">
      <c r="A944">
        <v>18</v>
      </c>
      <c r="B944">
        <v>190000</v>
      </c>
      <c r="C944" t="s">
        <v>46</v>
      </c>
      <c r="D944" t="s">
        <v>24</v>
      </c>
      <c r="E944">
        <v>7.6544000000000001E-2</v>
      </c>
    </row>
    <row r="945" spans="1:5" hidden="1" x14ac:dyDescent="0.3">
      <c r="A945">
        <v>18</v>
      </c>
      <c r="B945">
        <v>190000</v>
      </c>
      <c r="C945" t="s">
        <v>46</v>
      </c>
      <c r="D945" t="s">
        <v>25</v>
      </c>
      <c r="E945">
        <v>1500.001066</v>
      </c>
    </row>
    <row r="946" spans="1:5" hidden="1" x14ac:dyDescent="0.3">
      <c r="A946">
        <v>18</v>
      </c>
      <c r="B946">
        <v>190000</v>
      </c>
      <c r="C946" t="s">
        <v>46</v>
      </c>
      <c r="D946" t="s">
        <v>26</v>
      </c>
      <c r="E946">
        <v>4.6092000000000001E-2</v>
      </c>
    </row>
    <row r="947" spans="1:5" hidden="1" x14ac:dyDescent="0.3">
      <c r="A947">
        <v>18</v>
      </c>
      <c r="B947">
        <v>190000</v>
      </c>
      <c r="C947" t="s">
        <v>47</v>
      </c>
      <c r="D947" t="s">
        <v>6</v>
      </c>
      <c r="E947">
        <v>13.742155</v>
      </c>
    </row>
    <row r="948" spans="1:5" hidden="1" x14ac:dyDescent="0.3">
      <c r="A948">
        <v>18</v>
      </c>
      <c r="B948">
        <v>190000</v>
      </c>
      <c r="C948" t="s">
        <v>47</v>
      </c>
      <c r="D948" t="s">
        <v>7</v>
      </c>
      <c r="E948">
        <v>22194.444986999999</v>
      </c>
    </row>
    <row r="949" spans="1:5" hidden="1" x14ac:dyDescent="0.3">
      <c r="A949">
        <v>18</v>
      </c>
      <c r="B949">
        <v>190000</v>
      </c>
      <c r="C949" t="s">
        <v>47</v>
      </c>
      <c r="D949" t="s">
        <v>8</v>
      </c>
      <c r="E949">
        <v>194.44486900000001</v>
      </c>
    </row>
    <row r="950" spans="1:5" hidden="1" x14ac:dyDescent="0.3">
      <c r="A950">
        <v>18</v>
      </c>
      <c r="B950">
        <v>190000</v>
      </c>
      <c r="C950" t="s">
        <v>47</v>
      </c>
      <c r="D950" t="s">
        <v>9</v>
      </c>
      <c r="E950">
        <v>34138.483882</v>
      </c>
    </row>
    <row r="951" spans="1:5" hidden="1" x14ac:dyDescent="0.3">
      <c r="A951">
        <v>18</v>
      </c>
      <c r="B951">
        <v>190000</v>
      </c>
      <c r="C951" t="s">
        <v>47</v>
      </c>
      <c r="D951" t="s">
        <v>10</v>
      </c>
      <c r="E951">
        <v>77249.990741999994</v>
      </c>
    </row>
    <row r="952" spans="1:5" hidden="1" x14ac:dyDescent="0.3">
      <c r="A952">
        <v>18</v>
      </c>
      <c r="B952">
        <v>190000</v>
      </c>
      <c r="C952" t="s">
        <v>47</v>
      </c>
      <c r="D952" t="s">
        <v>11</v>
      </c>
      <c r="E952">
        <v>24709.967213</v>
      </c>
    </row>
    <row r="953" spans="1:5" hidden="1" x14ac:dyDescent="0.3">
      <c r="A953">
        <v>18</v>
      </c>
      <c r="B953">
        <v>190000</v>
      </c>
      <c r="C953" t="s">
        <v>47</v>
      </c>
      <c r="D953" t="s">
        <v>12</v>
      </c>
      <c r="E953">
        <v>3166.6672130000002</v>
      </c>
    </row>
    <row r="954" spans="1:5" hidden="1" x14ac:dyDescent="0.3">
      <c r="A954">
        <v>18</v>
      </c>
      <c r="B954">
        <v>190000</v>
      </c>
      <c r="C954" t="s">
        <v>47</v>
      </c>
      <c r="D954" t="s">
        <v>13</v>
      </c>
      <c r="E954">
        <v>3543.1394460000001</v>
      </c>
    </row>
    <row r="955" spans="1:5" hidden="1" x14ac:dyDescent="0.3">
      <c r="A955">
        <v>18</v>
      </c>
      <c r="B955">
        <v>190000</v>
      </c>
      <c r="C955" t="s">
        <v>47</v>
      </c>
      <c r="D955" t="s">
        <v>14</v>
      </c>
      <c r="E955">
        <v>1916.6672160000001</v>
      </c>
    </row>
    <row r="956" spans="1:5" hidden="1" x14ac:dyDescent="0.3">
      <c r="A956">
        <v>18</v>
      </c>
      <c r="B956">
        <v>190000</v>
      </c>
      <c r="C956" t="s">
        <v>47</v>
      </c>
      <c r="D956" t="s">
        <v>15</v>
      </c>
      <c r="E956">
        <v>0.86414899999999994</v>
      </c>
    </row>
    <row r="957" spans="1:5" hidden="1" x14ac:dyDescent="0.3">
      <c r="A957">
        <v>18</v>
      </c>
      <c r="B957">
        <v>190000</v>
      </c>
      <c r="C957" t="s">
        <v>47</v>
      </c>
      <c r="D957" t="s">
        <v>16</v>
      </c>
      <c r="E957">
        <v>18386.148891000001</v>
      </c>
    </row>
    <row r="958" spans="1:5" hidden="1" x14ac:dyDescent="0.3">
      <c r="A958">
        <v>18</v>
      </c>
      <c r="B958">
        <v>190000</v>
      </c>
      <c r="C958" t="s">
        <v>47</v>
      </c>
      <c r="D958" t="s">
        <v>17</v>
      </c>
      <c r="E958">
        <v>55.555714000000002</v>
      </c>
    </row>
    <row r="959" spans="1:5" hidden="1" x14ac:dyDescent="0.3">
      <c r="A959">
        <v>18</v>
      </c>
      <c r="B959">
        <v>190000</v>
      </c>
      <c r="C959" t="s">
        <v>47</v>
      </c>
      <c r="D959" t="s">
        <v>18</v>
      </c>
      <c r="E959">
        <v>8.8894310000000001</v>
      </c>
    </row>
    <row r="960" spans="1:5" hidden="1" x14ac:dyDescent="0.3">
      <c r="A960">
        <v>18</v>
      </c>
      <c r="B960">
        <v>190000</v>
      </c>
      <c r="C960" t="s">
        <v>47</v>
      </c>
      <c r="D960" t="s">
        <v>19</v>
      </c>
      <c r="E960">
        <v>1277.7783300000001</v>
      </c>
    </row>
    <row r="961" spans="1:5" hidden="1" x14ac:dyDescent="0.3">
      <c r="A961">
        <v>18</v>
      </c>
      <c r="B961">
        <v>190000</v>
      </c>
      <c r="C961" t="s">
        <v>47</v>
      </c>
      <c r="D961" t="s">
        <v>20</v>
      </c>
      <c r="E961">
        <v>1472.222784</v>
      </c>
    </row>
    <row r="962" spans="1:5" hidden="1" x14ac:dyDescent="0.3">
      <c r="A962">
        <v>18</v>
      </c>
      <c r="B962">
        <v>190000</v>
      </c>
      <c r="C962" t="s">
        <v>47</v>
      </c>
      <c r="D962" t="s">
        <v>21</v>
      </c>
      <c r="E962">
        <v>8.3251000000000006E-2</v>
      </c>
    </row>
    <row r="963" spans="1:5" hidden="1" x14ac:dyDescent="0.3">
      <c r="A963">
        <v>18</v>
      </c>
      <c r="B963">
        <v>190000</v>
      </c>
      <c r="C963" t="s">
        <v>47</v>
      </c>
      <c r="D963" t="s">
        <v>22</v>
      </c>
      <c r="E963">
        <v>100.828282</v>
      </c>
    </row>
    <row r="964" spans="1:5" hidden="1" x14ac:dyDescent="0.3">
      <c r="A964">
        <v>18</v>
      </c>
      <c r="B964">
        <v>190000</v>
      </c>
      <c r="C964" t="s">
        <v>47</v>
      </c>
      <c r="D964" t="s">
        <v>23</v>
      </c>
      <c r="E964">
        <v>388.88946499999997</v>
      </c>
    </row>
    <row r="965" spans="1:5" hidden="1" x14ac:dyDescent="0.3">
      <c r="A965">
        <v>18</v>
      </c>
      <c r="B965">
        <v>190000</v>
      </c>
      <c r="C965" t="s">
        <v>47</v>
      </c>
      <c r="D965" t="s">
        <v>24</v>
      </c>
      <c r="E965">
        <v>819.95417899999995</v>
      </c>
    </row>
    <row r="966" spans="1:5" hidden="1" x14ac:dyDescent="0.3">
      <c r="A966">
        <v>18</v>
      </c>
      <c r="B966">
        <v>190000</v>
      </c>
      <c r="C966" t="s">
        <v>47</v>
      </c>
      <c r="D966" t="s">
        <v>25</v>
      </c>
      <c r="E966">
        <v>361.11161499999997</v>
      </c>
    </row>
    <row r="967" spans="1:5" hidden="1" x14ac:dyDescent="0.3">
      <c r="A967">
        <v>18</v>
      </c>
      <c r="B967">
        <v>190000</v>
      </c>
      <c r="C967" t="s">
        <v>47</v>
      </c>
      <c r="D967" t="s">
        <v>26</v>
      </c>
      <c r="E967">
        <v>0.14041300000000001</v>
      </c>
    </row>
    <row r="968" spans="1:5" hidden="1" x14ac:dyDescent="0.3">
      <c r="A968">
        <v>19</v>
      </c>
      <c r="B968">
        <v>195000</v>
      </c>
      <c r="C968" t="s">
        <v>45</v>
      </c>
      <c r="D968" t="s">
        <v>6</v>
      </c>
      <c r="E968">
        <v>0.21600800000000001</v>
      </c>
    </row>
    <row r="969" spans="1:5" hidden="1" x14ac:dyDescent="0.3">
      <c r="A969">
        <v>19</v>
      </c>
      <c r="B969">
        <v>195000</v>
      </c>
      <c r="C969" t="s">
        <v>45</v>
      </c>
      <c r="D969" t="s">
        <v>7</v>
      </c>
      <c r="E969">
        <v>11582.184622999999</v>
      </c>
    </row>
    <row r="970" spans="1:5" hidden="1" x14ac:dyDescent="0.3">
      <c r="A970">
        <v>19</v>
      </c>
      <c r="B970">
        <v>195000</v>
      </c>
      <c r="C970" t="s">
        <v>45</v>
      </c>
      <c r="D970" t="s">
        <v>8</v>
      </c>
      <c r="E970">
        <v>0.30623899999999998</v>
      </c>
    </row>
    <row r="971" spans="1:5" hidden="1" x14ac:dyDescent="0.3">
      <c r="A971">
        <v>19</v>
      </c>
      <c r="B971">
        <v>195000</v>
      </c>
      <c r="C971" t="s">
        <v>45</v>
      </c>
      <c r="D971" t="s">
        <v>9</v>
      </c>
      <c r="E971">
        <v>1.185567</v>
      </c>
    </row>
    <row r="972" spans="1:5" hidden="1" x14ac:dyDescent="0.3">
      <c r="A972">
        <v>19</v>
      </c>
      <c r="B972">
        <v>195000</v>
      </c>
      <c r="C972" t="s">
        <v>45</v>
      </c>
      <c r="D972" t="s">
        <v>10</v>
      </c>
      <c r="E972">
        <v>0.19470199999999999</v>
      </c>
    </row>
    <row r="973" spans="1:5" hidden="1" x14ac:dyDescent="0.3">
      <c r="A973">
        <v>19</v>
      </c>
      <c r="B973">
        <v>195000</v>
      </c>
      <c r="C973" t="s">
        <v>45</v>
      </c>
      <c r="D973" t="s">
        <v>11</v>
      </c>
      <c r="E973">
        <v>34138.758503999998</v>
      </c>
    </row>
    <row r="974" spans="1:5" hidden="1" x14ac:dyDescent="0.3">
      <c r="A974">
        <v>19</v>
      </c>
      <c r="B974">
        <v>195000</v>
      </c>
      <c r="C974" t="s">
        <v>45</v>
      </c>
      <c r="D974" t="s">
        <v>12</v>
      </c>
      <c r="E974">
        <v>44388.871778000001</v>
      </c>
    </row>
    <row r="975" spans="1:5" hidden="1" x14ac:dyDescent="0.3">
      <c r="A975">
        <v>19</v>
      </c>
      <c r="B975">
        <v>195000</v>
      </c>
      <c r="C975" t="s">
        <v>45</v>
      </c>
      <c r="D975" t="s">
        <v>13</v>
      </c>
      <c r="E975">
        <v>35431.339846000003</v>
      </c>
    </row>
    <row r="976" spans="1:5" hidden="1" x14ac:dyDescent="0.3">
      <c r="A976">
        <v>19</v>
      </c>
      <c r="B976">
        <v>195000</v>
      </c>
      <c r="C976" t="s">
        <v>45</v>
      </c>
      <c r="D976" t="s">
        <v>14</v>
      </c>
      <c r="E976">
        <v>85.697547999999998</v>
      </c>
    </row>
    <row r="977" spans="1:5" hidden="1" x14ac:dyDescent="0.3">
      <c r="A977">
        <v>19</v>
      </c>
      <c r="B977">
        <v>195000</v>
      </c>
      <c r="C977" t="s">
        <v>45</v>
      </c>
      <c r="D977" t="s">
        <v>15</v>
      </c>
      <c r="E977">
        <v>7.7939999999999995E-2</v>
      </c>
    </row>
    <row r="978" spans="1:5" hidden="1" x14ac:dyDescent="0.3">
      <c r="A978">
        <v>19</v>
      </c>
      <c r="B978">
        <v>195000</v>
      </c>
      <c r="C978" t="s">
        <v>45</v>
      </c>
      <c r="D978" t="s">
        <v>16</v>
      </c>
      <c r="E978">
        <v>40332.828821000003</v>
      </c>
    </row>
    <row r="979" spans="1:5" hidden="1" x14ac:dyDescent="0.3">
      <c r="A979">
        <v>19</v>
      </c>
      <c r="B979">
        <v>195000</v>
      </c>
      <c r="C979" t="s">
        <v>45</v>
      </c>
      <c r="D979" t="s">
        <v>17</v>
      </c>
      <c r="E979">
        <v>0.16161400000000001</v>
      </c>
    </row>
    <row r="980" spans="1:5" hidden="1" x14ac:dyDescent="0.3">
      <c r="A980">
        <v>19</v>
      </c>
      <c r="B980">
        <v>195000</v>
      </c>
      <c r="C980" t="s">
        <v>45</v>
      </c>
      <c r="D980" t="s">
        <v>18</v>
      </c>
      <c r="E980">
        <v>88.815511999999998</v>
      </c>
    </row>
    <row r="981" spans="1:5" hidden="1" x14ac:dyDescent="0.3">
      <c r="A981">
        <v>19</v>
      </c>
      <c r="B981">
        <v>195000</v>
      </c>
      <c r="C981" t="s">
        <v>45</v>
      </c>
      <c r="D981" t="s">
        <v>19</v>
      </c>
      <c r="E981">
        <v>8833.3317480000005</v>
      </c>
    </row>
    <row r="982" spans="1:5" hidden="1" x14ac:dyDescent="0.3">
      <c r="A982">
        <v>19</v>
      </c>
      <c r="B982">
        <v>195000</v>
      </c>
      <c r="C982" t="s">
        <v>45</v>
      </c>
      <c r="D982" t="s">
        <v>20</v>
      </c>
      <c r="E982">
        <v>15166.666594</v>
      </c>
    </row>
    <row r="983" spans="1:5" hidden="1" x14ac:dyDescent="0.3">
      <c r="A983">
        <v>19</v>
      </c>
      <c r="B983">
        <v>195000</v>
      </c>
      <c r="C983" t="s">
        <v>45</v>
      </c>
      <c r="D983" t="s">
        <v>21</v>
      </c>
      <c r="E983">
        <v>3.9370000000000002E-2</v>
      </c>
    </row>
    <row r="984" spans="1:5" hidden="1" x14ac:dyDescent="0.3">
      <c r="A984">
        <v>19</v>
      </c>
      <c r="B984">
        <v>195000</v>
      </c>
      <c r="C984" t="s">
        <v>45</v>
      </c>
      <c r="D984" t="s">
        <v>22</v>
      </c>
      <c r="E984">
        <v>504.13167399999998</v>
      </c>
    </row>
    <row r="985" spans="1:5" hidden="1" x14ac:dyDescent="0.3">
      <c r="A985">
        <v>19</v>
      </c>
      <c r="B985">
        <v>195000</v>
      </c>
      <c r="C985" t="s">
        <v>45</v>
      </c>
      <c r="D985" t="s">
        <v>23</v>
      </c>
      <c r="E985">
        <v>4444.4448819999998</v>
      </c>
    </row>
    <row r="986" spans="1:5" hidden="1" x14ac:dyDescent="0.3">
      <c r="A986">
        <v>19</v>
      </c>
      <c r="B986">
        <v>195000</v>
      </c>
      <c r="C986" t="s">
        <v>45</v>
      </c>
      <c r="D986" t="s">
        <v>24</v>
      </c>
      <c r="E986">
        <v>8.0717999999999998E-2</v>
      </c>
    </row>
    <row r="987" spans="1:5" hidden="1" x14ac:dyDescent="0.3">
      <c r="A987">
        <v>19</v>
      </c>
      <c r="B987">
        <v>195000</v>
      </c>
      <c r="C987" t="s">
        <v>45</v>
      </c>
      <c r="D987" t="s">
        <v>25</v>
      </c>
      <c r="E987">
        <v>0.63422900000000004</v>
      </c>
    </row>
    <row r="988" spans="1:5" hidden="1" x14ac:dyDescent="0.3">
      <c r="A988">
        <v>19</v>
      </c>
      <c r="B988">
        <v>195000</v>
      </c>
      <c r="C988" t="s">
        <v>45</v>
      </c>
      <c r="D988" t="s">
        <v>26</v>
      </c>
      <c r="E988">
        <v>5.3872000000000003E-2</v>
      </c>
    </row>
    <row r="989" spans="1:5" x14ac:dyDescent="0.3">
      <c r="A989">
        <v>19</v>
      </c>
      <c r="B989">
        <v>195000</v>
      </c>
      <c r="C989" t="s">
        <v>46</v>
      </c>
      <c r="D989" t="s">
        <v>6</v>
      </c>
      <c r="E989">
        <v>54.987817</v>
      </c>
    </row>
    <row r="990" spans="1:5" hidden="1" x14ac:dyDescent="0.3">
      <c r="A990">
        <v>19</v>
      </c>
      <c r="B990">
        <v>195000</v>
      </c>
      <c r="C990" t="s">
        <v>46</v>
      </c>
      <c r="D990" t="s">
        <v>7</v>
      </c>
      <c r="E990">
        <v>36555.341395000003</v>
      </c>
    </row>
    <row r="991" spans="1:5" hidden="1" x14ac:dyDescent="0.3">
      <c r="A991">
        <v>19</v>
      </c>
      <c r="B991">
        <v>195000</v>
      </c>
      <c r="C991" t="s">
        <v>46</v>
      </c>
      <c r="D991" t="s">
        <v>8</v>
      </c>
      <c r="E991">
        <v>194.44479999999999</v>
      </c>
    </row>
    <row r="992" spans="1:5" hidden="1" x14ac:dyDescent="0.3">
      <c r="A992">
        <v>19</v>
      </c>
      <c r="B992">
        <v>195000</v>
      </c>
      <c r="C992" t="s">
        <v>46</v>
      </c>
      <c r="D992" t="s">
        <v>9</v>
      </c>
      <c r="E992">
        <v>34138.484483</v>
      </c>
    </row>
    <row r="993" spans="1:5" hidden="1" x14ac:dyDescent="0.3">
      <c r="A993">
        <v>19</v>
      </c>
      <c r="B993">
        <v>195000</v>
      </c>
      <c r="C993" t="s">
        <v>46</v>
      </c>
      <c r="D993" t="s">
        <v>10</v>
      </c>
      <c r="E993">
        <v>17248.715411000001</v>
      </c>
    </row>
    <row r="994" spans="1:5" hidden="1" x14ac:dyDescent="0.3">
      <c r="A994">
        <v>19</v>
      </c>
      <c r="B994">
        <v>195000</v>
      </c>
      <c r="C994" t="s">
        <v>46</v>
      </c>
      <c r="D994" t="s">
        <v>11</v>
      </c>
      <c r="E994">
        <v>28361.112857</v>
      </c>
    </row>
    <row r="995" spans="1:5" hidden="1" x14ac:dyDescent="0.3">
      <c r="A995">
        <v>19</v>
      </c>
      <c r="B995">
        <v>195000</v>
      </c>
      <c r="C995" t="s">
        <v>46</v>
      </c>
      <c r="D995" t="s">
        <v>12</v>
      </c>
      <c r="E995">
        <v>12555.557360000001</v>
      </c>
    </row>
    <row r="996" spans="1:5" hidden="1" x14ac:dyDescent="0.3">
      <c r="A996">
        <v>19</v>
      </c>
      <c r="B996">
        <v>195000</v>
      </c>
      <c r="C996" t="s">
        <v>46</v>
      </c>
      <c r="D996" t="s">
        <v>13</v>
      </c>
      <c r="E996">
        <v>14172.546496000001</v>
      </c>
    </row>
    <row r="997" spans="1:5" hidden="1" x14ac:dyDescent="0.3">
      <c r="A997">
        <v>19</v>
      </c>
      <c r="B997">
        <v>195000</v>
      </c>
      <c r="C997" t="s">
        <v>46</v>
      </c>
      <c r="D997" t="s">
        <v>14</v>
      </c>
      <c r="E997">
        <v>6388.890633</v>
      </c>
    </row>
    <row r="998" spans="1:5" hidden="1" x14ac:dyDescent="0.3">
      <c r="A998">
        <v>19</v>
      </c>
      <c r="B998">
        <v>195000</v>
      </c>
      <c r="C998" t="s">
        <v>46</v>
      </c>
      <c r="D998" t="s">
        <v>15</v>
      </c>
      <c r="E998">
        <v>0.38359300000000002</v>
      </c>
    </row>
    <row r="999" spans="1:5" hidden="1" x14ac:dyDescent="0.3">
      <c r="A999">
        <v>19</v>
      </c>
      <c r="B999">
        <v>195000</v>
      </c>
      <c r="C999" t="s">
        <v>46</v>
      </c>
      <c r="D999" t="s">
        <v>16</v>
      </c>
      <c r="E999">
        <v>31515.350533000001</v>
      </c>
    </row>
    <row r="1000" spans="1:5" hidden="1" x14ac:dyDescent="0.3">
      <c r="A1000">
        <v>19</v>
      </c>
      <c r="B1000">
        <v>195000</v>
      </c>
      <c r="C1000" t="s">
        <v>46</v>
      </c>
      <c r="D1000" t="s">
        <v>17</v>
      </c>
      <c r="E1000">
        <v>0.16281999999999999</v>
      </c>
    </row>
    <row r="1001" spans="1:5" hidden="1" x14ac:dyDescent="0.3">
      <c r="A1001">
        <v>19</v>
      </c>
      <c r="B1001">
        <v>195000</v>
      </c>
      <c r="C1001" t="s">
        <v>46</v>
      </c>
      <c r="D1001" t="s">
        <v>18</v>
      </c>
      <c r="E1001">
        <v>44.418698999999997</v>
      </c>
    </row>
    <row r="1002" spans="1:5" hidden="1" x14ac:dyDescent="0.3">
      <c r="A1002">
        <v>19</v>
      </c>
      <c r="B1002">
        <v>195000</v>
      </c>
      <c r="C1002" t="s">
        <v>46</v>
      </c>
      <c r="D1002" t="s">
        <v>19</v>
      </c>
      <c r="E1002">
        <v>4222.2241620000004</v>
      </c>
    </row>
    <row r="1003" spans="1:5" hidden="1" x14ac:dyDescent="0.3">
      <c r="A1003">
        <v>19</v>
      </c>
      <c r="B1003">
        <v>195000</v>
      </c>
      <c r="C1003" t="s">
        <v>46</v>
      </c>
      <c r="D1003" t="s">
        <v>20</v>
      </c>
      <c r="E1003">
        <v>6055.5577350000003</v>
      </c>
    </row>
    <row r="1004" spans="1:5" hidden="1" x14ac:dyDescent="0.3">
      <c r="A1004">
        <v>19</v>
      </c>
      <c r="B1004">
        <v>195000</v>
      </c>
      <c r="C1004" t="s">
        <v>46</v>
      </c>
      <c r="D1004" t="s">
        <v>21</v>
      </c>
      <c r="E1004">
        <v>0.14940600000000001</v>
      </c>
    </row>
    <row r="1005" spans="1:5" hidden="1" x14ac:dyDescent="0.3">
      <c r="A1005">
        <v>19</v>
      </c>
      <c r="B1005">
        <v>195000</v>
      </c>
      <c r="C1005" t="s">
        <v>46</v>
      </c>
      <c r="D1005" t="s">
        <v>22</v>
      </c>
      <c r="E1005">
        <v>268.87957699999998</v>
      </c>
    </row>
    <row r="1006" spans="1:5" hidden="1" x14ac:dyDescent="0.3">
      <c r="A1006">
        <v>19</v>
      </c>
      <c r="B1006">
        <v>195000</v>
      </c>
      <c r="C1006" t="s">
        <v>46</v>
      </c>
      <c r="D1006" t="s">
        <v>23</v>
      </c>
      <c r="E1006">
        <v>1722.224575</v>
      </c>
    </row>
    <row r="1007" spans="1:5" hidden="1" x14ac:dyDescent="0.3">
      <c r="A1007">
        <v>19</v>
      </c>
      <c r="B1007">
        <v>195000</v>
      </c>
      <c r="C1007" t="s">
        <v>46</v>
      </c>
      <c r="D1007" t="s">
        <v>24</v>
      </c>
      <c r="E1007">
        <v>0.41498099999999999</v>
      </c>
    </row>
    <row r="1008" spans="1:5" hidden="1" x14ac:dyDescent="0.3">
      <c r="A1008">
        <v>19</v>
      </c>
      <c r="B1008">
        <v>195000</v>
      </c>
      <c r="C1008" t="s">
        <v>46</v>
      </c>
      <c r="D1008" t="s">
        <v>25</v>
      </c>
      <c r="E1008">
        <v>1500.001593</v>
      </c>
    </row>
    <row r="1009" spans="1:5" hidden="1" x14ac:dyDescent="0.3">
      <c r="A1009">
        <v>19</v>
      </c>
      <c r="B1009">
        <v>195000</v>
      </c>
      <c r="C1009" t="s">
        <v>46</v>
      </c>
      <c r="D1009" t="s">
        <v>26</v>
      </c>
      <c r="E1009">
        <v>0.21226800000000001</v>
      </c>
    </row>
    <row r="1010" spans="1:5" hidden="1" x14ac:dyDescent="0.3">
      <c r="A1010">
        <v>19</v>
      </c>
      <c r="B1010">
        <v>195000</v>
      </c>
      <c r="C1010" t="s">
        <v>47</v>
      </c>
      <c r="D1010" t="s">
        <v>6</v>
      </c>
      <c r="E1010">
        <v>13.743342999999999</v>
      </c>
    </row>
    <row r="1011" spans="1:5" hidden="1" x14ac:dyDescent="0.3">
      <c r="A1011">
        <v>19</v>
      </c>
      <c r="B1011">
        <v>195000</v>
      </c>
      <c r="C1011" t="s">
        <v>47</v>
      </c>
      <c r="D1011" t="s">
        <v>7</v>
      </c>
      <c r="E1011">
        <v>22194.445924</v>
      </c>
    </row>
    <row r="1012" spans="1:5" hidden="1" x14ac:dyDescent="0.3">
      <c r="A1012">
        <v>19</v>
      </c>
      <c r="B1012">
        <v>195000</v>
      </c>
      <c r="C1012" t="s">
        <v>47</v>
      </c>
      <c r="D1012" t="s">
        <v>8</v>
      </c>
      <c r="E1012">
        <v>194.44587899999999</v>
      </c>
    </row>
    <row r="1013" spans="1:5" hidden="1" x14ac:dyDescent="0.3">
      <c r="A1013">
        <v>19</v>
      </c>
      <c r="B1013">
        <v>195000</v>
      </c>
      <c r="C1013" t="s">
        <v>47</v>
      </c>
      <c r="D1013" t="s">
        <v>9</v>
      </c>
      <c r="E1013">
        <v>34138.484536999997</v>
      </c>
    </row>
    <row r="1014" spans="1:5" hidden="1" x14ac:dyDescent="0.3">
      <c r="A1014">
        <v>19</v>
      </c>
      <c r="B1014">
        <v>195000</v>
      </c>
      <c r="C1014" t="s">
        <v>47</v>
      </c>
      <c r="D1014" t="s">
        <v>10</v>
      </c>
      <c r="E1014">
        <v>77249.974413999997</v>
      </c>
    </row>
    <row r="1015" spans="1:5" hidden="1" x14ac:dyDescent="0.3">
      <c r="A1015">
        <v>19</v>
      </c>
      <c r="B1015">
        <v>195000</v>
      </c>
      <c r="C1015" t="s">
        <v>47</v>
      </c>
      <c r="D1015" t="s">
        <v>11</v>
      </c>
      <c r="E1015">
        <v>24709.968029</v>
      </c>
    </row>
    <row r="1016" spans="1:5" hidden="1" x14ac:dyDescent="0.3">
      <c r="A1016">
        <v>19</v>
      </c>
      <c r="B1016">
        <v>195000</v>
      </c>
      <c r="C1016" t="s">
        <v>47</v>
      </c>
      <c r="D1016" t="s">
        <v>12</v>
      </c>
      <c r="E1016">
        <v>3166.6681199999998</v>
      </c>
    </row>
    <row r="1017" spans="1:5" hidden="1" x14ac:dyDescent="0.3">
      <c r="A1017">
        <v>19</v>
      </c>
      <c r="B1017">
        <v>195000</v>
      </c>
      <c r="C1017" t="s">
        <v>47</v>
      </c>
      <c r="D1017" t="s">
        <v>13</v>
      </c>
      <c r="E1017">
        <v>3543.1404440000001</v>
      </c>
    </row>
    <row r="1018" spans="1:5" hidden="1" x14ac:dyDescent="0.3">
      <c r="A1018">
        <v>19</v>
      </c>
      <c r="B1018">
        <v>195000</v>
      </c>
      <c r="C1018" t="s">
        <v>47</v>
      </c>
      <c r="D1018" t="s">
        <v>14</v>
      </c>
      <c r="E1018">
        <v>1916.668148</v>
      </c>
    </row>
    <row r="1019" spans="1:5" hidden="1" x14ac:dyDescent="0.3">
      <c r="A1019">
        <v>19</v>
      </c>
      <c r="B1019">
        <v>195000</v>
      </c>
      <c r="C1019" t="s">
        <v>47</v>
      </c>
      <c r="D1019" t="s">
        <v>15</v>
      </c>
      <c r="E1019">
        <v>2.3814820000000001</v>
      </c>
    </row>
    <row r="1020" spans="1:5" hidden="1" x14ac:dyDescent="0.3">
      <c r="A1020">
        <v>19</v>
      </c>
      <c r="B1020">
        <v>195000</v>
      </c>
      <c r="C1020" t="s">
        <v>47</v>
      </c>
      <c r="D1020" t="s">
        <v>16</v>
      </c>
      <c r="E1020">
        <v>18386.122006000001</v>
      </c>
    </row>
    <row r="1021" spans="1:5" hidden="1" x14ac:dyDescent="0.3">
      <c r="A1021">
        <v>19</v>
      </c>
      <c r="B1021">
        <v>195000</v>
      </c>
      <c r="C1021" t="s">
        <v>47</v>
      </c>
      <c r="D1021" t="s">
        <v>17</v>
      </c>
      <c r="E1021">
        <v>55.556609000000002</v>
      </c>
    </row>
    <row r="1022" spans="1:5" hidden="1" x14ac:dyDescent="0.3">
      <c r="A1022">
        <v>19</v>
      </c>
      <c r="B1022">
        <v>195000</v>
      </c>
      <c r="C1022" t="s">
        <v>47</v>
      </c>
      <c r="D1022" t="s">
        <v>18</v>
      </c>
      <c r="E1022">
        <v>8.8906589999999994</v>
      </c>
    </row>
    <row r="1023" spans="1:5" hidden="1" x14ac:dyDescent="0.3">
      <c r="A1023">
        <v>19</v>
      </c>
      <c r="B1023">
        <v>195000</v>
      </c>
      <c r="C1023" t="s">
        <v>47</v>
      </c>
      <c r="D1023" t="s">
        <v>19</v>
      </c>
      <c r="E1023">
        <v>1277.779344</v>
      </c>
    </row>
    <row r="1024" spans="1:5" hidden="1" x14ac:dyDescent="0.3">
      <c r="A1024">
        <v>19</v>
      </c>
      <c r="B1024">
        <v>195000</v>
      </c>
      <c r="C1024" t="s">
        <v>47</v>
      </c>
      <c r="D1024" t="s">
        <v>20</v>
      </c>
      <c r="E1024">
        <v>1472.2238400000001</v>
      </c>
    </row>
    <row r="1025" spans="1:5" hidden="1" x14ac:dyDescent="0.3">
      <c r="A1025">
        <v>19</v>
      </c>
      <c r="B1025">
        <v>195000</v>
      </c>
      <c r="C1025" t="s">
        <v>47</v>
      </c>
      <c r="D1025" t="s">
        <v>21</v>
      </c>
      <c r="E1025">
        <v>0.220335</v>
      </c>
    </row>
    <row r="1026" spans="1:5" hidden="1" x14ac:dyDescent="0.3">
      <c r="A1026">
        <v>19</v>
      </c>
      <c r="B1026">
        <v>195000</v>
      </c>
      <c r="C1026" t="s">
        <v>47</v>
      </c>
      <c r="D1026" t="s">
        <v>22</v>
      </c>
      <c r="E1026">
        <v>100.829431</v>
      </c>
    </row>
    <row r="1027" spans="1:5" hidden="1" x14ac:dyDescent="0.3">
      <c r="A1027">
        <v>19</v>
      </c>
      <c r="B1027">
        <v>195000</v>
      </c>
      <c r="C1027" t="s">
        <v>47</v>
      </c>
      <c r="D1027" t="s">
        <v>23</v>
      </c>
      <c r="E1027">
        <v>388.89062100000001</v>
      </c>
    </row>
    <row r="1028" spans="1:5" hidden="1" x14ac:dyDescent="0.3">
      <c r="A1028">
        <v>19</v>
      </c>
      <c r="B1028">
        <v>195000</v>
      </c>
      <c r="C1028" t="s">
        <v>47</v>
      </c>
      <c r="D1028" t="s">
        <v>24</v>
      </c>
      <c r="E1028">
        <v>5818.1101010000002</v>
      </c>
    </row>
    <row r="1029" spans="1:5" hidden="1" x14ac:dyDescent="0.3">
      <c r="A1029">
        <v>19</v>
      </c>
      <c r="B1029">
        <v>195000</v>
      </c>
      <c r="C1029" t="s">
        <v>47</v>
      </c>
      <c r="D1029" t="s">
        <v>25</v>
      </c>
      <c r="E1029">
        <v>361.11265500000002</v>
      </c>
    </row>
    <row r="1030" spans="1:5" hidden="1" x14ac:dyDescent="0.3">
      <c r="A1030">
        <v>19</v>
      </c>
      <c r="B1030">
        <v>195000</v>
      </c>
      <c r="C1030" t="s">
        <v>47</v>
      </c>
      <c r="D1030" t="s">
        <v>26</v>
      </c>
      <c r="E1030">
        <v>0.38648900000000003</v>
      </c>
    </row>
    <row r="1031" spans="1:5" hidden="1" x14ac:dyDescent="0.3">
      <c r="A1031">
        <v>20</v>
      </c>
      <c r="B1031">
        <v>200000</v>
      </c>
      <c r="C1031" t="s">
        <v>45</v>
      </c>
      <c r="D1031" t="s">
        <v>6</v>
      </c>
      <c r="E1031">
        <v>0.230542</v>
      </c>
    </row>
    <row r="1032" spans="1:5" hidden="1" x14ac:dyDescent="0.3">
      <c r="A1032">
        <v>20</v>
      </c>
      <c r="B1032">
        <v>200000</v>
      </c>
      <c r="C1032" t="s">
        <v>45</v>
      </c>
      <c r="D1032" t="s">
        <v>7</v>
      </c>
      <c r="E1032">
        <v>16535.981344</v>
      </c>
    </row>
    <row r="1033" spans="1:5" hidden="1" x14ac:dyDescent="0.3">
      <c r="A1033">
        <v>20</v>
      </c>
      <c r="B1033">
        <v>200000</v>
      </c>
      <c r="C1033" t="s">
        <v>45</v>
      </c>
      <c r="D1033" t="s">
        <v>8</v>
      </c>
      <c r="E1033">
        <v>0.329239</v>
      </c>
    </row>
    <row r="1034" spans="1:5" hidden="1" x14ac:dyDescent="0.3">
      <c r="A1034">
        <v>20</v>
      </c>
      <c r="B1034">
        <v>200000</v>
      </c>
      <c r="C1034" t="s">
        <v>45</v>
      </c>
      <c r="D1034" t="s">
        <v>9</v>
      </c>
      <c r="E1034">
        <v>1.2982929999999999</v>
      </c>
    </row>
    <row r="1035" spans="1:5" hidden="1" x14ac:dyDescent="0.3">
      <c r="A1035">
        <v>20</v>
      </c>
      <c r="B1035">
        <v>200000</v>
      </c>
      <c r="C1035" t="s">
        <v>45</v>
      </c>
      <c r="D1035" t="s">
        <v>10</v>
      </c>
      <c r="E1035">
        <v>0.227965</v>
      </c>
    </row>
    <row r="1036" spans="1:5" hidden="1" x14ac:dyDescent="0.3">
      <c r="A1036">
        <v>20</v>
      </c>
      <c r="B1036">
        <v>200000</v>
      </c>
      <c r="C1036" t="s">
        <v>45</v>
      </c>
      <c r="D1036" t="s">
        <v>11</v>
      </c>
      <c r="E1036">
        <v>34138.888583</v>
      </c>
    </row>
    <row r="1037" spans="1:5" hidden="1" x14ac:dyDescent="0.3">
      <c r="A1037">
        <v>20</v>
      </c>
      <c r="B1037">
        <v>200000</v>
      </c>
      <c r="C1037" t="s">
        <v>45</v>
      </c>
      <c r="D1037" t="s">
        <v>12</v>
      </c>
      <c r="E1037">
        <v>44388.867947999999</v>
      </c>
    </row>
    <row r="1038" spans="1:5" hidden="1" x14ac:dyDescent="0.3">
      <c r="A1038">
        <v>20</v>
      </c>
      <c r="B1038">
        <v>200000</v>
      </c>
      <c r="C1038" t="s">
        <v>45</v>
      </c>
      <c r="D1038" t="s">
        <v>13</v>
      </c>
      <c r="E1038">
        <v>35431.322698000004</v>
      </c>
    </row>
    <row r="1039" spans="1:5" hidden="1" x14ac:dyDescent="0.3">
      <c r="A1039">
        <v>20</v>
      </c>
      <c r="B1039">
        <v>200000</v>
      </c>
      <c r="C1039" t="s">
        <v>45</v>
      </c>
      <c r="D1039" t="s">
        <v>14</v>
      </c>
      <c r="E1039">
        <v>131.595518</v>
      </c>
    </row>
    <row r="1040" spans="1:5" hidden="1" x14ac:dyDescent="0.3">
      <c r="A1040">
        <v>20</v>
      </c>
      <c r="B1040">
        <v>200000</v>
      </c>
      <c r="C1040" t="s">
        <v>45</v>
      </c>
      <c r="D1040" t="s">
        <v>15</v>
      </c>
      <c r="E1040">
        <v>8.9171E-2</v>
      </c>
    </row>
    <row r="1041" spans="1:5" hidden="1" x14ac:dyDescent="0.3">
      <c r="A1041">
        <v>20</v>
      </c>
      <c r="B1041">
        <v>200000</v>
      </c>
      <c r="C1041" t="s">
        <v>45</v>
      </c>
      <c r="D1041" t="s">
        <v>16</v>
      </c>
      <c r="E1041">
        <v>40332.862787999999</v>
      </c>
    </row>
    <row r="1042" spans="1:5" hidden="1" x14ac:dyDescent="0.3">
      <c r="A1042">
        <v>20</v>
      </c>
      <c r="B1042">
        <v>200000</v>
      </c>
      <c r="C1042" t="s">
        <v>45</v>
      </c>
      <c r="D1042" t="s">
        <v>17</v>
      </c>
      <c r="E1042">
        <v>0.178674</v>
      </c>
    </row>
    <row r="1043" spans="1:5" hidden="1" x14ac:dyDescent="0.3">
      <c r="A1043">
        <v>20</v>
      </c>
      <c r="B1043">
        <v>200000</v>
      </c>
      <c r="C1043" t="s">
        <v>45</v>
      </c>
      <c r="D1043" t="s">
        <v>18</v>
      </c>
      <c r="E1043">
        <v>88.756618000000003</v>
      </c>
    </row>
    <row r="1044" spans="1:5" hidden="1" x14ac:dyDescent="0.3">
      <c r="A1044">
        <v>20</v>
      </c>
      <c r="B1044">
        <v>200000</v>
      </c>
      <c r="C1044" t="s">
        <v>45</v>
      </c>
      <c r="D1044" t="s">
        <v>19</v>
      </c>
      <c r="E1044">
        <v>8833.3303340000002</v>
      </c>
    </row>
    <row r="1045" spans="1:5" hidden="1" x14ac:dyDescent="0.3">
      <c r="A1045">
        <v>20</v>
      </c>
      <c r="B1045">
        <v>200000</v>
      </c>
      <c r="C1045" t="s">
        <v>45</v>
      </c>
      <c r="D1045" t="s">
        <v>20</v>
      </c>
      <c r="E1045">
        <v>15166.666660999999</v>
      </c>
    </row>
    <row r="1046" spans="1:5" hidden="1" x14ac:dyDescent="0.3">
      <c r="A1046">
        <v>20</v>
      </c>
      <c r="B1046">
        <v>200000</v>
      </c>
      <c r="C1046" t="s">
        <v>45</v>
      </c>
      <c r="D1046" t="s">
        <v>21</v>
      </c>
      <c r="E1046">
        <v>4.8689000000000003E-2</v>
      </c>
    </row>
    <row r="1047" spans="1:5" hidden="1" x14ac:dyDescent="0.3">
      <c r="A1047">
        <v>20</v>
      </c>
      <c r="B1047">
        <v>200000</v>
      </c>
      <c r="C1047" t="s">
        <v>45</v>
      </c>
      <c r="D1047" t="s">
        <v>22</v>
      </c>
      <c r="E1047">
        <v>504.03139099999999</v>
      </c>
    </row>
    <row r="1048" spans="1:5" hidden="1" x14ac:dyDescent="0.3">
      <c r="A1048">
        <v>20</v>
      </c>
      <c r="B1048">
        <v>200000</v>
      </c>
      <c r="C1048" t="s">
        <v>45</v>
      </c>
      <c r="D1048" t="s">
        <v>23</v>
      </c>
      <c r="E1048">
        <v>4444.4449679999998</v>
      </c>
    </row>
    <row r="1049" spans="1:5" hidden="1" x14ac:dyDescent="0.3">
      <c r="A1049">
        <v>20</v>
      </c>
      <c r="B1049">
        <v>200000</v>
      </c>
      <c r="C1049" t="s">
        <v>45</v>
      </c>
      <c r="D1049" t="s">
        <v>24</v>
      </c>
      <c r="E1049">
        <v>9.2219999999999996E-2</v>
      </c>
    </row>
    <row r="1050" spans="1:5" hidden="1" x14ac:dyDescent="0.3">
      <c r="A1050">
        <v>20</v>
      </c>
      <c r="B1050">
        <v>200000</v>
      </c>
      <c r="C1050" t="s">
        <v>45</v>
      </c>
      <c r="D1050" t="s">
        <v>25</v>
      </c>
      <c r="E1050">
        <v>0.72416000000000003</v>
      </c>
    </row>
    <row r="1051" spans="1:5" hidden="1" x14ac:dyDescent="0.3">
      <c r="A1051">
        <v>20</v>
      </c>
      <c r="B1051">
        <v>200000</v>
      </c>
      <c r="C1051" t="s">
        <v>45</v>
      </c>
      <c r="D1051" t="s">
        <v>26</v>
      </c>
      <c r="E1051">
        <v>5.9317000000000002E-2</v>
      </c>
    </row>
    <row r="1052" spans="1:5" x14ac:dyDescent="0.3">
      <c r="A1052">
        <v>20</v>
      </c>
      <c r="B1052">
        <v>200000</v>
      </c>
      <c r="C1052" t="s">
        <v>46</v>
      </c>
      <c r="D1052" t="s">
        <v>6</v>
      </c>
      <c r="E1052">
        <v>54.987141000000001</v>
      </c>
    </row>
    <row r="1053" spans="1:5" hidden="1" x14ac:dyDescent="0.3">
      <c r="A1053">
        <v>20</v>
      </c>
      <c r="B1053">
        <v>200000</v>
      </c>
      <c r="C1053" t="s">
        <v>46</v>
      </c>
      <c r="D1053" t="s">
        <v>7</v>
      </c>
      <c r="E1053">
        <v>36555.557399999998</v>
      </c>
    </row>
    <row r="1054" spans="1:5" hidden="1" x14ac:dyDescent="0.3">
      <c r="A1054">
        <v>20</v>
      </c>
      <c r="B1054">
        <v>200000</v>
      </c>
      <c r="C1054" t="s">
        <v>46</v>
      </c>
      <c r="D1054" t="s">
        <v>8</v>
      </c>
      <c r="E1054">
        <v>194.44374500000001</v>
      </c>
    </row>
    <row r="1055" spans="1:5" hidden="1" x14ac:dyDescent="0.3">
      <c r="A1055">
        <v>20</v>
      </c>
      <c r="B1055">
        <v>200000</v>
      </c>
      <c r="C1055" t="s">
        <v>46</v>
      </c>
      <c r="D1055" t="s">
        <v>9</v>
      </c>
      <c r="E1055">
        <v>34138.484964000003</v>
      </c>
    </row>
    <row r="1056" spans="1:5" hidden="1" x14ac:dyDescent="0.3">
      <c r="A1056">
        <v>20</v>
      </c>
      <c r="B1056">
        <v>200000</v>
      </c>
      <c r="C1056" t="s">
        <v>46</v>
      </c>
      <c r="D1056" t="s">
        <v>10</v>
      </c>
      <c r="E1056">
        <v>22247.466779999999</v>
      </c>
    </row>
    <row r="1057" spans="1:5" hidden="1" x14ac:dyDescent="0.3">
      <c r="A1057">
        <v>20</v>
      </c>
      <c r="B1057">
        <v>200000</v>
      </c>
      <c r="C1057" t="s">
        <v>46</v>
      </c>
      <c r="D1057" t="s">
        <v>11</v>
      </c>
      <c r="E1057">
        <v>28361.111755000002</v>
      </c>
    </row>
    <row r="1058" spans="1:5" hidden="1" x14ac:dyDescent="0.3">
      <c r="A1058">
        <v>20</v>
      </c>
      <c r="B1058">
        <v>200000</v>
      </c>
      <c r="C1058" t="s">
        <v>46</v>
      </c>
      <c r="D1058" t="s">
        <v>12</v>
      </c>
      <c r="E1058">
        <v>12555.556348</v>
      </c>
    </row>
    <row r="1059" spans="1:5" hidden="1" x14ac:dyDescent="0.3">
      <c r="A1059">
        <v>20</v>
      </c>
      <c r="B1059">
        <v>200000</v>
      </c>
      <c r="C1059" t="s">
        <v>46</v>
      </c>
      <c r="D1059" t="s">
        <v>13</v>
      </c>
      <c r="E1059">
        <v>14172.545629</v>
      </c>
    </row>
    <row r="1060" spans="1:5" hidden="1" x14ac:dyDescent="0.3">
      <c r="A1060">
        <v>20</v>
      </c>
      <c r="B1060">
        <v>200000</v>
      </c>
      <c r="C1060" t="s">
        <v>46</v>
      </c>
      <c r="D1060" t="s">
        <v>14</v>
      </c>
      <c r="E1060">
        <v>6388.8898559999998</v>
      </c>
    </row>
    <row r="1061" spans="1:5" hidden="1" x14ac:dyDescent="0.3">
      <c r="A1061">
        <v>20</v>
      </c>
      <c r="B1061">
        <v>200000</v>
      </c>
      <c r="C1061" t="s">
        <v>46</v>
      </c>
      <c r="D1061" t="s">
        <v>15</v>
      </c>
      <c r="E1061">
        <v>0.49279400000000001</v>
      </c>
    </row>
    <row r="1062" spans="1:5" hidden="1" x14ac:dyDescent="0.3">
      <c r="A1062">
        <v>20</v>
      </c>
      <c r="B1062">
        <v>200000</v>
      </c>
      <c r="C1062" t="s">
        <v>46</v>
      </c>
      <c r="D1062" t="s">
        <v>16</v>
      </c>
      <c r="E1062">
        <v>31515.175979</v>
      </c>
    </row>
    <row r="1063" spans="1:5" hidden="1" x14ac:dyDescent="0.3">
      <c r="A1063">
        <v>20</v>
      </c>
      <c r="B1063">
        <v>200000</v>
      </c>
      <c r="C1063" t="s">
        <v>46</v>
      </c>
      <c r="D1063" t="s">
        <v>17</v>
      </c>
      <c r="E1063">
        <v>1.1051260000000001</v>
      </c>
    </row>
    <row r="1064" spans="1:5" hidden="1" x14ac:dyDescent="0.3">
      <c r="A1064">
        <v>20</v>
      </c>
      <c r="B1064">
        <v>200000</v>
      </c>
      <c r="C1064" t="s">
        <v>46</v>
      </c>
      <c r="D1064" t="s">
        <v>18</v>
      </c>
      <c r="E1064">
        <v>44.418056999999997</v>
      </c>
    </row>
    <row r="1065" spans="1:5" hidden="1" x14ac:dyDescent="0.3">
      <c r="A1065">
        <v>20</v>
      </c>
      <c r="B1065">
        <v>200000</v>
      </c>
      <c r="C1065" t="s">
        <v>46</v>
      </c>
      <c r="D1065" t="s">
        <v>19</v>
      </c>
      <c r="E1065">
        <v>4222.2234280000002</v>
      </c>
    </row>
    <row r="1066" spans="1:5" hidden="1" x14ac:dyDescent="0.3">
      <c r="A1066">
        <v>20</v>
      </c>
      <c r="B1066">
        <v>200000</v>
      </c>
      <c r="C1066" t="s">
        <v>46</v>
      </c>
      <c r="D1066" t="s">
        <v>20</v>
      </c>
      <c r="E1066">
        <v>6055.5570340000004</v>
      </c>
    </row>
    <row r="1067" spans="1:5" hidden="1" x14ac:dyDescent="0.3">
      <c r="A1067">
        <v>20</v>
      </c>
      <c r="B1067">
        <v>200000</v>
      </c>
      <c r="C1067" t="s">
        <v>46</v>
      </c>
      <c r="D1067" t="s">
        <v>21</v>
      </c>
      <c r="E1067">
        <v>0.12531700000000001</v>
      </c>
    </row>
    <row r="1068" spans="1:5" hidden="1" x14ac:dyDescent="0.3">
      <c r="A1068">
        <v>20</v>
      </c>
      <c r="B1068">
        <v>200000</v>
      </c>
      <c r="C1068" t="s">
        <v>46</v>
      </c>
      <c r="D1068" t="s">
        <v>22</v>
      </c>
      <c r="E1068">
        <v>268.87878999999998</v>
      </c>
    </row>
    <row r="1069" spans="1:5" hidden="1" x14ac:dyDescent="0.3">
      <c r="A1069">
        <v>20</v>
      </c>
      <c r="B1069">
        <v>200000</v>
      </c>
      <c r="C1069" t="s">
        <v>46</v>
      </c>
      <c r="D1069" t="s">
        <v>23</v>
      </c>
      <c r="E1069">
        <v>1722.2239810000001</v>
      </c>
    </row>
    <row r="1070" spans="1:5" hidden="1" x14ac:dyDescent="0.3">
      <c r="A1070">
        <v>20</v>
      </c>
      <c r="B1070">
        <v>200000</v>
      </c>
      <c r="C1070" t="s">
        <v>46</v>
      </c>
      <c r="D1070" t="s">
        <v>24</v>
      </c>
      <c r="E1070">
        <v>0.53368599999999999</v>
      </c>
    </row>
    <row r="1071" spans="1:5" hidden="1" x14ac:dyDescent="0.3">
      <c r="A1071">
        <v>20</v>
      </c>
      <c r="B1071">
        <v>200000</v>
      </c>
      <c r="C1071" t="s">
        <v>46</v>
      </c>
      <c r="D1071" t="s">
        <v>25</v>
      </c>
      <c r="E1071">
        <v>1500.0007680000001</v>
      </c>
    </row>
    <row r="1072" spans="1:5" hidden="1" x14ac:dyDescent="0.3">
      <c r="A1072">
        <v>20</v>
      </c>
      <c r="B1072">
        <v>200000</v>
      </c>
      <c r="C1072" t="s">
        <v>46</v>
      </c>
      <c r="D1072" t="s">
        <v>26</v>
      </c>
      <c r="E1072">
        <v>0.27353100000000002</v>
      </c>
    </row>
    <row r="1073" spans="1:5" hidden="1" x14ac:dyDescent="0.3">
      <c r="A1073">
        <v>20</v>
      </c>
      <c r="B1073">
        <v>200000</v>
      </c>
      <c r="C1073" t="s">
        <v>47</v>
      </c>
      <c r="D1073" t="s">
        <v>6</v>
      </c>
      <c r="E1073">
        <v>13.742084999999999</v>
      </c>
    </row>
    <row r="1074" spans="1:5" hidden="1" x14ac:dyDescent="0.3">
      <c r="A1074">
        <v>20</v>
      </c>
      <c r="B1074">
        <v>200000</v>
      </c>
      <c r="C1074" t="s">
        <v>47</v>
      </c>
      <c r="D1074" t="s">
        <v>7</v>
      </c>
      <c r="E1074">
        <v>22194.444958</v>
      </c>
    </row>
    <row r="1075" spans="1:5" hidden="1" x14ac:dyDescent="0.3">
      <c r="A1075">
        <v>20</v>
      </c>
      <c r="B1075">
        <v>200000</v>
      </c>
      <c r="C1075" t="s">
        <v>47</v>
      </c>
      <c r="D1075" t="s">
        <v>8</v>
      </c>
      <c r="E1075">
        <v>194.44484800000001</v>
      </c>
    </row>
    <row r="1076" spans="1:5" hidden="1" x14ac:dyDescent="0.3">
      <c r="A1076">
        <v>20</v>
      </c>
      <c r="B1076">
        <v>200000</v>
      </c>
      <c r="C1076" t="s">
        <v>47</v>
      </c>
      <c r="D1076" t="s">
        <v>9</v>
      </c>
      <c r="E1076">
        <v>34138.483799000001</v>
      </c>
    </row>
    <row r="1077" spans="1:5" hidden="1" x14ac:dyDescent="0.3">
      <c r="A1077">
        <v>20</v>
      </c>
      <c r="B1077">
        <v>200000</v>
      </c>
      <c r="C1077" t="s">
        <v>47</v>
      </c>
      <c r="D1077" t="s">
        <v>10</v>
      </c>
      <c r="E1077">
        <v>77249.997875999994</v>
      </c>
    </row>
    <row r="1078" spans="1:5" hidden="1" x14ac:dyDescent="0.3">
      <c r="A1078">
        <v>20</v>
      </c>
      <c r="B1078">
        <v>200000</v>
      </c>
      <c r="C1078" t="s">
        <v>47</v>
      </c>
      <c r="D1078" t="s">
        <v>11</v>
      </c>
      <c r="E1078">
        <v>24709.967151000001</v>
      </c>
    </row>
    <row r="1079" spans="1:5" hidden="1" x14ac:dyDescent="0.3">
      <c r="A1079">
        <v>20</v>
      </c>
      <c r="B1079">
        <v>200000</v>
      </c>
      <c r="C1079" t="s">
        <v>47</v>
      </c>
      <c r="D1079" t="s">
        <v>12</v>
      </c>
      <c r="E1079">
        <v>3166.6671630000001</v>
      </c>
    </row>
    <row r="1080" spans="1:5" hidden="1" x14ac:dyDescent="0.3">
      <c r="A1080">
        <v>20</v>
      </c>
      <c r="B1080">
        <v>200000</v>
      </c>
      <c r="C1080" t="s">
        <v>47</v>
      </c>
      <c r="D1080" t="s">
        <v>13</v>
      </c>
      <c r="E1080">
        <v>3543.1394359999999</v>
      </c>
    </row>
    <row r="1081" spans="1:5" hidden="1" x14ac:dyDescent="0.3">
      <c r="A1081">
        <v>20</v>
      </c>
      <c r="B1081">
        <v>200000</v>
      </c>
      <c r="C1081" t="s">
        <v>47</v>
      </c>
      <c r="D1081" t="s">
        <v>14</v>
      </c>
      <c r="E1081">
        <v>1916.667181</v>
      </c>
    </row>
    <row r="1082" spans="1:5" hidden="1" x14ac:dyDescent="0.3">
      <c r="A1082">
        <v>20</v>
      </c>
      <c r="B1082">
        <v>200000</v>
      </c>
      <c r="C1082" t="s">
        <v>47</v>
      </c>
      <c r="D1082" t="s">
        <v>15</v>
      </c>
      <c r="E1082">
        <v>1.470105</v>
      </c>
    </row>
    <row r="1083" spans="1:5" hidden="1" x14ac:dyDescent="0.3">
      <c r="A1083">
        <v>20</v>
      </c>
      <c r="B1083">
        <v>200000</v>
      </c>
      <c r="C1083" t="s">
        <v>47</v>
      </c>
      <c r="D1083" t="s">
        <v>16</v>
      </c>
      <c r="E1083">
        <v>18386.152773999998</v>
      </c>
    </row>
    <row r="1084" spans="1:5" hidden="1" x14ac:dyDescent="0.3">
      <c r="A1084">
        <v>20</v>
      </c>
      <c r="B1084">
        <v>200000</v>
      </c>
      <c r="C1084" t="s">
        <v>47</v>
      </c>
      <c r="D1084" t="s">
        <v>17</v>
      </c>
      <c r="E1084">
        <v>55.555418000000003</v>
      </c>
    </row>
    <row r="1085" spans="1:5" hidden="1" x14ac:dyDescent="0.3">
      <c r="A1085">
        <v>20</v>
      </c>
      <c r="B1085">
        <v>200000</v>
      </c>
      <c r="C1085" t="s">
        <v>47</v>
      </c>
      <c r="D1085" t="s">
        <v>18</v>
      </c>
      <c r="E1085">
        <v>8.8894090000000006</v>
      </c>
    </row>
    <row r="1086" spans="1:5" hidden="1" x14ac:dyDescent="0.3">
      <c r="A1086">
        <v>20</v>
      </c>
      <c r="B1086">
        <v>200000</v>
      </c>
      <c r="C1086" t="s">
        <v>47</v>
      </c>
      <c r="D1086" t="s">
        <v>19</v>
      </c>
      <c r="E1086">
        <v>1277.778333</v>
      </c>
    </row>
    <row r="1087" spans="1:5" hidden="1" x14ac:dyDescent="0.3">
      <c r="A1087">
        <v>20</v>
      </c>
      <c r="B1087">
        <v>200000</v>
      </c>
      <c r="C1087" t="s">
        <v>47</v>
      </c>
      <c r="D1087" t="s">
        <v>20</v>
      </c>
      <c r="E1087">
        <v>1472.2228009999999</v>
      </c>
    </row>
    <row r="1088" spans="1:5" hidden="1" x14ac:dyDescent="0.3">
      <c r="A1088">
        <v>20</v>
      </c>
      <c r="B1088">
        <v>200000</v>
      </c>
      <c r="C1088" t="s">
        <v>47</v>
      </c>
      <c r="D1088" t="s">
        <v>21</v>
      </c>
      <c r="E1088">
        <v>0.10850600000000001</v>
      </c>
    </row>
    <row r="1089" spans="1:5" hidden="1" x14ac:dyDescent="0.3">
      <c r="A1089">
        <v>20</v>
      </c>
      <c r="B1089">
        <v>200000</v>
      </c>
      <c r="C1089" t="s">
        <v>47</v>
      </c>
      <c r="D1089" t="s">
        <v>22</v>
      </c>
      <c r="E1089">
        <v>100.828304</v>
      </c>
    </row>
    <row r="1090" spans="1:5" hidden="1" x14ac:dyDescent="0.3">
      <c r="A1090">
        <v>20</v>
      </c>
      <c r="B1090">
        <v>200000</v>
      </c>
      <c r="C1090" t="s">
        <v>47</v>
      </c>
      <c r="D1090" t="s">
        <v>23</v>
      </c>
      <c r="E1090">
        <v>388.88951600000001</v>
      </c>
    </row>
    <row r="1091" spans="1:5" hidden="1" x14ac:dyDescent="0.3">
      <c r="A1091">
        <v>20</v>
      </c>
      <c r="B1091">
        <v>200000</v>
      </c>
      <c r="C1091" t="s">
        <v>47</v>
      </c>
      <c r="D1091" t="s">
        <v>24</v>
      </c>
      <c r="E1091">
        <v>10819.245860999999</v>
      </c>
    </row>
    <row r="1092" spans="1:5" hidden="1" x14ac:dyDescent="0.3">
      <c r="A1092">
        <v>20</v>
      </c>
      <c r="B1092">
        <v>200000</v>
      </c>
      <c r="C1092" t="s">
        <v>47</v>
      </c>
      <c r="D1092" t="s">
        <v>25</v>
      </c>
      <c r="E1092">
        <v>361.111626</v>
      </c>
    </row>
    <row r="1093" spans="1:5" hidden="1" x14ac:dyDescent="0.3">
      <c r="A1093">
        <v>20</v>
      </c>
      <c r="B1093">
        <v>200000</v>
      </c>
      <c r="C1093" t="s">
        <v>47</v>
      </c>
      <c r="D1093" t="s">
        <v>26</v>
      </c>
      <c r="E1093">
        <v>0.209313</v>
      </c>
    </row>
    <row r="1094" spans="1:5" hidden="1" x14ac:dyDescent="0.3">
      <c r="A1094">
        <v>21</v>
      </c>
      <c r="B1094">
        <v>205000</v>
      </c>
      <c r="C1094" t="s">
        <v>45</v>
      </c>
      <c r="D1094" t="s">
        <v>6</v>
      </c>
      <c r="E1094">
        <v>6.1642000000000002E-2</v>
      </c>
    </row>
    <row r="1095" spans="1:5" hidden="1" x14ac:dyDescent="0.3">
      <c r="A1095">
        <v>21</v>
      </c>
      <c r="B1095">
        <v>205000</v>
      </c>
      <c r="C1095" t="s">
        <v>45</v>
      </c>
      <c r="D1095" t="s">
        <v>7</v>
      </c>
      <c r="E1095">
        <v>21640.574455999998</v>
      </c>
    </row>
    <row r="1096" spans="1:5" hidden="1" x14ac:dyDescent="0.3">
      <c r="A1096">
        <v>21</v>
      </c>
      <c r="B1096">
        <v>205000</v>
      </c>
      <c r="C1096" t="s">
        <v>45</v>
      </c>
      <c r="D1096" t="s">
        <v>8</v>
      </c>
      <c r="E1096">
        <v>0.106672</v>
      </c>
    </row>
    <row r="1097" spans="1:5" hidden="1" x14ac:dyDescent="0.3">
      <c r="A1097">
        <v>21</v>
      </c>
      <c r="B1097">
        <v>205000</v>
      </c>
      <c r="C1097" t="s">
        <v>45</v>
      </c>
      <c r="D1097" t="s">
        <v>9</v>
      </c>
      <c r="E1097">
        <v>0.41199000000000002</v>
      </c>
    </row>
    <row r="1098" spans="1:5" hidden="1" x14ac:dyDescent="0.3">
      <c r="A1098">
        <v>21</v>
      </c>
      <c r="B1098">
        <v>205000</v>
      </c>
      <c r="C1098" t="s">
        <v>45</v>
      </c>
      <c r="D1098" t="s">
        <v>10</v>
      </c>
      <c r="E1098">
        <v>5.8562000000000003E-2</v>
      </c>
    </row>
    <row r="1099" spans="1:5" hidden="1" x14ac:dyDescent="0.3">
      <c r="A1099">
        <v>21</v>
      </c>
      <c r="B1099">
        <v>205000</v>
      </c>
      <c r="C1099" t="s">
        <v>45</v>
      </c>
      <c r="D1099" t="s">
        <v>11</v>
      </c>
      <c r="E1099">
        <v>34138.774085999998</v>
      </c>
    </row>
    <row r="1100" spans="1:5" hidden="1" x14ac:dyDescent="0.3">
      <c r="A1100">
        <v>21</v>
      </c>
      <c r="B1100">
        <v>205000</v>
      </c>
      <c r="C1100" t="s">
        <v>45</v>
      </c>
      <c r="D1100" t="s">
        <v>12</v>
      </c>
      <c r="E1100">
        <v>44388.743316</v>
      </c>
    </row>
    <row r="1101" spans="1:5" hidden="1" x14ac:dyDescent="0.3">
      <c r="A1101">
        <v>21</v>
      </c>
      <c r="B1101">
        <v>205000</v>
      </c>
      <c r="C1101" t="s">
        <v>45</v>
      </c>
      <c r="D1101" t="s">
        <v>13</v>
      </c>
      <c r="E1101">
        <v>35431.343395999997</v>
      </c>
    </row>
    <row r="1102" spans="1:5" hidden="1" x14ac:dyDescent="0.3">
      <c r="A1102">
        <v>21</v>
      </c>
      <c r="B1102">
        <v>205000</v>
      </c>
      <c r="C1102" t="s">
        <v>45</v>
      </c>
      <c r="D1102" t="s">
        <v>14</v>
      </c>
      <c r="E1102">
        <v>29.200208</v>
      </c>
    </row>
    <row r="1103" spans="1:5" hidden="1" x14ac:dyDescent="0.3">
      <c r="A1103">
        <v>21</v>
      </c>
      <c r="B1103">
        <v>205000</v>
      </c>
      <c r="C1103" t="s">
        <v>45</v>
      </c>
      <c r="D1103" t="s">
        <v>15</v>
      </c>
      <c r="E1103">
        <v>2.2506999999999999E-2</v>
      </c>
    </row>
    <row r="1104" spans="1:5" hidden="1" x14ac:dyDescent="0.3">
      <c r="A1104">
        <v>21</v>
      </c>
      <c r="B1104">
        <v>205000</v>
      </c>
      <c r="C1104" t="s">
        <v>45</v>
      </c>
      <c r="D1104" t="s">
        <v>16</v>
      </c>
      <c r="E1104">
        <v>40332.999305999998</v>
      </c>
    </row>
    <row r="1105" spans="1:5" hidden="1" x14ac:dyDescent="0.3">
      <c r="A1105">
        <v>21</v>
      </c>
      <c r="B1105">
        <v>205000</v>
      </c>
      <c r="C1105" t="s">
        <v>45</v>
      </c>
      <c r="D1105" t="s">
        <v>17</v>
      </c>
      <c r="E1105">
        <v>4.0253999999999998E-2</v>
      </c>
    </row>
    <row r="1106" spans="1:5" hidden="1" x14ac:dyDescent="0.3">
      <c r="A1106">
        <v>21</v>
      </c>
      <c r="B1106">
        <v>205000</v>
      </c>
      <c r="C1106" t="s">
        <v>45</v>
      </c>
      <c r="D1106" t="s">
        <v>18</v>
      </c>
      <c r="E1106">
        <v>88.821622000000005</v>
      </c>
    </row>
    <row r="1107" spans="1:5" hidden="1" x14ac:dyDescent="0.3">
      <c r="A1107">
        <v>21</v>
      </c>
      <c r="B1107">
        <v>205000</v>
      </c>
      <c r="C1107" t="s">
        <v>45</v>
      </c>
      <c r="D1107" t="s">
        <v>19</v>
      </c>
      <c r="E1107">
        <v>8833.3322970000008</v>
      </c>
    </row>
    <row r="1108" spans="1:5" hidden="1" x14ac:dyDescent="0.3">
      <c r="A1108">
        <v>21</v>
      </c>
      <c r="B1108">
        <v>205000</v>
      </c>
      <c r="C1108" t="s">
        <v>45</v>
      </c>
      <c r="D1108" t="s">
        <v>20</v>
      </c>
      <c r="E1108">
        <v>15166.666445999999</v>
      </c>
    </row>
    <row r="1109" spans="1:5" hidden="1" x14ac:dyDescent="0.3">
      <c r="A1109">
        <v>21</v>
      </c>
      <c r="B1109">
        <v>205000</v>
      </c>
      <c r="C1109" t="s">
        <v>45</v>
      </c>
      <c r="D1109" t="s">
        <v>21</v>
      </c>
      <c r="E1109">
        <v>1.5805E-2</v>
      </c>
    </row>
    <row r="1110" spans="1:5" hidden="1" x14ac:dyDescent="0.3">
      <c r="A1110">
        <v>21</v>
      </c>
      <c r="B1110">
        <v>205000</v>
      </c>
      <c r="C1110" t="s">
        <v>45</v>
      </c>
      <c r="D1110" t="s">
        <v>22</v>
      </c>
      <c r="E1110">
        <v>504.14019100000002</v>
      </c>
    </row>
    <row r="1111" spans="1:5" hidden="1" x14ac:dyDescent="0.3">
      <c r="A1111">
        <v>21</v>
      </c>
      <c r="B1111">
        <v>205000</v>
      </c>
      <c r="C1111" t="s">
        <v>45</v>
      </c>
      <c r="D1111" t="s">
        <v>23</v>
      </c>
      <c r="E1111">
        <v>4444.4443289999999</v>
      </c>
    </row>
    <row r="1112" spans="1:5" hidden="1" x14ac:dyDescent="0.3">
      <c r="A1112">
        <v>21</v>
      </c>
      <c r="B1112">
        <v>205000</v>
      </c>
      <c r="C1112" t="s">
        <v>45</v>
      </c>
      <c r="D1112" t="s">
        <v>24</v>
      </c>
      <c r="E1112">
        <v>2.341E-2</v>
      </c>
    </row>
    <row r="1113" spans="1:5" hidden="1" x14ac:dyDescent="0.3">
      <c r="A1113">
        <v>21</v>
      </c>
      <c r="B1113">
        <v>205000</v>
      </c>
      <c r="C1113" t="s">
        <v>45</v>
      </c>
      <c r="D1113" t="s">
        <v>25</v>
      </c>
      <c r="E1113">
        <v>0.207205</v>
      </c>
    </row>
    <row r="1114" spans="1:5" hidden="1" x14ac:dyDescent="0.3">
      <c r="A1114">
        <v>21</v>
      </c>
      <c r="B1114">
        <v>205000</v>
      </c>
      <c r="C1114" t="s">
        <v>45</v>
      </c>
      <c r="D1114" t="s">
        <v>26</v>
      </c>
      <c r="E1114">
        <v>1.4418E-2</v>
      </c>
    </row>
    <row r="1115" spans="1:5" x14ac:dyDescent="0.3">
      <c r="A1115">
        <v>21</v>
      </c>
      <c r="B1115">
        <v>205000</v>
      </c>
      <c r="C1115" t="s">
        <v>46</v>
      </c>
      <c r="D1115" t="s">
        <v>6</v>
      </c>
      <c r="E1115">
        <v>54.987428000000001</v>
      </c>
    </row>
    <row r="1116" spans="1:5" hidden="1" x14ac:dyDescent="0.3">
      <c r="A1116">
        <v>21</v>
      </c>
      <c r="B1116">
        <v>205000</v>
      </c>
      <c r="C1116" t="s">
        <v>46</v>
      </c>
      <c r="D1116" t="s">
        <v>7</v>
      </c>
      <c r="E1116">
        <v>36555.500823000002</v>
      </c>
    </row>
    <row r="1117" spans="1:5" hidden="1" x14ac:dyDescent="0.3">
      <c r="A1117">
        <v>21</v>
      </c>
      <c r="B1117">
        <v>205000</v>
      </c>
      <c r="C1117" t="s">
        <v>46</v>
      </c>
      <c r="D1117" t="s">
        <v>8</v>
      </c>
      <c r="E1117">
        <v>194.44470699999999</v>
      </c>
    </row>
    <row r="1118" spans="1:5" hidden="1" x14ac:dyDescent="0.3">
      <c r="A1118">
        <v>21</v>
      </c>
      <c r="B1118">
        <v>205000</v>
      </c>
      <c r="C1118" t="s">
        <v>46</v>
      </c>
      <c r="D1118" t="s">
        <v>9</v>
      </c>
      <c r="E1118">
        <v>34138.484524</v>
      </c>
    </row>
    <row r="1119" spans="1:5" hidden="1" x14ac:dyDescent="0.3">
      <c r="A1119">
        <v>21</v>
      </c>
      <c r="B1119">
        <v>205000</v>
      </c>
      <c r="C1119" t="s">
        <v>46</v>
      </c>
      <c r="D1119" t="s">
        <v>10</v>
      </c>
      <c r="E1119">
        <v>27248.192375999999</v>
      </c>
    </row>
    <row r="1120" spans="1:5" hidden="1" x14ac:dyDescent="0.3">
      <c r="A1120">
        <v>21</v>
      </c>
      <c r="B1120">
        <v>205000</v>
      </c>
      <c r="C1120" t="s">
        <v>46</v>
      </c>
      <c r="D1120" t="s">
        <v>11</v>
      </c>
      <c r="E1120">
        <v>28361.112528000001</v>
      </c>
    </row>
    <row r="1121" spans="1:5" hidden="1" x14ac:dyDescent="0.3">
      <c r="A1121">
        <v>21</v>
      </c>
      <c r="B1121">
        <v>205000</v>
      </c>
      <c r="C1121" t="s">
        <v>46</v>
      </c>
      <c r="D1121" t="s">
        <v>12</v>
      </c>
      <c r="E1121">
        <v>12555.557011999999</v>
      </c>
    </row>
    <row r="1122" spans="1:5" hidden="1" x14ac:dyDescent="0.3">
      <c r="A1122">
        <v>21</v>
      </c>
      <c r="B1122">
        <v>205000</v>
      </c>
      <c r="C1122" t="s">
        <v>46</v>
      </c>
      <c r="D1122" t="s">
        <v>13</v>
      </c>
      <c r="E1122">
        <v>14172.546122</v>
      </c>
    </row>
    <row r="1123" spans="1:5" hidden="1" x14ac:dyDescent="0.3">
      <c r="A1123">
        <v>21</v>
      </c>
      <c r="B1123">
        <v>205000</v>
      </c>
      <c r="C1123" t="s">
        <v>46</v>
      </c>
      <c r="D1123" t="s">
        <v>14</v>
      </c>
      <c r="E1123">
        <v>6388.8903689999997</v>
      </c>
    </row>
    <row r="1124" spans="1:5" hidden="1" x14ac:dyDescent="0.3">
      <c r="A1124">
        <v>21</v>
      </c>
      <c r="B1124">
        <v>205000</v>
      </c>
      <c r="C1124" t="s">
        <v>46</v>
      </c>
      <c r="D1124" t="s">
        <v>15</v>
      </c>
      <c r="E1124">
        <v>0.24886800000000001</v>
      </c>
    </row>
    <row r="1125" spans="1:5" hidden="1" x14ac:dyDescent="0.3">
      <c r="A1125">
        <v>21</v>
      </c>
      <c r="B1125">
        <v>205000</v>
      </c>
      <c r="C1125" t="s">
        <v>46</v>
      </c>
      <c r="D1125" t="s">
        <v>16</v>
      </c>
      <c r="E1125">
        <v>31515.347958999999</v>
      </c>
    </row>
    <row r="1126" spans="1:5" hidden="1" x14ac:dyDescent="0.3">
      <c r="A1126">
        <v>21</v>
      </c>
      <c r="B1126">
        <v>205000</v>
      </c>
      <c r="C1126" t="s">
        <v>46</v>
      </c>
      <c r="D1126" t="s">
        <v>17</v>
      </c>
      <c r="E1126">
        <v>0.93955100000000003</v>
      </c>
    </row>
    <row r="1127" spans="1:5" hidden="1" x14ac:dyDescent="0.3">
      <c r="A1127">
        <v>21</v>
      </c>
      <c r="B1127">
        <v>205000</v>
      </c>
      <c r="C1127" t="s">
        <v>46</v>
      </c>
      <c r="D1127" t="s">
        <v>18</v>
      </c>
      <c r="E1127">
        <v>44.418210000000002</v>
      </c>
    </row>
    <row r="1128" spans="1:5" hidden="1" x14ac:dyDescent="0.3">
      <c r="A1128">
        <v>21</v>
      </c>
      <c r="B1128">
        <v>205000</v>
      </c>
      <c r="C1128" t="s">
        <v>46</v>
      </c>
      <c r="D1128" t="s">
        <v>19</v>
      </c>
      <c r="E1128">
        <v>4222.2238539999998</v>
      </c>
    </row>
    <row r="1129" spans="1:5" hidden="1" x14ac:dyDescent="0.3">
      <c r="A1129">
        <v>21</v>
      </c>
      <c r="B1129">
        <v>205000</v>
      </c>
      <c r="C1129" t="s">
        <v>46</v>
      </c>
      <c r="D1129" t="s">
        <v>20</v>
      </c>
      <c r="E1129">
        <v>6055.5573590000004</v>
      </c>
    </row>
    <row r="1130" spans="1:5" hidden="1" x14ac:dyDescent="0.3">
      <c r="A1130">
        <v>21</v>
      </c>
      <c r="B1130">
        <v>205000</v>
      </c>
      <c r="C1130" t="s">
        <v>46</v>
      </c>
      <c r="D1130" t="s">
        <v>21</v>
      </c>
      <c r="E1130">
        <v>9.2146000000000006E-2</v>
      </c>
    </row>
    <row r="1131" spans="1:5" hidden="1" x14ac:dyDescent="0.3">
      <c r="A1131">
        <v>21</v>
      </c>
      <c r="B1131">
        <v>205000</v>
      </c>
      <c r="C1131" t="s">
        <v>46</v>
      </c>
      <c r="D1131" t="s">
        <v>22</v>
      </c>
      <c r="E1131">
        <v>268.87890399999998</v>
      </c>
    </row>
    <row r="1132" spans="1:5" hidden="1" x14ac:dyDescent="0.3">
      <c r="A1132">
        <v>21</v>
      </c>
      <c r="B1132">
        <v>205000</v>
      </c>
      <c r="C1132" t="s">
        <v>46</v>
      </c>
      <c r="D1132" t="s">
        <v>23</v>
      </c>
      <c r="E1132">
        <v>1722.224172</v>
      </c>
    </row>
    <row r="1133" spans="1:5" hidden="1" x14ac:dyDescent="0.3">
      <c r="A1133">
        <v>21</v>
      </c>
      <c r="B1133">
        <v>205000</v>
      </c>
      <c r="C1133" t="s">
        <v>46</v>
      </c>
      <c r="D1133" t="s">
        <v>24</v>
      </c>
      <c r="E1133">
        <v>0.27013199999999998</v>
      </c>
    </row>
    <row r="1134" spans="1:5" hidden="1" x14ac:dyDescent="0.3">
      <c r="A1134">
        <v>21</v>
      </c>
      <c r="B1134">
        <v>205000</v>
      </c>
      <c r="C1134" t="s">
        <v>46</v>
      </c>
      <c r="D1134" t="s">
        <v>25</v>
      </c>
      <c r="E1134">
        <v>1500.001395</v>
      </c>
    </row>
    <row r="1135" spans="1:5" hidden="1" x14ac:dyDescent="0.3">
      <c r="A1135">
        <v>21</v>
      </c>
      <c r="B1135">
        <v>205000</v>
      </c>
      <c r="C1135" t="s">
        <v>46</v>
      </c>
      <c r="D1135" t="s">
        <v>26</v>
      </c>
      <c r="E1135">
        <v>0.13064000000000001</v>
      </c>
    </row>
    <row r="1136" spans="1:5" hidden="1" x14ac:dyDescent="0.3">
      <c r="A1136">
        <v>21</v>
      </c>
      <c r="B1136">
        <v>205000</v>
      </c>
      <c r="C1136" t="s">
        <v>47</v>
      </c>
      <c r="D1136" t="s">
        <v>6</v>
      </c>
      <c r="E1136">
        <v>13.743709000000001</v>
      </c>
    </row>
    <row r="1137" spans="1:5" hidden="1" x14ac:dyDescent="0.3">
      <c r="A1137">
        <v>21</v>
      </c>
      <c r="B1137">
        <v>205000</v>
      </c>
      <c r="C1137" t="s">
        <v>47</v>
      </c>
      <c r="D1137" t="s">
        <v>7</v>
      </c>
      <c r="E1137">
        <v>22194.417651</v>
      </c>
    </row>
    <row r="1138" spans="1:5" hidden="1" x14ac:dyDescent="0.3">
      <c r="A1138">
        <v>21</v>
      </c>
      <c r="B1138">
        <v>205000</v>
      </c>
      <c r="C1138" t="s">
        <v>47</v>
      </c>
      <c r="D1138" t="s">
        <v>8</v>
      </c>
      <c r="E1138">
        <v>194.44612000000001</v>
      </c>
    </row>
    <row r="1139" spans="1:5" hidden="1" x14ac:dyDescent="0.3">
      <c r="A1139">
        <v>21</v>
      </c>
      <c r="B1139">
        <v>205000</v>
      </c>
      <c r="C1139" t="s">
        <v>47</v>
      </c>
      <c r="D1139" t="s">
        <v>9</v>
      </c>
      <c r="E1139">
        <v>34138.445044</v>
      </c>
    </row>
    <row r="1140" spans="1:5" hidden="1" x14ac:dyDescent="0.3">
      <c r="A1140">
        <v>21</v>
      </c>
      <c r="B1140">
        <v>205000</v>
      </c>
      <c r="C1140" t="s">
        <v>47</v>
      </c>
      <c r="D1140" t="s">
        <v>10</v>
      </c>
      <c r="E1140">
        <v>77246.628215000004</v>
      </c>
    </row>
    <row r="1141" spans="1:5" hidden="1" x14ac:dyDescent="0.3">
      <c r="A1141">
        <v>21</v>
      </c>
      <c r="B1141">
        <v>205000</v>
      </c>
      <c r="C1141" t="s">
        <v>47</v>
      </c>
      <c r="D1141" t="s">
        <v>11</v>
      </c>
      <c r="E1141">
        <v>24709.952053000001</v>
      </c>
    </row>
    <row r="1142" spans="1:5" hidden="1" x14ac:dyDescent="0.3">
      <c r="A1142">
        <v>21</v>
      </c>
      <c r="B1142">
        <v>205000</v>
      </c>
      <c r="C1142" t="s">
        <v>47</v>
      </c>
      <c r="D1142" t="s">
        <v>12</v>
      </c>
      <c r="E1142">
        <v>3166.668529</v>
      </c>
    </row>
    <row r="1143" spans="1:5" hidden="1" x14ac:dyDescent="0.3">
      <c r="A1143">
        <v>21</v>
      </c>
      <c r="B1143">
        <v>205000</v>
      </c>
      <c r="C1143" t="s">
        <v>47</v>
      </c>
      <c r="D1143" t="s">
        <v>13</v>
      </c>
      <c r="E1143">
        <v>3543.1408860000001</v>
      </c>
    </row>
    <row r="1144" spans="1:5" hidden="1" x14ac:dyDescent="0.3">
      <c r="A1144">
        <v>21</v>
      </c>
      <c r="B1144">
        <v>205000</v>
      </c>
      <c r="C1144" t="s">
        <v>47</v>
      </c>
      <c r="D1144" t="s">
        <v>14</v>
      </c>
      <c r="E1144">
        <v>1916.6685829999999</v>
      </c>
    </row>
    <row r="1145" spans="1:5" hidden="1" x14ac:dyDescent="0.3">
      <c r="A1145">
        <v>21</v>
      </c>
      <c r="B1145">
        <v>205000</v>
      </c>
      <c r="C1145" t="s">
        <v>47</v>
      </c>
      <c r="D1145" t="s">
        <v>15</v>
      </c>
      <c r="E1145">
        <v>0.500695</v>
      </c>
    </row>
    <row r="1146" spans="1:5" hidden="1" x14ac:dyDescent="0.3">
      <c r="A1146">
        <v>21</v>
      </c>
      <c r="B1146">
        <v>205000</v>
      </c>
      <c r="C1146" t="s">
        <v>47</v>
      </c>
      <c r="D1146" t="s">
        <v>16</v>
      </c>
      <c r="E1146">
        <v>18385.337220000001</v>
      </c>
    </row>
    <row r="1147" spans="1:5" hidden="1" x14ac:dyDescent="0.3">
      <c r="A1147">
        <v>21</v>
      </c>
      <c r="B1147">
        <v>205000</v>
      </c>
      <c r="C1147" t="s">
        <v>47</v>
      </c>
      <c r="D1147" t="s">
        <v>17</v>
      </c>
      <c r="E1147">
        <v>55.556545</v>
      </c>
    </row>
    <row r="1148" spans="1:5" hidden="1" x14ac:dyDescent="0.3">
      <c r="A1148">
        <v>21</v>
      </c>
      <c r="B1148">
        <v>205000</v>
      </c>
      <c r="C1148" t="s">
        <v>47</v>
      </c>
      <c r="D1148" t="s">
        <v>18</v>
      </c>
      <c r="E1148">
        <v>8.8910929999999997</v>
      </c>
    </row>
    <row r="1149" spans="1:5" hidden="1" x14ac:dyDescent="0.3">
      <c r="A1149">
        <v>21</v>
      </c>
      <c r="B1149">
        <v>205000</v>
      </c>
      <c r="C1149" t="s">
        <v>47</v>
      </c>
      <c r="D1149" t="s">
        <v>19</v>
      </c>
      <c r="E1149">
        <v>1277.7798009999999</v>
      </c>
    </row>
    <row r="1150" spans="1:5" hidden="1" x14ac:dyDescent="0.3">
      <c r="A1150">
        <v>21</v>
      </c>
      <c r="B1150">
        <v>205000</v>
      </c>
      <c r="C1150" t="s">
        <v>47</v>
      </c>
      <c r="D1150" t="s">
        <v>20</v>
      </c>
      <c r="E1150">
        <v>1472.2243100000001</v>
      </c>
    </row>
    <row r="1151" spans="1:5" hidden="1" x14ac:dyDescent="0.3">
      <c r="A1151">
        <v>21</v>
      </c>
      <c r="B1151">
        <v>205000</v>
      </c>
      <c r="C1151" t="s">
        <v>47</v>
      </c>
      <c r="D1151" t="s">
        <v>21</v>
      </c>
      <c r="E1151">
        <v>0.28077999999999997</v>
      </c>
    </row>
    <row r="1152" spans="1:5" hidden="1" x14ac:dyDescent="0.3">
      <c r="A1152">
        <v>21</v>
      </c>
      <c r="B1152">
        <v>205000</v>
      </c>
      <c r="C1152" t="s">
        <v>47</v>
      </c>
      <c r="D1152" t="s">
        <v>22</v>
      </c>
      <c r="E1152">
        <v>100.829758</v>
      </c>
    </row>
    <row r="1153" spans="1:5" hidden="1" x14ac:dyDescent="0.3">
      <c r="A1153">
        <v>21</v>
      </c>
      <c r="B1153">
        <v>205000</v>
      </c>
      <c r="C1153" t="s">
        <v>47</v>
      </c>
      <c r="D1153" t="s">
        <v>23</v>
      </c>
      <c r="E1153">
        <v>388.89108700000003</v>
      </c>
    </row>
    <row r="1154" spans="1:5" hidden="1" x14ac:dyDescent="0.3">
      <c r="A1154">
        <v>21</v>
      </c>
      <c r="B1154">
        <v>205000</v>
      </c>
      <c r="C1154" t="s">
        <v>47</v>
      </c>
      <c r="D1154" t="s">
        <v>24</v>
      </c>
      <c r="E1154">
        <v>15824.24165</v>
      </c>
    </row>
    <row r="1155" spans="1:5" hidden="1" x14ac:dyDescent="0.3">
      <c r="A1155">
        <v>21</v>
      </c>
      <c r="B1155">
        <v>205000</v>
      </c>
      <c r="C1155" t="s">
        <v>47</v>
      </c>
      <c r="D1155" t="s">
        <v>25</v>
      </c>
      <c r="E1155">
        <v>361.113021</v>
      </c>
    </row>
    <row r="1156" spans="1:5" hidden="1" x14ac:dyDescent="0.3">
      <c r="A1156">
        <v>21</v>
      </c>
      <c r="B1156">
        <v>205000</v>
      </c>
      <c r="C1156" t="s">
        <v>47</v>
      </c>
      <c r="D1156" t="s">
        <v>26</v>
      </c>
      <c r="E1156">
        <v>0.29787400000000003</v>
      </c>
    </row>
    <row r="1157" spans="1:5" hidden="1" x14ac:dyDescent="0.3">
      <c r="A1157">
        <v>22</v>
      </c>
      <c r="B1157">
        <v>210000</v>
      </c>
      <c r="C1157" t="s">
        <v>45</v>
      </c>
      <c r="D1157" t="s">
        <v>6</v>
      </c>
      <c r="E1157">
        <v>0.27472800000000003</v>
      </c>
    </row>
    <row r="1158" spans="1:5" hidden="1" x14ac:dyDescent="0.3">
      <c r="A1158">
        <v>22</v>
      </c>
      <c r="B1158">
        <v>210000</v>
      </c>
      <c r="C1158" t="s">
        <v>45</v>
      </c>
      <c r="D1158" t="s">
        <v>7</v>
      </c>
      <c r="E1158">
        <v>26560.819555999999</v>
      </c>
    </row>
    <row r="1159" spans="1:5" hidden="1" x14ac:dyDescent="0.3">
      <c r="A1159">
        <v>22</v>
      </c>
      <c r="B1159">
        <v>210000</v>
      </c>
      <c r="C1159" t="s">
        <v>45</v>
      </c>
      <c r="D1159" t="s">
        <v>8</v>
      </c>
      <c r="E1159">
        <v>0.42436800000000002</v>
      </c>
    </row>
    <row r="1160" spans="1:5" hidden="1" x14ac:dyDescent="0.3">
      <c r="A1160">
        <v>22</v>
      </c>
      <c r="B1160">
        <v>210000</v>
      </c>
      <c r="C1160" t="s">
        <v>45</v>
      </c>
      <c r="D1160" t="s">
        <v>9</v>
      </c>
      <c r="E1160">
        <v>1.6316219999999999</v>
      </c>
    </row>
    <row r="1161" spans="1:5" hidden="1" x14ac:dyDescent="0.3">
      <c r="A1161">
        <v>22</v>
      </c>
      <c r="B1161">
        <v>210000</v>
      </c>
      <c r="C1161" t="s">
        <v>45</v>
      </c>
      <c r="D1161" t="s">
        <v>10</v>
      </c>
      <c r="E1161">
        <v>0.31986999999999999</v>
      </c>
    </row>
    <row r="1162" spans="1:5" hidden="1" x14ac:dyDescent="0.3">
      <c r="A1162">
        <v>22</v>
      </c>
      <c r="B1162">
        <v>210000</v>
      </c>
      <c r="C1162" t="s">
        <v>45</v>
      </c>
      <c r="D1162" t="s">
        <v>11</v>
      </c>
      <c r="E1162">
        <v>34138.887427000001</v>
      </c>
    </row>
    <row r="1163" spans="1:5" hidden="1" x14ac:dyDescent="0.3">
      <c r="A1163">
        <v>22</v>
      </c>
      <c r="B1163">
        <v>210000</v>
      </c>
      <c r="C1163" t="s">
        <v>45</v>
      </c>
      <c r="D1163" t="s">
        <v>12</v>
      </c>
      <c r="E1163">
        <v>44388.865366999999</v>
      </c>
    </row>
    <row r="1164" spans="1:5" hidden="1" x14ac:dyDescent="0.3">
      <c r="A1164">
        <v>22</v>
      </c>
      <c r="B1164">
        <v>210000</v>
      </c>
      <c r="C1164" t="s">
        <v>45</v>
      </c>
      <c r="D1164" t="s">
        <v>13</v>
      </c>
      <c r="E1164">
        <v>35431.342143000002</v>
      </c>
    </row>
    <row r="1165" spans="1:5" hidden="1" x14ac:dyDescent="0.3">
      <c r="A1165">
        <v>22</v>
      </c>
      <c r="B1165">
        <v>210000</v>
      </c>
      <c r="C1165" t="s">
        <v>45</v>
      </c>
      <c r="D1165" t="s">
        <v>14</v>
      </c>
      <c r="E1165">
        <v>107.012989</v>
      </c>
    </row>
    <row r="1166" spans="1:5" hidden="1" x14ac:dyDescent="0.3">
      <c r="A1166">
        <v>22</v>
      </c>
      <c r="B1166">
        <v>210000</v>
      </c>
      <c r="C1166" t="s">
        <v>45</v>
      </c>
      <c r="D1166" t="s">
        <v>15</v>
      </c>
      <c r="E1166">
        <v>0.138152</v>
      </c>
    </row>
    <row r="1167" spans="1:5" hidden="1" x14ac:dyDescent="0.3">
      <c r="A1167">
        <v>22</v>
      </c>
      <c r="B1167">
        <v>210000</v>
      </c>
      <c r="C1167" t="s">
        <v>45</v>
      </c>
      <c r="D1167" t="s">
        <v>16</v>
      </c>
      <c r="E1167">
        <v>40331.521141999998</v>
      </c>
    </row>
    <row r="1168" spans="1:5" hidden="1" x14ac:dyDescent="0.3">
      <c r="A1168">
        <v>22</v>
      </c>
      <c r="B1168">
        <v>210000</v>
      </c>
      <c r="C1168" t="s">
        <v>45</v>
      </c>
      <c r="D1168" t="s">
        <v>17</v>
      </c>
      <c r="E1168">
        <v>0.16427800000000001</v>
      </c>
    </row>
    <row r="1169" spans="1:5" hidden="1" x14ac:dyDescent="0.3">
      <c r="A1169">
        <v>22</v>
      </c>
      <c r="B1169">
        <v>210000</v>
      </c>
      <c r="C1169" t="s">
        <v>45</v>
      </c>
      <c r="D1169" t="s">
        <v>18</v>
      </c>
      <c r="E1169">
        <v>88.810237000000001</v>
      </c>
    </row>
    <row r="1170" spans="1:5" hidden="1" x14ac:dyDescent="0.3">
      <c r="A1170">
        <v>22</v>
      </c>
      <c r="B1170">
        <v>210000</v>
      </c>
      <c r="C1170" t="s">
        <v>45</v>
      </c>
      <c r="D1170" t="s">
        <v>19</v>
      </c>
      <c r="E1170">
        <v>8833.3299800000004</v>
      </c>
    </row>
    <row r="1171" spans="1:5" hidden="1" x14ac:dyDescent="0.3">
      <c r="A1171">
        <v>22</v>
      </c>
      <c r="B1171">
        <v>210000</v>
      </c>
      <c r="C1171" t="s">
        <v>45</v>
      </c>
      <c r="D1171" t="s">
        <v>20</v>
      </c>
      <c r="E1171">
        <v>15166.666934999999</v>
      </c>
    </row>
    <row r="1172" spans="1:5" hidden="1" x14ac:dyDescent="0.3">
      <c r="A1172">
        <v>22</v>
      </c>
      <c r="B1172">
        <v>210000</v>
      </c>
      <c r="C1172" t="s">
        <v>45</v>
      </c>
      <c r="D1172" t="s">
        <v>21</v>
      </c>
      <c r="E1172">
        <v>6.9944000000000006E-2</v>
      </c>
    </row>
    <row r="1173" spans="1:5" hidden="1" x14ac:dyDescent="0.3">
      <c r="A1173">
        <v>22</v>
      </c>
      <c r="B1173">
        <v>210000</v>
      </c>
      <c r="C1173" t="s">
        <v>45</v>
      </c>
      <c r="D1173" t="s">
        <v>22</v>
      </c>
      <c r="E1173">
        <v>504.10497099999998</v>
      </c>
    </row>
    <row r="1174" spans="1:5" hidden="1" x14ac:dyDescent="0.3">
      <c r="A1174">
        <v>22</v>
      </c>
      <c r="B1174">
        <v>210000</v>
      </c>
      <c r="C1174" t="s">
        <v>45</v>
      </c>
      <c r="D1174" t="s">
        <v>23</v>
      </c>
      <c r="E1174">
        <v>4444.4456190000001</v>
      </c>
    </row>
    <row r="1175" spans="1:5" hidden="1" x14ac:dyDescent="0.3">
      <c r="A1175">
        <v>22</v>
      </c>
      <c r="B1175">
        <v>210000</v>
      </c>
      <c r="C1175" t="s">
        <v>45</v>
      </c>
      <c r="D1175" t="s">
        <v>24</v>
      </c>
      <c r="E1175">
        <v>0.14272499999999999</v>
      </c>
    </row>
    <row r="1176" spans="1:5" hidden="1" x14ac:dyDescent="0.3">
      <c r="A1176">
        <v>22</v>
      </c>
      <c r="B1176">
        <v>210000</v>
      </c>
      <c r="C1176" t="s">
        <v>45</v>
      </c>
      <c r="D1176" t="s">
        <v>25</v>
      </c>
      <c r="E1176">
        <v>0.97430899999999998</v>
      </c>
    </row>
    <row r="1177" spans="1:5" hidden="1" x14ac:dyDescent="0.3">
      <c r="A1177">
        <v>22</v>
      </c>
      <c r="B1177">
        <v>210000</v>
      </c>
      <c r="C1177" t="s">
        <v>45</v>
      </c>
      <c r="D1177" t="s">
        <v>26</v>
      </c>
      <c r="E1177">
        <v>0.100023</v>
      </c>
    </row>
    <row r="1178" spans="1:5" x14ac:dyDescent="0.3">
      <c r="A1178">
        <v>22</v>
      </c>
      <c r="B1178">
        <v>210000</v>
      </c>
      <c r="C1178" t="s">
        <v>46</v>
      </c>
      <c r="D1178" t="s">
        <v>6</v>
      </c>
      <c r="E1178">
        <v>54.986831000000002</v>
      </c>
    </row>
    <row r="1179" spans="1:5" hidden="1" x14ac:dyDescent="0.3">
      <c r="A1179">
        <v>22</v>
      </c>
      <c r="B1179">
        <v>210000</v>
      </c>
      <c r="C1179" t="s">
        <v>46</v>
      </c>
      <c r="D1179" t="s">
        <v>7</v>
      </c>
      <c r="E1179">
        <v>36555.548796000003</v>
      </c>
    </row>
    <row r="1180" spans="1:5" hidden="1" x14ac:dyDescent="0.3">
      <c r="A1180">
        <v>22</v>
      </c>
      <c r="B1180">
        <v>210000</v>
      </c>
      <c r="C1180" t="s">
        <v>46</v>
      </c>
      <c r="D1180" t="s">
        <v>8</v>
      </c>
      <c r="E1180">
        <v>194.44386800000001</v>
      </c>
    </row>
    <row r="1181" spans="1:5" hidden="1" x14ac:dyDescent="0.3">
      <c r="A1181">
        <v>22</v>
      </c>
      <c r="B1181">
        <v>210000</v>
      </c>
      <c r="C1181" t="s">
        <v>46</v>
      </c>
      <c r="D1181" t="s">
        <v>9</v>
      </c>
      <c r="E1181">
        <v>34138.484952999999</v>
      </c>
    </row>
    <row r="1182" spans="1:5" hidden="1" x14ac:dyDescent="0.3">
      <c r="A1182">
        <v>22</v>
      </c>
      <c r="B1182">
        <v>210000</v>
      </c>
      <c r="C1182" t="s">
        <v>46</v>
      </c>
      <c r="D1182" t="s">
        <v>10</v>
      </c>
      <c r="E1182">
        <v>32247.703053000001</v>
      </c>
    </row>
    <row r="1183" spans="1:5" hidden="1" x14ac:dyDescent="0.3">
      <c r="A1183">
        <v>22</v>
      </c>
      <c r="B1183">
        <v>210000</v>
      </c>
      <c r="C1183" t="s">
        <v>46</v>
      </c>
      <c r="D1183" t="s">
        <v>11</v>
      </c>
      <c r="E1183">
        <v>28361.111485000001</v>
      </c>
    </row>
    <row r="1184" spans="1:5" hidden="1" x14ac:dyDescent="0.3">
      <c r="A1184">
        <v>22</v>
      </c>
      <c r="B1184">
        <v>210000</v>
      </c>
      <c r="C1184" t="s">
        <v>46</v>
      </c>
      <c r="D1184" t="s">
        <v>12</v>
      </c>
      <c r="E1184">
        <v>12555.556095</v>
      </c>
    </row>
    <row r="1185" spans="1:5" hidden="1" x14ac:dyDescent="0.3">
      <c r="A1185">
        <v>22</v>
      </c>
      <c r="B1185">
        <v>210000</v>
      </c>
      <c r="C1185" t="s">
        <v>46</v>
      </c>
      <c r="D1185" t="s">
        <v>13</v>
      </c>
      <c r="E1185">
        <v>14172.545292000001</v>
      </c>
    </row>
    <row r="1186" spans="1:5" hidden="1" x14ac:dyDescent="0.3">
      <c r="A1186">
        <v>22</v>
      </c>
      <c r="B1186">
        <v>210000</v>
      </c>
      <c r="C1186" t="s">
        <v>46</v>
      </c>
      <c r="D1186" t="s">
        <v>14</v>
      </c>
      <c r="E1186">
        <v>6388.8895519999996</v>
      </c>
    </row>
    <row r="1187" spans="1:5" hidden="1" x14ac:dyDescent="0.3">
      <c r="A1187">
        <v>22</v>
      </c>
      <c r="B1187">
        <v>210000</v>
      </c>
      <c r="C1187" t="s">
        <v>46</v>
      </c>
      <c r="D1187" t="s">
        <v>15</v>
      </c>
      <c r="E1187">
        <v>0.41485899999999998</v>
      </c>
    </row>
    <row r="1188" spans="1:5" hidden="1" x14ac:dyDescent="0.3">
      <c r="A1188">
        <v>22</v>
      </c>
      <c r="B1188">
        <v>210000</v>
      </c>
      <c r="C1188" t="s">
        <v>46</v>
      </c>
      <c r="D1188" t="s">
        <v>16</v>
      </c>
      <c r="E1188">
        <v>31515.327069999999</v>
      </c>
    </row>
    <row r="1189" spans="1:5" hidden="1" x14ac:dyDescent="0.3">
      <c r="A1189">
        <v>22</v>
      </c>
      <c r="B1189">
        <v>210000</v>
      </c>
      <c r="C1189" t="s">
        <v>46</v>
      </c>
      <c r="D1189" t="s">
        <v>17</v>
      </c>
      <c r="E1189">
        <v>1.0104610000000001</v>
      </c>
    </row>
    <row r="1190" spans="1:5" hidden="1" x14ac:dyDescent="0.3">
      <c r="A1190">
        <v>22</v>
      </c>
      <c r="B1190">
        <v>210000</v>
      </c>
      <c r="C1190" t="s">
        <v>46</v>
      </c>
      <c r="D1190" t="s">
        <v>18</v>
      </c>
      <c r="E1190">
        <v>44.417684999999999</v>
      </c>
    </row>
    <row r="1191" spans="1:5" hidden="1" x14ac:dyDescent="0.3">
      <c r="A1191">
        <v>22</v>
      </c>
      <c r="B1191">
        <v>210000</v>
      </c>
      <c r="C1191" t="s">
        <v>46</v>
      </c>
      <c r="D1191" t="s">
        <v>19</v>
      </c>
      <c r="E1191">
        <v>4222.2230879999997</v>
      </c>
    </row>
    <row r="1192" spans="1:5" hidden="1" x14ac:dyDescent="0.3">
      <c r="A1192">
        <v>22</v>
      </c>
      <c r="B1192">
        <v>210000</v>
      </c>
      <c r="C1192" t="s">
        <v>46</v>
      </c>
      <c r="D1192" t="s">
        <v>20</v>
      </c>
      <c r="E1192">
        <v>6055.55663</v>
      </c>
    </row>
    <row r="1193" spans="1:5" hidden="1" x14ac:dyDescent="0.3">
      <c r="A1193">
        <v>22</v>
      </c>
      <c r="B1193">
        <v>210000</v>
      </c>
      <c r="C1193" t="s">
        <v>46</v>
      </c>
      <c r="D1193" t="s">
        <v>21</v>
      </c>
      <c r="E1193">
        <v>4.9331E-2</v>
      </c>
    </row>
    <row r="1194" spans="1:5" hidden="1" x14ac:dyDescent="0.3">
      <c r="A1194">
        <v>22</v>
      </c>
      <c r="B1194">
        <v>210000</v>
      </c>
      <c r="C1194" t="s">
        <v>46</v>
      </c>
      <c r="D1194" t="s">
        <v>22</v>
      </c>
      <c r="E1194">
        <v>268.87855400000001</v>
      </c>
    </row>
    <row r="1195" spans="1:5" hidden="1" x14ac:dyDescent="0.3">
      <c r="A1195">
        <v>22</v>
      </c>
      <c r="B1195">
        <v>210000</v>
      </c>
      <c r="C1195" t="s">
        <v>46</v>
      </c>
      <c r="D1195" t="s">
        <v>23</v>
      </c>
      <c r="E1195">
        <v>1722.2235290000001</v>
      </c>
    </row>
    <row r="1196" spans="1:5" hidden="1" x14ac:dyDescent="0.3">
      <c r="A1196">
        <v>22</v>
      </c>
      <c r="B1196">
        <v>210000</v>
      </c>
      <c r="C1196" t="s">
        <v>46</v>
      </c>
      <c r="D1196" t="s">
        <v>24</v>
      </c>
      <c r="E1196">
        <v>0.44941900000000001</v>
      </c>
    </row>
    <row r="1197" spans="1:5" hidden="1" x14ac:dyDescent="0.3">
      <c r="A1197">
        <v>22</v>
      </c>
      <c r="B1197">
        <v>210000</v>
      </c>
      <c r="C1197" t="s">
        <v>46</v>
      </c>
      <c r="D1197" t="s">
        <v>25</v>
      </c>
      <c r="E1197">
        <v>1500.0005369999999</v>
      </c>
    </row>
    <row r="1198" spans="1:5" hidden="1" x14ac:dyDescent="0.3">
      <c r="A1198">
        <v>22</v>
      </c>
      <c r="B1198">
        <v>210000</v>
      </c>
      <c r="C1198" t="s">
        <v>46</v>
      </c>
      <c r="D1198" t="s">
        <v>26</v>
      </c>
      <c r="E1198">
        <v>0.218722</v>
      </c>
    </row>
    <row r="1199" spans="1:5" hidden="1" x14ac:dyDescent="0.3">
      <c r="A1199">
        <v>22</v>
      </c>
      <c r="B1199">
        <v>210000</v>
      </c>
      <c r="C1199" t="s">
        <v>47</v>
      </c>
      <c r="D1199" t="s">
        <v>6</v>
      </c>
      <c r="E1199">
        <v>13.742020999999999</v>
      </c>
    </row>
    <row r="1200" spans="1:5" hidden="1" x14ac:dyDescent="0.3">
      <c r="A1200">
        <v>22</v>
      </c>
      <c r="B1200">
        <v>210000</v>
      </c>
      <c r="C1200" t="s">
        <v>47</v>
      </c>
      <c r="D1200" t="s">
        <v>7</v>
      </c>
      <c r="E1200">
        <v>22194.444817</v>
      </c>
    </row>
    <row r="1201" spans="1:5" hidden="1" x14ac:dyDescent="0.3">
      <c r="A1201">
        <v>22</v>
      </c>
      <c r="B1201">
        <v>210000</v>
      </c>
      <c r="C1201" t="s">
        <v>47</v>
      </c>
      <c r="D1201" t="s">
        <v>8</v>
      </c>
      <c r="E1201">
        <v>194.44472200000001</v>
      </c>
    </row>
    <row r="1202" spans="1:5" hidden="1" x14ac:dyDescent="0.3">
      <c r="A1202">
        <v>22</v>
      </c>
      <c r="B1202">
        <v>210000</v>
      </c>
      <c r="C1202" t="s">
        <v>47</v>
      </c>
      <c r="D1202" t="s">
        <v>9</v>
      </c>
      <c r="E1202">
        <v>34138.483686</v>
      </c>
    </row>
    <row r="1203" spans="1:5" hidden="1" x14ac:dyDescent="0.3">
      <c r="A1203">
        <v>22</v>
      </c>
      <c r="B1203">
        <v>210000</v>
      </c>
      <c r="C1203" t="s">
        <v>47</v>
      </c>
      <c r="D1203" t="s">
        <v>10</v>
      </c>
      <c r="E1203">
        <v>77249.996333000003</v>
      </c>
    </row>
    <row r="1204" spans="1:5" hidden="1" x14ac:dyDescent="0.3">
      <c r="A1204">
        <v>22</v>
      </c>
      <c r="B1204">
        <v>210000</v>
      </c>
      <c r="C1204" t="s">
        <v>47</v>
      </c>
      <c r="D1204" t="s">
        <v>11</v>
      </c>
      <c r="E1204">
        <v>24709.967032</v>
      </c>
    </row>
    <row r="1205" spans="1:5" hidden="1" x14ac:dyDescent="0.3">
      <c r="A1205">
        <v>22</v>
      </c>
      <c r="B1205">
        <v>210000</v>
      </c>
      <c r="C1205" t="s">
        <v>47</v>
      </c>
      <c r="D1205" t="s">
        <v>12</v>
      </c>
      <c r="E1205">
        <v>3166.667027</v>
      </c>
    </row>
    <row r="1206" spans="1:5" hidden="1" x14ac:dyDescent="0.3">
      <c r="A1206">
        <v>22</v>
      </c>
      <c r="B1206">
        <v>210000</v>
      </c>
      <c r="C1206" t="s">
        <v>47</v>
      </c>
      <c r="D1206" t="s">
        <v>13</v>
      </c>
      <c r="E1206">
        <v>3543.1392770000002</v>
      </c>
    </row>
    <row r="1207" spans="1:5" hidden="1" x14ac:dyDescent="0.3">
      <c r="A1207">
        <v>22</v>
      </c>
      <c r="B1207">
        <v>210000</v>
      </c>
      <c r="C1207" t="s">
        <v>47</v>
      </c>
      <c r="D1207" t="s">
        <v>14</v>
      </c>
      <c r="E1207">
        <v>1916.667029</v>
      </c>
    </row>
    <row r="1208" spans="1:5" hidden="1" x14ac:dyDescent="0.3">
      <c r="A1208">
        <v>22</v>
      </c>
      <c r="B1208">
        <v>210000</v>
      </c>
      <c r="C1208" t="s">
        <v>47</v>
      </c>
      <c r="D1208" t="s">
        <v>15</v>
      </c>
      <c r="E1208">
        <v>154.34529900000001</v>
      </c>
    </row>
    <row r="1209" spans="1:5" hidden="1" x14ac:dyDescent="0.3">
      <c r="A1209">
        <v>22</v>
      </c>
      <c r="B1209">
        <v>210000</v>
      </c>
      <c r="C1209" t="s">
        <v>47</v>
      </c>
      <c r="D1209" t="s">
        <v>16</v>
      </c>
      <c r="E1209">
        <v>18386.155675000002</v>
      </c>
    </row>
    <row r="1210" spans="1:5" hidden="1" x14ac:dyDescent="0.3">
      <c r="A1210">
        <v>22</v>
      </c>
      <c r="B1210">
        <v>210000</v>
      </c>
      <c r="C1210" t="s">
        <v>47</v>
      </c>
      <c r="D1210" t="s">
        <v>17</v>
      </c>
      <c r="E1210">
        <v>55.555638999999999</v>
      </c>
    </row>
    <row r="1211" spans="1:5" hidden="1" x14ac:dyDescent="0.3">
      <c r="A1211">
        <v>22</v>
      </c>
      <c r="B1211">
        <v>210000</v>
      </c>
      <c r="C1211" t="s">
        <v>47</v>
      </c>
      <c r="D1211" t="s">
        <v>18</v>
      </c>
      <c r="E1211">
        <v>8.8892869999999995</v>
      </c>
    </row>
    <row r="1212" spans="1:5" hidden="1" x14ac:dyDescent="0.3">
      <c r="A1212">
        <v>22</v>
      </c>
      <c r="B1212">
        <v>210000</v>
      </c>
      <c r="C1212" t="s">
        <v>47</v>
      </c>
      <c r="D1212" t="s">
        <v>19</v>
      </c>
      <c r="E1212">
        <v>1277.778159</v>
      </c>
    </row>
    <row r="1213" spans="1:5" hidden="1" x14ac:dyDescent="0.3">
      <c r="A1213">
        <v>22</v>
      </c>
      <c r="B1213">
        <v>210000</v>
      </c>
      <c r="C1213" t="s">
        <v>47</v>
      </c>
      <c r="D1213" t="s">
        <v>20</v>
      </c>
      <c r="E1213">
        <v>1472.222622</v>
      </c>
    </row>
    <row r="1214" spans="1:5" hidden="1" x14ac:dyDescent="0.3">
      <c r="A1214">
        <v>22</v>
      </c>
      <c r="B1214">
        <v>210000</v>
      </c>
      <c r="C1214" t="s">
        <v>47</v>
      </c>
      <c r="D1214" t="s">
        <v>21</v>
      </c>
      <c r="E1214">
        <v>7.5114E-2</v>
      </c>
    </row>
    <row r="1215" spans="1:5" hidden="1" x14ac:dyDescent="0.3">
      <c r="A1215">
        <v>22</v>
      </c>
      <c r="B1215">
        <v>210000</v>
      </c>
      <c r="C1215" t="s">
        <v>47</v>
      </c>
      <c r="D1215" t="s">
        <v>22</v>
      </c>
      <c r="E1215">
        <v>100.82813400000001</v>
      </c>
    </row>
    <row r="1216" spans="1:5" hidden="1" x14ac:dyDescent="0.3">
      <c r="A1216">
        <v>22</v>
      </c>
      <c r="B1216">
        <v>210000</v>
      </c>
      <c r="C1216" t="s">
        <v>47</v>
      </c>
      <c r="D1216" t="s">
        <v>23</v>
      </c>
      <c r="E1216">
        <v>388.88930699999997</v>
      </c>
    </row>
    <row r="1217" spans="1:5" hidden="1" x14ac:dyDescent="0.3">
      <c r="A1217">
        <v>22</v>
      </c>
      <c r="B1217">
        <v>210000</v>
      </c>
      <c r="C1217" t="s">
        <v>47</v>
      </c>
      <c r="D1217" t="s">
        <v>24</v>
      </c>
      <c r="E1217">
        <v>20666.481857999999</v>
      </c>
    </row>
    <row r="1218" spans="1:5" hidden="1" x14ac:dyDescent="0.3">
      <c r="A1218">
        <v>22</v>
      </c>
      <c r="B1218">
        <v>210000</v>
      </c>
      <c r="C1218" t="s">
        <v>47</v>
      </c>
      <c r="D1218" t="s">
        <v>25</v>
      </c>
      <c r="E1218">
        <v>361.11145499999998</v>
      </c>
    </row>
    <row r="1219" spans="1:5" hidden="1" x14ac:dyDescent="0.3">
      <c r="A1219">
        <v>22</v>
      </c>
      <c r="B1219">
        <v>210000</v>
      </c>
      <c r="C1219" t="s">
        <v>47</v>
      </c>
      <c r="D1219" t="s">
        <v>26</v>
      </c>
      <c r="E1219">
        <v>0.12625400000000001</v>
      </c>
    </row>
    <row r="1220" spans="1:5" hidden="1" x14ac:dyDescent="0.3">
      <c r="A1220">
        <v>23</v>
      </c>
      <c r="B1220">
        <v>215000</v>
      </c>
      <c r="C1220" t="s">
        <v>45</v>
      </c>
      <c r="D1220" t="s">
        <v>6</v>
      </c>
      <c r="E1220">
        <v>0.19858500000000001</v>
      </c>
    </row>
    <row r="1221" spans="1:5" hidden="1" x14ac:dyDescent="0.3">
      <c r="A1221">
        <v>23</v>
      </c>
      <c r="B1221">
        <v>215000</v>
      </c>
      <c r="C1221" t="s">
        <v>45</v>
      </c>
      <c r="D1221" t="s">
        <v>7</v>
      </c>
      <c r="E1221">
        <v>31581.872938</v>
      </c>
    </row>
    <row r="1222" spans="1:5" hidden="1" x14ac:dyDescent="0.3">
      <c r="A1222">
        <v>23</v>
      </c>
      <c r="B1222">
        <v>215000</v>
      </c>
      <c r="C1222" t="s">
        <v>45</v>
      </c>
      <c r="D1222" t="s">
        <v>8</v>
      </c>
      <c r="E1222">
        <v>0.29841400000000001</v>
      </c>
    </row>
    <row r="1223" spans="1:5" hidden="1" x14ac:dyDescent="0.3">
      <c r="A1223">
        <v>23</v>
      </c>
      <c r="B1223">
        <v>215000</v>
      </c>
      <c r="C1223" t="s">
        <v>45</v>
      </c>
      <c r="D1223" t="s">
        <v>9</v>
      </c>
      <c r="E1223">
        <v>1.2327859999999999</v>
      </c>
    </row>
    <row r="1224" spans="1:5" hidden="1" x14ac:dyDescent="0.3">
      <c r="A1224">
        <v>23</v>
      </c>
      <c r="B1224">
        <v>215000</v>
      </c>
      <c r="C1224" t="s">
        <v>45</v>
      </c>
      <c r="D1224" t="s">
        <v>10</v>
      </c>
      <c r="E1224">
        <v>0.233322</v>
      </c>
    </row>
    <row r="1225" spans="1:5" hidden="1" x14ac:dyDescent="0.3">
      <c r="A1225">
        <v>23</v>
      </c>
      <c r="B1225">
        <v>215000</v>
      </c>
      <c r="C1225" t="s">
        <v>45</v>
      </c>
      <c r="D1225" t="s">
        <v>11</v>
      </c>
      <c r="E1225">
        <v>34138.828127000001</v>
      </c>
    </row>
    <row r="1226" spans="1:5" hidden="1" x14ac:dyDescent="0.3">
      <c r="A1226">
        <v>23</v>
      </c>
      <c r="B1226">
        <v>215000</v>
      </c>
      <c r="C1226" t="s">
        <v>45</v>
      </c>
      <c r="D1226" t="s">
        <v>12</v>
      </c>
      <c r="E1226">
        <v>44388.849106000001</v>
      </c>
    </row>
    <row r="1227" spans="1:5" hidden="1" x14ac:dyDescent="0.3">
      <c r="A1227">
        <v>23</v>
      </c>
      <c r="B1227">
        <v>215000</v>
      </c>
      <c r="C1227" t="s">
        <v>45</v>
      </c>
      <c r="D1227" t="s">
        <v>13</v>
      </c>
      <c r="E1227">
        <v>35431.331424999997</v>
      </c>
    </row>
    <row r="1228" spans="1:5" hidden="1" x14ac:dyDescent="0.3">
      <c r="A1228">
        <v>23</v>
      </c>
      <c r="B1228">
        <v>215000</v>
      </c>
      <c r="C1228" t="s">
        <v>45</v>
      </c>
      <c r="D1228" t="s">
        <v>14</v>
      </c>
      <c r="E1228">
        <v>85.918227999999999</v>
      </c>
    </row>
    <row r="1229" spans="1:5" hidden="1" x14ac:dyDescent="0.3">
      <c r="A1229">
        <v>23</v>
      </c>
      <c r="B1229">
        <v>215000</v>
      </c>
      <c r="C1229" t="s">
        <v>45</v>
      </c>
      <c r="D1229" t="s">
        <v>15</v>
      </c>
      <c r="E1229">
        <v>9.6997E-2</v>
      </c>
    </row>
    <row r="1230" spans="1:5" hidden="1" x14ac:dyDescent="0.3">
      <c r="A1230">
        <v>23</v>
      </c>
      <c r="B1230">
        <v>215000</v>
      </c>
      <c r="C1230" t="s">
        <v>45</v>
      </c>
      <c r="D1230" t="s">
        <v>16</v>
      </c>
      <c r="E1230">
        <v>40332.810490000003</v>
      </c>
    </row>
    <row r="1231" spans="1:5" hidden="1" x14ac:dyDescent="0.3">
      <c r="A1231">
        <v>23</v>
      </c>
      <c r="B1231">
        <v>215000</v>
      </c>
      <c r="C1231" t="s">
        <v>45</v>
      </c>
      <c r="D1231" t="s">
        <v>17</v>
      </c>
      <c r="E1231">
        <v>0.155311</v>
      </c>
    </row>
    <row r="1232" spans="1:5" hidden="1" x14ac:dyDescent="0.3">
      <c r="A1232">
        <v>23</v>
      </c>
      <c r="B1232">
        <v>215000</v>
      </c>
      <c r="C1232" t="s">
        <v>45</v>
      </c>
      <c r="D1232" t="s">
        <v>18</v>
      </c>
      <c r="E1232">
        <v>88.814914999999999</v>
      </c>
    </row>
    <row r="1233" spans="1:5" hidden="1" x14ac:dyDescent="0.3">
      <c r="A1233">
        <v>23</v>
      </c>
      <c r="B1233">
        <v>215000</v>
      </c>
      <c r="C1233" t="s">
        <v>45</v>
      </c>
      <c r="D1233" t="s">
        <v>19</v>
      </c>
      <c r="E1233">
        <v>8833.3303579999993</v>
      </c>
    </row>
    <row r="1234" spans="1:5" hidden="1" x14ac:dyDescent="0.3">
      <c r="A1234">
        <v>23</v>
      </c>
      <c r="B1234">
        <v>215000</v>
      </c>
      <c r="C1234" t="s">
        <v>45</v>
      </c>
      <c r="D1234" t="s">
        <v>20</v>
      </c>
      <c r="E1234">
        <v>15166.666359000001</v>
      </c>
    </row>
    <row r="1235" spans="1:5" hidden="1" x14ac:dyDescent="0.3">
      <c r="A1235">
        <v>23</v>
      </c>
      <c r="B1235">
        <v>215000</v>
      </c>
      <c r="C1235" t="s">
        <v>45</v>
      </c>
      <c r="D1235" t="s">
        <v>21</v>
      </c>
      <c r="E1235">
        <v>5.6890000000000003E-2</v>
      </c>
    </row>
    <row r="1236" spans="1:5" hidden="1" x14ac:dyDescent="0.3">
      <c r="A1236">
        <v>23</v>
      </c>
      <c r="B1236">
        <v>215000</v>
      </c>
      <c r="C1236" t="s">
        <v>45</v>
      </c>
      <c r="D1236" t="s">
        <v>22</v>
      </c>
      <c r="E1236">
        <v>504.12949400000002</v>
      </c>
    </row>
    <row r="1237" spans="1:5" hidden="1" x14ac:dyDescent="0.3">
      <c r="A1237">
        <v>23</v>
      </c>
      <c r="B1237">
        <v>215000</v>
      </c>
      <c r="C1237" t="s">
        <v>45</v>
      </c>
      <c r="D1237" t="s">
        <v>23</v>
      </c>
      <c r="E1237">
        <v>4444.4447579999996</v>
      </c>
    </row>
    <row r="1238" spans="1:5" hidden="1" x14ac:dyDescent="0.3">
      <c r="A1238">
        <v>23</v>
      </c>
      <c r="B1238">
        <v>215000</v>
      </c>
      <c r="C1238" t="s">
        <v>45</v>
      </c>
      <c r="D1238" t="s">
        <v>24</v>
      </c>
      <c r="E1238">
        <v>0.1004</v>
      </c>
    </row>
    <row r="1239" spans="1:5" hidden="1" x14ac:dyDescent="0.3">
      <c r="A1239">
        <v>23</v>
      </c>
      <c r="B1239">
        <v>215000</v>
      </c>
      <c r="C1239" t="s">
        <v>45</v>
      </c>
      <c r="D1239" t="s">
        <v>25</v>
      </c>
      <c r="E1239">
        <v>0.58465999999999996</v>
      </c>
    </row>
    <row r="1240" spans="1:5" hidden="1" x14ac:dyDescent="0.3">
      <c r="A1240">
        <v>23</v>
      </c>
      <c r="B1240">
        <v>215000</v>
      </c>
      <c r="C1240" t="s">
        <v>45</v>
      </c>
      <c r="D1240" t="s">
        <v>26</v>
      </c>
      <c r="E1240">
        <v>6.8680000000000005E-2</v>
      </c>
    </row>
    <row r="1241" spans="1:5" x14ac:dyDescent="0.3">
      <c r="A1241">
        <v>23</v>
      </c>
      <c r="B1241">
        <v>215000</v>
      </c>
      <c r="C1241" t="s">
        <v>46</v>
      </c>
      <c r="D1241" t="s">
        <v>6</v>
      </c>
      <c r="E1241">
        <v>54.988486000000002</v>
      </c>
    </row>
    <row r="1242" spans="1:5" hidden="1" x14ac:dyDescent="0.3">
      <c r="A1242">
        <v>23</v>
      </c>
      <c r="B1242">
        <v>215000</v>
      </c>
      <c r="C1242" t="s">
        <v>46</v>
      </c>
      <c r="D1242" t="s">
        <v>7</v>
      </c>
      <c r="E1242">
        <v>36555.553231999998</v>
      </c>
    </row>
    <row r="1243" spans="1:5" hidden="1" x14ac:dyDescent="0.3">
      <c r="A1243">
        <v>23</v>
      </c>
      <c r="B1243">
        <v>215000</v>
      </c>
      <c r="C1243" t="s">
        <v>46</v>
      </c>
      <c r="D1243" t="s">
        <v>8</v>
      </c>
      <c r="E1243">
        <v>194.44550000000001</v>
      </c>
    </row>
    <row r="1244" spans="1:5" hidden="1" x14ac:dyDescent="0.3">
      <c r="A1244">
        <v>23</v>
      </c>
      <c r="B1244">
        <v>215000</v>
      </c>
      <c r="C1244" t="s">
        <v>46</v>
      </c>
      <c r="D1244" t="s">
        <v>9</v>
      </c>
      <c r="E1244">
        <v>34138.486354000001</v>
      </c>
    </row>
    <row r="1245" spans="1:5" hidden="1" x14ac:dyDescent="0.3">
      <c r="A1245">
        <v>23</v>
      </c>
      <c r="B1245">
        <v>215000</v>
      </c>
      <c r="C1245" t="s">
        <v>46</v>
      </c>
      <c r="D1245" t="s">
        <v>10</v>
      </c>
      <c r="E1245">
        <v>37247.548556000002</v>
      </c>
    </row>
    <row r="1246" spans="1:5" hidden="1" x14ac:dyDescent="0.3">
      <c r="A1246">
        <v>23</v>
      </c>
      <c r="B1246">
        <v>215000</v>
      </c>
      <c r="C1246" t="s">
        <v>46</v>
      </c>
      <c r="D1246" t="s">
        <v>11</v>
      </c>
      <c r="E1246">
        <v>28361.114076999998</v>
      </c>
    </row>
    <row r="1247" spans="1:5" hidden="1" x14ac:dyDescent="0.3">
      <c r="A1247">
        <v>23</v>
      </c>
      <c r="B1247">
        <v>215000</v>
      </c>
      <c r="C1247" t="s">
        <v>46</v>
      </c>
      <c r="D1247" t="s">
        <v>12</v>
      </c>
      <c r="E1247">
        <v>12555.558101000001</v>
      </c>
    </row>
    <row r="1248" spans="1:5" hidden="1" x14ac:dyDescent="0.3">
      <c r="A1248">
        <v>23</v>
      </c>
      <c r="B1248">
        <v>215000</v>
      </c>
      <c r="C1248" t="s">
        <v>46</v>
      </c>
      <c r="D1248" t="s">
        <v>13</v>
      </c>
      <c r="E1248">
        <v>14172.547235</v>
      </c>
    </row>
    <row r="1249" spans="1:5" hidden="1" x14ac:dyDescent="0.3">
      <c r="A1249">
        <v>23</v>
      </c>
      <c r="B1249">
        <v>215000</v>
      </c>
      <c r="C1249" t="s">
        <v>46</v>
      </c>
      <c r="D1249" t="s">
        <v>14</v>
      </c>
      <c r="E1249">
        <v>6388.8914629999999</v>
      </c>
    </row>
    <row r="1250" spans="1:5" hidden="1" x14ac:dyDescent="0.3">
      <c r="A1250">
        <v>23</v>
      </c>
      <c r="B1250">
        <v>215000</v>
      </c>
      <c r="C1250" t="s">
        <v>46</v>
      </c>
      <c r="D1250" t="s">
        <v>15</v>
      </c>
      <c r="E1250">
        <v>0.38281199999999999</v>
      </c>
    </row>
    <row r="1251" spans="1:5" hidden="1" x14ac:dyDescent="0.3">
      <c r="A1251">
        <v>23</v>
      </c>
      <c r="B1251">
        <v>215000</v>
      </c>
      <c r="C1251" t="s">
        <v>46</v>
      </c>
      <c r="D1251" t="s">
        <v>16</v>
      </c>
      <c r="E1251">
        <v>31515.364509999999</v>
      </c>
    </row>
    <row r="1252" spans="1:5" hidden="1" x14ac:dyDescent="0.3">
      <c r="A1252">
        <v>23</v>
      </c>
      <c r="B1252">
        <v>215000</v>
      </c>
      <c r="C1252" t="s">
        <v>46</v>
      </c>
      <c r="D1252" t="s">
        <v>17</v>
      </c>
      <c r="E1252">
        <v>1.122954</v>
      </c>
    </row>
    <row r="1253" spans="1:5" hidden="1" x14ac:dyDescent="0.3">
      <c r="A1253">
        <v>23</v>
      </c>
      <c r="B1253">
        <v>215000</v>
      </c>
      <c r="C1253" t="s">
        <v>46</v>
      </c>
      <c r="D1253" t="s">
        <v>18</v>
      </c>
      <c r="E1253">
        <v>44.419361000000002</v>
      </c>
    </row>
    <row r="1254" spans="1:5" hidden="1" x14ac:dyDescent="0.3">
      <c r="A1254">
        <v>23</v>
      </c>
      <c r="B1254">
        <v>215000</v>
      </c>
      <c r="C1254" t="s">
        <v>46</v>
      </c>
      <c r="D1254" t="s">
        <v>19</v>
      </c>
      <c r="E1254">
        <v>4222.2249549999997</v>
      </c>
    </row>
    <row r="1255" spans="1:5" hidden="1" x14ac:dyDescent="0.3">
      <c r="A1255">
        <v>23</v>
      </c>
      <c r="B1255">
        <v>215000</v>
      </c>
      <c r="C1255" t="s">
        <v>46</v>
      </c>
      <c r="D1255" t="s">
        <v>20</v>
      </c>
      <c r="E1255">
        <v>6055.5584550000003</v>
      </c>
    </row>
    <row r="1256" spans="1:5" hidden="1" x14ac:dyDescent="0.3">
      <c r="A1256">
        <v>23</v>
      </c>
      <c r="B1256">
        <v>215000</v>
      </c>
      <c r="C1256" t="s">
        <v>46</v>
      </c>
      <c r="D1256" t="s">
        <v>21</v>
      </c>
      <c r="E1256">
        <v>0.14974899999999999</v>
      </c>
    </row>
    <row r="1257" spans="1:5" hidden="1" x14ac:dyDescent="0.3">
      <c r="A1257">
        <v>23</v>
      </c>
      <c r="B1257">
        <v>215000</v>
      </c>
      <c r="C1257" t="s">
        <v>46</v>
      </c>
      <c r="D1257" t="s">
        <v>22</v>
      </c>
      <c r="E1257">
        <v>268.88036799999998</v>
      </c>
    </row>
    <row r="1258" spans="1:5" hidden="1" x14ac:dyDescent="0.3">
      <c r="A1258">
        <v>23</v>
      </c>
      <c r="B1258">
        <v>215000</v>
      </c>
      <c r="C1258" t="s">
        <v>46</v>
      </c>
      <c r="D1258" t="s">
        <v>23</v>
      </c>
      <c r="E1258">
        <v>1722.225287</v>
      </c>
    </row>
    <row r="1259" spans="1:5" hidden="1" x14ac:dyDescent="0.3">
      <c r="A1259">
        <v>23</v>
      </c>
      <c r="B1259">
        <v>215000</v>
      </c>
      <c r="C1259" t="s">
        <v>46</v>
      </c>
      <c r="D1259" t="s">
        <v>24</v>
      </c>
      <c r="E1259">
        <v>0.41806900000000002</v>
      </c>
    </row>
    <row r="1260" spans="1:5" hidden="1" x14ac:dyDescent="0.3">
      <c r="A1260">
        <v>23</v>
      </c>
      <c r="B1260">
        <v>215000</v>
      </c>
      <c r="C1260" t="s">
        <v>46</v>
      </c>
      <c r="D1260" t="s">
        <v>25</v>
      </c>
      <c r="E1260">
        <v>1500.0023639999999</v>
      </c>
    </row>
    <row r="1261" spans="1:5" hidden="1" x14ac:dyDescent="0.3">
      <c r="A1261">
        <v>23</v>
      </c>
      <c r="B1261">
        <v>215000</v>
      </c>
      <c r="C1261" t="s">
        <v>46</v>
      </c>
      <c r="D1261" t="s">
        <v>26</v>
      </c>
      <c r="E1261">
        <v>0.193019</v>
      </c>
    </row>
    <row r="1262" spans="1:5" hidden="1" x14ac:dyDescent="0.3">
      <c r="A1262">
        <v>23</v>
      </c>
      <c r="B1262">
        <v>215000</v>
      </c>
      <c r="C1262" t="s">
        <v>47</v>
      </c>
      <c r="D1262" t="s">
        <v>6</v>
      </c>
      <c r="E1262">
        <v>13.743164</v>
      </c>
    </row>
    <row r="1263" spans="1:5" hidden="1" x14ac:dyDescent="0.3">
      <c r="A1263">
        <v>23</v>
      </c>
      <c r="B1263">
        <v>215000</v>
      </c>
      <c r="C1263" t="s">
        <v>47</v>
      </c>
      <c r="D1263" t="s">
        <v>7</v>
      </c>
      <c r="E1263">
        <v>22194.445845999999</v>
      </c>
    </row>
    <row r="1264" spans="1:5" hidden="1" x14ac:dyDescent="0.3">
      <c r="A1264">
        <v>23</v>
      </c>
      <c r="B1264">
        <v>215000</v>
      </c>
      <c r="C1264" t="s">
        <v>47</v>
      </c>
      <c r="D1264" t="s">
        <v>8</v>
      </c>
      <c r="E1264">
        <v>194.44563400000001</v>
      </c>
    </row>
    <row r="1265" spans="1:5" hidden="1" x14ac:dyDescent="0.3">
      <c r="A1265">
        <v>23</v>
      </c>
      <c r="B1265">
        <v>215000</v>
      </c>
      <c r="C1265" t="s">
        <v>47</v>
      </c>
      <c r="D1265" t="s">
        <v>9</v>
      </c>
      <c r="E1265">
        <v>34138.484618000002</v>
      </c>
    </row>
    <row r="1266" spans="1:5" hidden="1" x14ac:dyDescent="0.3">
      <c r="A1266">
        <v>23</v>
      </c>
      <c r="B1266">
        <v>215000</v>
      </c>
      <c r="C1266" t="s">
        <v>47</v>
      </c>
      <c r="D1266" t="s">
        <v>10</v>
      </c>
      <c r="E1266">
        <v>77250.000935999997</v>
      </c>
    </row>
    <row r="1267" spans="1:5" hidden="1" x14ac:dyDescent="0.3">
      <c r="A1267">
        <v>23</v>
      </c>
      <c r="B1267">
        <v>215000</v>
      </c>
      <c r="C1267" t="s">
        <v>47</v>
      </c>
      <c r="D1267" t="s">
        <v>11</v>
      </c>
      <c r="E1267">
        <v>24709.967954</v>
      </c>
    </row>
    <row r="1268" spans="1:5" hidden="1" x14ac:dyDescent="0.3">
      <c r="A1268">
        <v>23</v>
      </c>
      <c r="B1268">
        <v>215000</v>
      </c>
      <c r="C1268" t="s">
        <v>47</v>
      </c>
      <c r="D1268" t="s">
        <v>12</v>
      </c>
      <c r="E1268">
        <v>3166.6679009999998</v>
      </c>
    </row>
    <row r="1269" spans="1:5" hidden="1" x14ac:dyDescent="0.3">
      <c r="A1269">
        <v>23</v>
      </c>
      <c r="B1269">
        <v>215000</v>
      </c>
      <c r="C1269" t="s">
        <v>47</v>
      </c>
      <c r="D1269" t="s">
        <v>13</v>
      </c>
      <c r="E1269">
        <v>3543.1402419999999</v>
      </c>
    </row>
    <row r="1270" spans="1:5" hidden="1" x14ac:dyDescent="0.3">
      <c r="A1270">
        <v>23</v>
      </c>
      <c r="B1270">
        <v>215000</v>
      </c>
      <c r="C1270" t="s">
        <v>47</v>
      </c>
      <c r="D1270" t="s">
        <v>14</v>
      </c>
      <c r="E1270">
        <v>1916.667942</v>
      </c>
    </row>
    <row r="1271" spans="1:5" hidden="1" x14ac:dyDescent="0.3">
      <c r="A1271">
        <v>23</v>
      </c>
      <c r="B1271">
        <v>215000</v>
      </c>
      <c r="C1271" t="s">
        <v>47</v>
      </c>
      <c r="D1271" t="s">
        <v>15</v>
      </c>
      <c r="E1271">
        <v>5153.8192529999997</v>
      </c>
    </row>
    <row r="1272" spans="1:5" hidden="1" x14ac:dyDescent="0.3">
      <c r="A1272">
        <v>23</v>
      </c>
      <c r="B1272">
        <v>215000</v>
      </c>
      <c r="C1272" t="s">
        <v>47</v>
      </c>
      <c r="D1272" t="s">
        <v>16</v>
      </c>
      <c r="E1272">
        <v>18386.157385999999</v>
      </c>
    </row>
    <row r="1273" spans="1:5" hidden="1" x14ac:dyDescent="0.3">
      <c r="A1273">
        <v>23</v>
      </c>
      <c r="B1273">
        <v>215000</v>
      </c>
      <c r="C1273" t="s">
        <v>47</v>
      </c>
      <c r="D1273" t="s">
        <v>17</v>
      </c>
      <c r="E1273">
        <v>55.556286</v>
      </c>
    </row>
    <row r="1274" spans="1:5" hidden="1" x14ac:dyDescent="0.3">
      <c r="A1274">
        <v>23</v>
      </c>
      <c r="B1274">
        <v>215000</v>
      </c>
      <c r="C1274" t="s">
        <v>47</v>
      </c>
      <c r="D1274" t="s">
        <v>18</v>
      </c>
      <c r="E1274">
        <v>8.8905130000000003</v>
      </c>
    </row>
    <row r="1275" spans="1:5" hidden="1" x14ac:dyDescent="0.3">
      <c r="A1275">
        <v>23</v>
      </c>
      <c r="B1275">
        <v>215000</v>
      </c>
      <c r="C1275" t="s">
        <v>47</v>
      </c>
      <c r="D1275" t="s">
        <v>19</v>
      </c>
      <c r="E1275">
        <v>1277.7791580000001</v>
      </c>
    </row>
    <row r="1276" spans="1:5" hidden="1" x14ac:dyDescent="0.3">
      <c r="A1276">
        <v>23</v>
      </c>
      <c r="B1276">
        <v>215000</v>
      </c>
      <c r="C1276" t="s">
        <v>47</v>
      </c>
      <c r="D1276" t="s">
        <v>20</v>
      </c>
      <c r="E1276">
        <v>1472.2236559999999</v>
      </c>
    </row>
    <row r="1277" spans="1:5" hidden="1" x14ac:dyDescent="0.3">
      <c r="A1277">
        <v>23</v>
      </c>
      <c r="B1277">
        <v>215000</v>
      </c>
      <c r="C1277" t="s">
        <v>47</v>
      </c>
      <c r="D1277" t="s">
        <v>21</v>
      </c>
      <c r="E1277">
        <v>0.36766900000000002</v>
      </c>
    </row>
    <row r="1278" spans="1:5" hidden="1" x14ac:dyDescent="0.3">
      <c r="A1278">
        <v>23</v>
      </c>
      <c r="B1278">
        <v>215000</v>
      </c>
      <c r="C1278" t="s">
        <v>47</v>
      </c>
      <c r="D1278" t="s">
        <v>22</v>
      </c>
      <c r="E1278">
        <v>100.82923700000001</v>
      </c>
    </row>
    <row r="1279" spans="1:5" hidden="1" x14ac:dyDescent="0.3">
      <c r="A1279">
        <v>23</v>
      </c>
      <c r="B1279">
        <v>215000</v>
      </c>
      <c r="C1279" t="s">
        <v>47</v>
      </c>
      <c r="D1279" t="s">
        <v>23</v>
      </c>
      <c r="E1279">
        <v>388.890469</v>
      </c>
    </row>
    <row r="1280" spans="1:5" hidden="1" x14ac:dyDescent="0.3">
      <c r="A1280">
        <v>23</v>
      </c>
      <c r="B1280">
        <v>215000</v>
      </c>
      <c r="C1280" t="s">
        <v>47</v>
      </c>
      <c r="D1280" t="s">
        <v>24</v>
      </c>
      <c r="E1280">
        <v>20666.204641</v>
      </c>
    </row>
    <row r="1281" spans="1:5" hidden="1" x14ac:dyDescent="0.3">
      <c r="A1281">
        <v>23</v>
      </c>
      <c r="B1281">
        <v>215000</v>
      </c>
      <c r="C1281" t="s">
        <v>47</v>
      </c>
      <c r="D1281" t="s">
        <v>25</v>
      </c>
      <c r="E1281">
        <v>361.11245500000001</v>
      </c>
    </row>
    <row r="1282" spans="1:5" hidden="1" x14ac:dyDescent="0.3">
      <c r="A1282">
        <v>23</v>
      </c>
      <c r="B1282">
        <v>215000</v>
      </c>
      <c r="C1282" t="s">
        <v>47</v>
      </c>
      <c r="D1282" t="s">
        <v>26</v>
      </c>
      <c r="E1282">
        <v>0.64588299999999998</v>
      </c>
    </row>
    <row r="1283" spans="1:5" hidden="1" x14ac:dyDescent="0.3">
      <c r="A1283">
        <v>24</v>
      </c>
      <c r="B1283">
        <v>220000</v>
      </c>
      <c r="C1283" t="s">
        <v>45</v>
      </c>
      <c r="D1283" t="s">
        <v>6</v>
      </c>
      <c r="E1283">
        <v>0.13483700000000001</v>
      </c>
    </row>
    <row r="1284" spans="1:5" hidden="1" x14ac:dyDescent="0.3">
      <c r="A1284">
        <v>24</v>
      </c>
      <c r="B1284">
        <v>220000</v>
      </c>
      <c r="C1284" t="s">
        <v>45</v>
      </c>
      <c r="D1284" t="s">
        <v>7</v>
      </c>
      <c r="E1284">
        <v>36595.305797000001</v>
      </c>
    </row>
    <row r="1285" spans="1:5" hidden="1" x14ac:dyDescent="0.3">
      <c r="A1285">
        <v>24</v>
      </c>
      <c r="B1285">
        <v>220000</v>
      </c>
      <c r="C1285" t="s">
        <v>45</v>
      </c>
      <c r="D1285" t="s">
        <v>8</v>
      </c>
      <c r="E1285">
        <v>0.17044400000000001</v>
      </c>
    </row>
    <row r="1286" spans="1:5" hidden="1" x14ac:dyDescent="0.3">
      <c r="A1286">
        <v>24</v>
      </c>
      <c r="B1286">
        <v>220000</v>
      </c>
      <c r="C1286" t="s">
        <v>45</v>
      </c>
      <c r="D1286" t="s">
        <v>9</v>
      </c>
      <c r="E1286">
        <v>0.65947699999999998</v>
      </c>
    </row>
    <row r="1287" spans="1:5" hidden="1" x14ac:dyDescent="0.3">
      <c r="A1287">
        <v>24</v>
      </c>
      <c r="B1287">
        <v>220000</v>
      </c>
      <c r="C1287" t="s">
        <v>45</v>
      </c>
      <c r="D1287" t="s">
        <v>10</v>
      </c>
      <c r="E1287">
        <v>0.121082</v>
      </c>
    </row>
    <row r="1288" spans="1:5" hidden="1" x14ac:dyDescent="0.3">
      <c r="A1288">
        <v>24</v>
      </c>
      <c r="B1288">
        <v>220000</v>
      </c>
      <c r="C1288" t="s">
        <v>45</v>
      </c>
      <c r="D1288" t="s">
        <v>11</v>
      </c>
      <c r="E1288">
        <v>34138.869856999998</v>
      </c>
    </row>
    <row r="1289" spans="1:5" hidden="1" x14ac:dyDescent="0.3">
      <c r="A1289">
        <v>24</v>
      </c>
      <c r="B1289">
        <v>220000</v>
      </c>
      <c r="C1289" t="s">
        <v>45</v>
      </c>
      <c r="D1289" t="s">
        <v>12</v>
      </c>
      <c r="E1289">
        <v>44388.860419999997</v>
      </c>
    </row>
    <row r="1290" spans="1:5" hidden="1" x14ac:dyDescent="0.3">
      <c r="A1290">
        <v>24</v>
      </c>
      <c r="B1290">
        <v>220000</v>
      </c>
      <c r="C1290" t="s">
        <v>45</v>
      </c>
      <c r="D1290" t="s">
        <v>13</v>
      </c>
      <c r="E1290">
        <v>35431.342203</v>
      </c>
    </row>
    <row r="1291" spans="1:5" hidden="1" x14ac:dyDescent="0.3">
      <c r="A1291">
        <v>24</v>
      </c>
      <c r="B1291">
        <v>220000</v>
      </c>
      <c r="C1291" t="s">
        <v>45</v>
      </c>
      <c r="D1291" t="s">
        <v>14</v>
      </c>
      <c r="E1291">
        <v>73.603069000000005</v>
      </c>
    </row>
    <row r="1292" spans="1:5" hidden="1" x14ac:dyDescent="0.3">
      <c r="A1292">
        <v>24</v>
      </c>
      <c r="B1292">
        <v>220000</v>
      </c>
      <c r="C1292" t="s">
        <v>45</v>
      </c>
      <c r="D1292" t="s">
        <v>15</v>
      </c>
      <c r="E1292">
        <v>4.7713999999999999E-2</v>
      </c>
    </row>
    <row r="1293" spans="1:5" hidden="1" x14ac:dyDescent="0.3">
      <c r="A1293">
        <v>24</v>
      </c>
      <c r="B1293">
        <v>220000</v>
      </c>
      <c r="C1293" t="s">
        <v>45</v>
      </c>
      <c r="D1293" t="s">
        <v>16</v>
      </c>
      <c r="E1293">
        <v>40332.994405999998</v>
      </c>
    </row>
    <row r="1294" spans="1:5" hidden="1" x14ac:dyDescent="0.3">
      <c r="A1294">
        <v>24</v>
      </c>
      <c r="B1294">
        <v>220000</v>
      </c>
      <c r="C1294" t="s">
        <v>45</v>
      </c>
      <c r="D1294" t="s">
        <v>17</v>
      </c>
      <c r="E1294">
        <v>8.1544000000000005E-2</v>
      </c>
    </row>
    <row r="1295" spans="1:5" hidden="1" x14ac:dyDescent="0.3">
      <c r="A1295">
        <v>24</v>
      </c>
      <c r="B1295">
        <v>220000</v>
      </c>
      <c r="C1295" t="s">
        <v>45</v>
      </c>
      <c r="D1295" t="s">
        <v>18</v>
      </c>
      <c r="E1295">
        <v>88.812650000000005</v>
      </c>
    </row>
    <row r="1296" spans="1:5" hidden="1" x14ac:dyDescent="0.3">
      <c r="A1296">
        <v>24</v>
      </c>
      <c r="B1296">
        <v>220000</v>
      </c>
      <c r="C1296" t="s">
        <v>45</v>
      </c>
      <c r="D1296" t="s">
        <v>19</v>
      </c>
      <c r="E1296">
        <v>8833.3317760000009</v>
      </c>
    </row>
    <row r="1297" spans="1:5" hidden="1" x14ac:dyDescent="0.3">
      <c r="A1297">
        <v>24</v>
      </c>
      <c r="B1297">
        <v>220000</v>
      </c>
      <c r="C1297" t="s">
        <v>45</v>
      </c>
      <c r="D1297" t="s">
        <v>20</v>
      </c>
      <c r="E1297">
        <v>15166.666482000001</v>
      </c>
    </row>
    <row r="1298" spans="1:5" hidden="1" x14ac:dyDescent="0.3">
      <c r="A1298">
        <v>24</v>
      </c>
      <c r="B1298">
        <v>220000</v>
      </c>
      <c r="C1298" t="s">
        <v>45</v>
      </c>
      <c r="D1298" t="s">
        <v>21</v>
      </c>
      <c r="E1298">
        <v>3.0745000000000001E-2</v>
      </c>
    </row>
    <row r="1299" spans="1:5" hidden="1" x14ac:dyDescent="0.3">
      <c r="A1299">
        <v>24</v>
      </c>
      <c r="B1299">
        <v>220000</v>
      </c>
      <c r="C1299" t="s">
        <v>45</v>
      </c>
      <c r="D1299" t="s">
        <v>22</v>
      </c>
      <c r="E1299">
        <v>504.12366900000001</v>
      </c>
    </row>
    <row r="1300" spans="1:5" hidden="1" x14ac:dyDescent="0.3">
      <c r="A1300">
        <v>24</v>
      </c>
      <c r="B1300">
        <v>220000</v>
      </c>
      <c r="C1300" t="s">
        <v>45</v>
      </c>
      <c r="D1300" t="s">
        <v>23</v>
      </c>
      <c r="E1300">
        <v>4444.4446180000004</v>
      </c>
    </row>
    <row r="1301" spans="1:5" hidden="1" x14ac:dyDescent="0.3">
      <c r="A1301">
        <v>24</v>
      </c>
      <c r="B1301">
        <v>220000</v>
      </c>
      <c r="C1301" t="s">
        <v>45</v>
      </c>
      <c r="D1301" t="s">
        <v>24</v>
      </c>
      <c r="E1301">
        <v>4.9363999999999998E-2</v>
      </c>
    </row>
    <row r="1302" spans="1:5" hidden="1" x14ac:dyDescent="0.3">
      <c r="A1302">
        <v>24</v>
      </c>
      <c r="B1302">
        <v>220000</v>
      </c>
      <c r="C1302" t="s">
        <v>45</v>
      </c>
      <c r="D1302" t="s">
        <v>25</v>
      </c>
      <c r="E1302">
        <v>0.32529400000000003</v>
      </c>
    </row>
    <row r="1303" spans="1:5" hidden="1" x14ac:dyDescent="0.3">
      <c r="A1303">
        <v>24</v>
      </c>
      <c r="B1303">
        <v>220000</v>
      </c>
      <c r="C1303" t="s">
        <v>45</v>
      </c>
      <c r="D1303" t="s">
        <v>26</v>
      </c>
      <c r="E1303">
        <v>3.7143000000000002E-2</v>
      </c>
    </row>
    <row r="1304" spans="1:5" x14ac:dyDescent="0.3">
      <c r="A1304">
        <v>24</v>
      </c>
      <c r="B1304">
        <v>220000</v>
      </c>
      <c r="C1304" t="s">
        <v>46</v>
      </c>
      <c r="D1304" t="s">
        <v>6</v>
      </c>
      <c r="E1304">
        <v>54.987423</v>
      </c>
    </row>
    <row r="1305" spans="1:5" hidden="1" x14ac:dyDescent="0.3">
      <c r="A1305">
        <v>24</v>
      </c>
      <c r="B1305">
        <v>220000</v>
      </c>
      <c r="C1305" t="s">
        <v>46</v>
      </c>
      <c r="D1305" t="s">
        <v>7</v>
      </c>
      <c r="E1305">
        <v>36555.542873999999</v>
      </c>
    </row>
    <row r="1306" spans="1:5" hidden="1" x14ac:dyDescent="0.3">
      <c r="A1306">
        <v>24</v>
      </c>
      <c r="B1306">
        <v>220000</v>
      </c>
      <c r="C1306" t="s">
        <v>46</v>
      </c>
      <c r="D1306" t="s">
        <v>8</v>
      </c>
      <c r="E1306">
        <v>194.443817</v>
      </c>
    </row>
    <row r="1307" spans="1:5" hidden="1" x14ac:dyDescent="0.3">
      <c r="A1307">
        <v>24</v>
      </c>
      <c r="B1307">
        <v>220000</v>
      </c>
      <c r="C1307" t="s">
        <v>46</v>
      </c>
      <c r="D1307" t="s">
        <v>9</v>
      </c>
      <c r="E1307">
        <v>34138.482011</v>
      </c>
    </row>
    <row r="1308" spans="1:5" hidden="1" x14ac:dyDescent="0.3">
      <c r="A1308">
        <v>24</v>
      </c>
      <c r="B1308">
        <v>220000</v>
      </c>
      <c r="C1308" t="s">
        <v>46</v>
      </c>
      <c r="D1308" t="s">
        <v>10</v>
      </c>
      <c r="E1308">
        <v>42243.475296999997</v>
      </c>
    </row>
    <row r="1309" spans="1:5" hidden="1" x14ac:dyDescent="0.3">
      <c r="A1309">
        <v>24</v>
      </c>
      <c r="B1309">
        <v>220000</v>
      </c>
      <c r="C1309" t="s">
        <v>46</v>
      </c>
      <c r="D1309" t="s">
        <v>11</v>
      </c>
      <c r="E1309">
        <v>28361.111692999999</v>
      </c>
    </row>
    <row r="1310" spans="1:5" hidden="1" x14ac:dyDescent="0.3">
      <c r="A1310">
        <v>24</v>
      </c>
      <c r="B1310">
        <v>220000</v>
      </c>
      <c r="C1310" t="s">
        <v>46</v>
      </c>
      <c r="D1310" t="s">
        <v>12</v>
      </c>
      <c r="E1310">
        <v>12555.556826</v>
      </c>
    </row>
    <row r="1311" spans="1:5" hidden="1" x14ac:dyDescent="0.3">
      <c r="A1311">
        <v>24</v>
      </c>
      <c r="B1311">
        <v>220000</v>
      </c>
      <c r="C1311" t="s">
        <v>46</v>
      </c>
      <c r="D1311" t="s">
        <v>13</v>
      </c>
      <c r="E1311">
        <v>14172.54614</v>
      </c>
    </row>
    <row r="1312" spans="1:5" hidden="1" x14ac:dyDescent="0.3">
      <c r="A1312">
        <v>24</v>
      </c>
      <c r="B1312">
        <v>220000</v>
      </c>
      <c r="C1312" t="s">
        <v>46</v>
      </c>
      <c r="D1312" t="s">
        <v>14</v>
      </c>
      <c r="E1312">
        <v>6388.8901820000001</v>
      </c>
    </row>
    <row r="1313" spans="1:5" hidden="1" x14ac:dyDescent="0.3">
      <c r="A1313">
        <v>24</v>
      </c>
      <c r="B1313">
        <v>220000</v>
      </c>
      <c r="C1313" t="s">
        <v>46</v>
      </c>
      <c r="D1313" t="s">
        <v>15</v>
      </c>
      <c r="E1313">
        <v>0.46268300000000001</v>
      </c>
    </row>
    <row r="1314" spans="1:5" hidden="1" x14ac:dyDescent="0.3">
      <c r="A1314">
        <v>24</v>
      </c>
      <c r="B1314">
        <v>220000</v>
      </c>
      <c r="C1314" t="s">
        <v>46</v>
      </c>
      <c r="D1314" t="s">
        <v>16</v>
      </c>
      <c r="E1314">
        <v>31515.316974000001</v>
      </c>
    </row>
    <row r="1315" spans="1:5" hidden="1" x14ac:dyDescent="0.3">
      <c r="A1315">
        <v>24</v>
      </c>
      <c r="B1315">
        <v>220000</v>
      </c>
      <c r="C1315" t="s">
        <v>46</v>
      </c>
      <c r="D1315" t="s">
        <v>17</v>
      </c>
      <c r="E1315">
        <v>5.0204399999999998</v>
      </c>
    </row>
    <row r="1316" spans="1:5" hidden="1" x14ac:dyDescent="0.3">
      <c r="A1316">
        <v>24</v>
      </c>
      <c r="B1316">
        <v>220000</v>
      </c>
      <c r="C1316" t="s">
        <v>46</v>
      </c>
      <c r="D1316" t="s">
        <v>18</v>
      </c>
      <c r="E1316">
        <v>44.418444000000001</v>
      </c>
    </row>
    <row r="1317" spans="1:5" hidden="1" x14ac:dyDescent="0.3">
      <c r="A1317">
        <v>24</v>
      </c>
      <c r="B1317">
        <v>220000</v>
      </c>
      <c r="C1317" t="s">
        <v>46</v>
      </c>
      <c r="D1317" t="s">
        <v>19</v>
      </c>
      <c r="E1317">
        <v>4222.2238790000001</v>
      </c>
    </row>
    <row r="1318" spans="1:5" hidden="1" x14ac:dyDescent="0.3">
      <c r="A1318">
        <v>24</v>
      </c>
      <c r="B1318">
        <v>220000</v>
      </c>
      <c r="C1318" t="s">
        <v>46</v>
      </c>
      <c r="D1318" t="s">
        <v>20</v>
      </c>
      <c r="E1318">
        <v>6055.5575369999997</v>
      </c>
    </row>
    <row r="1319" spans="1:5" hidden="1" x14ac:dyDescent="0.3">
      <c r="A1319">
        <v>24</v>
      </c>
      <c r="B1319">
        <v>220000</v>
      </c>
      <c r="C1319" t="s">
        <v>46</v>
      </c>
      <c r="D1319" t="s">
        <v>21</v>
      </c>
      <c r="E1319">
        <v>0.166709</v>
      </c>
    </row>
    <row r="1320" spans="1:5" hidden="1" x14ac:dyDescent="0.3">
      <c r="A1320">
        <v>24</v>
      </c>
      <c r="B1320">
        <v>220000</v>
      </c>
      <c r="C1320" t="s">
        <v>46</v>
      </c>
      <c r="D1320" t="s">
        <v>22</v>
      </c>
      <c r="E1320">
        <v>268.87939799999998</v>
      </c>
    </row>
    <row r="1321" spans="1:5" hidden="1" x14ac:dyDescent="0.3">
      <c r="A1321">
        <v>24</v>
      </c>
      <c r="B1321">
        <v>220000</v>
      </c>
      <c r="C1321" t="s">
        <v>46</v>
      </c>
      <c r="D1321" t="s">
        <v>23</v>
      </c>
      <c r="E1321">
        <v>1722.2245109999999</v>
      </c>
    </row>
    <row r="1322" spans="1:5" hidden="1" x14ac:dyDescent="0.3">
      <c r="A1322">
        <v>24</v>
      </c>
      <c r="B1322">
        <v>220000</v>
      </c>
      <c r="C1322" t="s">
        <v>46</v>
      </c>
      <c r="D1322" t="s">
        <v>24</v>
      </c>
      <c r="E1322">
        <v>0.50059699999999996</v>
      </c>
    </row>
    <row r="1323" spans="1:5" hidden="1" x14ac:dyDescent="0.3">
      <c r="A1323">
        <v>24</v>
      </c>
      <c r="B1323">
        <v>220000</v>
      </c>
      <c r="C1323" t="s">
        <v>46</v>
      </c>
      <c r="D1323" t="s">
        <v>25</v>
      </c>
      <c r="E1323">
        <v>1500.00126</v>
      </c>
    </row>
    <row r="1324" spans="1:5" hidden="1" x14ac:dyDescent="0.3">
      <c r="A1324">
        <v>24</v>
      </c>
      <c r="B1324">
        <v>220000</v>
      </c>
      <c r="C1324" t="s">
        <v>46</v>
      </c>
      <c r="D1324" t="s">
        <v>26</v>
      </c>
      <c r="E1324">
        <v>0.25584099999999999</v>
      </c>
    </row>
    <row r="1325" spans="1:5" hidden="1" x14ac:dyDescent="0.3">
      <c r="A1325">
        <v>24</v>
      </c>
      <c r="B1325">
        <v>220000</v>
      </c>
      <c r="C1325" t="s">
        <v>47</v>
      </c>
      <c r="D1325" t="s">
        <v>6</v>
      </c>
      <c r="E1325">
        <v>13.742760000000001</v>
      </c>
    </row>
    <row r="1326" spans="1:5" hidden="1" x14ac:dyDescent="0.3">
      <c r="A1326">
        <v>24</v>
      </c>
      <c r="B1326">
        <v>220000</v>
      </c>
      <c r="C1326" t="s">
        <v>47</v>
      </c>
      <c r="D1326" t="s">
        <v>7</v>
      </c>
      <c r="E1326">
        <v>22194.445438999999</v>
      </c>
    </row>
    <row r="1327" spans="1:5" hidden="1" x14ac:dyDescent="0.3">
      <c r="A1327">
        <v>24</v>
      </c>
      <c r="B1327">
        <v>220000</v>
      </c>
      <c r="C1327" t="s">
        <v>47</v>
      </c>
      <c r="D1327" t="s">
        <v>8</v>
      </c>
      <c r="E1327">
        <v>194.44533100000001</v>
      </c>
    </row>
    <row r="1328" spans="1:5" hidden="1" x14ac:dyDescent="0.3">
      <c r="A1328">
        <v>24</v>
      </c>
      <c r="B1328">
        <v>220000</v>
      </c>
      <c r="C1328" t="s">
        <v>47</v>
      </c>
      <c r="D1328" t="s">
        <v>9</v>
      </c>
      <c r="E1328">
        <v>34138.484269</v>
      </c>
    </row>
    <row r="1329" spans="1:5" hidden="1" x14ac:dyDescent="0.3">
      <c r="A1329">
        <v>24</v>
      </c>
      <c r="B1329">
        <v>220000</v>
      </c>
      <c r="C1329" t="s">
        <v>47</v>
      </c>
      <c r="D1329" t="s">
        <v>10</v>
      </c>
      <c r="E1329">
        <v>77250.000467000005</v>
      </c>
    </row>
    <row r="1330" spans="1:5" hidden="1" x14ac:dyDescent="0.3">
      <c r="A1330">
        <v>24</v>
      </c>
      <c r="B1330">
        <v>220000</v>
      </c>
      <c r="C1330" t="s">
        <v>47</v>
      </c>
      <c r="D1330" t="s">
        <v>11</v>
      </c>
      <c r="E1330">
        <v>24709.967644</v>
      </c>
    </row>
    <row r="1331" spans="1:5" hidden="1" x14ac:dyDescent="0.3">
      <c r="A1331">
        <v>24</v>
      </c>
      <c r="B1331">
        <v>220000</v>
      </c>
      <c r="C1331" t="s">
        <v>47</v>
      </c>
      <c r="D1331" t="s">
        <v>12</v>
      </c>
      <c r="E1331">
        <v>3166.6676499999999</v>
      </c>
    </row>
    <row r="1332" spans="1:5" hidden="1" x14ac:dyDescent="0.3">
      <c r="A1332">
        <v>24</v>
      </c>
      <c r="B1332">
        <v>220000</v>
      </c>
      <c r="C1332" t="s">
        <v>47</v>
      </c>
      <c r="D1332" t="s">
        <v>13</v>
      </c>
      <c r="E1332">
        <v>3543.1399529999999</v>
      </c>
    </row>
    <row r="1333" spans="1:5" hidden="1" x14ac:dyDescent="0.3">
      <c r="A1333">
        <v>24</v>
      </c>
      <c r="B1333">
        <v>220000</v>
      </c>
      <c r="C1333" t="s">
        <v>47</v>
      </c>
      <c r="D1333" t="s">
        <v>14</v>
      </c>
      <c r="E1333">
        <v>1916.6676629999999</v>
      </c>
    </row>
    <row r="1334" spans="1:5" hidden="1" x14ac:dyDescent="0.3">
      <c r="A1334">
        <v>24</v>
      </c>
      <c r="B1334">
        <v>220000</v>
      </c>
      <c r="C1334" t="s">
        <v>47</v>
      </c>
      <c r="D1334" t="s">
        <v>15</v>
      </c>
      <c r="E1334">
        <v>10153.829535999999</v>
      </c>
    </row>
    <row r="1335" spans="1:5" hidden="1" x14ac:dyDescent="0.3">
      <c r="A1335">
        <v>24</v>
      </c>
      <c r="B1335">
        <v>220000</v>
      </c>
      <c r="C1335" t="s">
        <v>47</v>
      </c>
      <c r="D1335" t="s">
        <v>16</v>
      </c>
      <c r="E1335">
        <v>18386.156697999999</v>
      </c>
    </row>
    <row r="1336" spans="1:5" hidden="1" x14ac:dyDescent="0.3">
      <c r="A1336">
        <v>24</v>
      </c>
      <c r="B1336">
        <v>220000</v>
      </c>
      <c r="C1336" t="s">
        <v>47</v>
      </c>
      <c r="D1336" t="s">
        <v>17</v>
      </c>
      <c r="E1336">
        <v>55.556111999999999</v>
      </c>
    </row>
    <row r="1337" spans="1:5" hidden="1" x14ac:dyDescent="0.3">
      <c r="A1337">
        <v>24</v>
      </c>
      <c r="B1337">
        <v>220000</v>
      </c>
      <c r="C1337" t="s">
        <v>47</v>
      </c>
      <c r="D1337" t="s">
        <v>18</v>
      </c>
      <c r="E1337">
        <v>8.8900749999999995</v>
      </c>
    </row>
    <row r="1338" spans="1:5" hidden="1" x14ac:dyDescent="0.3">
      <c r="A1338">
        <v>24</v>
      </c>
      <c r="B1338">
        <v>220000</v>
      </c>
      <c r="C1338" t="s">
        <v>47</v>
      </c>
      <c r="D1338" t="s">
        <v>19</v>
      </c>
      <c r="E1338">
        <v>1277.77883</v>
      </c>
    </row>
    <row r="1339" spans="1:5" hidden="1" x14ac:dyDescent="0.3">
      <c r="A1339">
        <v>24</v>
      </c>
      <c r="B1339">
        <v>220000</v>
      </c>
      <c r="C1339" t="s">
        <v>47</v>
      </c>
      <c r="D1339" t="s">
        <v>20</v>
      </c>
      <c r="E1339">
        <v>1472.2233209999999</v>
      </c>
    </row>
    <row r="1340" spans="1:5" hidden="1" x14ac:dyDescent="0.3">
      <c r="A1340">
        <v>24</v>
      </c>
      <c r="B1340">
        <v>220000</v>
      </c>
      <c r="C1340" t="s">
        <v>47</v>
      </c>
      <c r="D1340" t="s">
        <v>21</v>
      </c>
      <c r="E1340">
        <v>0.23416999999999999</v>
      </c>
    </row>
    <row r="1341" spans="1:5" hidden="1" x14ac:dyDescent="0.3">
      <c r="A1341">
        <v>24</v>
      </c>
      <c r="B1341">
        <v>220000</v>
      </c>
      <c r="C1341" t="s">
        <v>47</v>
      </c>
      <c r="D1341" t="s">
        <v>22</v>
      </c>
      <c r="E1341">
        <v>100.82885899999999</v>
      </c>
    </row>
    <row r="1342" spans="1:5" hidden="1" x14ac:dyDescent="0.3">
      <c r="A1342">
        <v>24</v>
      </c>
      <c r="B1342">
        <v>220000</v>
      </c>
      <c r="C1342" t="s">
        <v>47</v>
      </c>
      <c r="D1342" t="s">
        <v>23</v>
      </c>
      <c r="E1342">
        <v>388.890061</v>
      </c>
    </row>
    <row r="1343" spans="1:5" hidden="1" x14ac:dyDescent="0.3">
      <c r="A1343">
        <v>24</v>
      </c>
      <c r="B1343">
        <v>220000</v>
      </c>
      <c r="C1343" t="s">
        <v>47</v>
      </c>
      <c r="D1343" t="s">
        <v>24</v>
      </c>
      <c r="E1343">
        <v>20666.55445</v>
      </c>
    </row>
    <row r="1344" spans="1:5" hidden="1" x14ac:dyDescent="0.3">
      <c r="A1344">
        <v>24</v>
      </c>
      <c r="B1344">
        <v>220000</v>
      </c>
      <c r="C1344" t="s">
        <v>47</v>
      </c>
      <c r="D1344" t="s">
        <v>25</v>
      </c>
      <c r="E1344">
        <v>361.11211100000003</v>
      </c>
    </row>
    <row r="1345" spans="1:5" hidden="1" x14ac:dyDescent="0.3">
      <c r="A1345">
        <v>24</v>
      </c>
      <c r="B1345">
        <v>220000</v>
      </c>
      <c r="C1345" t="s">
        <v>47</v>
      </c>
      <c r="D1345" t="s">
        <v>26</v>
      </c>
      <c r="E1345">
        <v>0.41478199999999998</v>
      </c>
    </row>
    <row r="1346" spans="1:5" hidden="1" x14ac:dyDescent="0.3">
      <c r="A1346">
        <v>25</v>
      </c>
      <c r="B1346">
        <v>225000</v>
      </c>
      <c r="C1346" t="s">
        <v>45</v>
      </c>
      <c r="D1346" t="s">
        <v>6</v>
      </c>
      <c r="E1346">
        <v>8.7867000000000001E-2</v>
      </c>
    </row>
    <row r="1347" spans="1:5" hidden="1" x14ac:dyDescent="0.3">
      <c r="A1347">
        <v>25</v>
      </c>
      <c r="B1347">
        <v>225000</v>
      </c>
      <c r="C1347" t="s">
        <v>45</v>
      </c>
      <c r="D1347" t="s">
        <v>7</v>
      </c>
      <c r="E1347">
        <v>41595.944327999998</v>
      </c>
    </row>
    <row r="1348" spans="1:5" hidden="1" x14ac:dyDescent="0.3">
      <c r="A1348">
        <v>25</v>
      </c>
      <c r="B1348">
        <v>225000</v>
      </c>
      <c r="C1348" t="s">
        <v>45</v>
      </c>
      <c r="D1348" t="s">
        <v>8</v>
      </c>
      <c r="E1348">
        <v>0.241813</v>
      </c>
    </row>
    <row r="1349" spans="1:5" hidden="1" x14ac:dyDescent="0.3">
      <c r="A1349">
        <v>25</v>
      </c>
      <c r="B1349">
        <v>225000</v>
      </c>
      <c r="C1349" t="s">
        <v>45</v>
      </c>
      <c r="D1349" t="s">
        <v>9</v>
      </c>
      <c r="E1349">
        <v>0.99186300000000005</v>
      </c>
    </row>
    <row r="1350" spans="1:5" hidden="1" x14ac:dyDescent="0.3">
      <c r="A1350">
        <v>25</v>
      </c>
      <c r="B1350">
        <v>225000</v>
      </c>
      <c r="C1350" t="s">
        <v>45</v>
      </c>
      <c r="D1350" t="s">
        <v>10</v>
      </c>
      <c r="E1350">
        <v>0.155974</v>
      </c>
    </row>
    <row r="1351" spans="1:5" hidden="1" x14ac:dyDescent="0.3">
      <c r="A1351">
        <v>25</v>
      </c>
      <c r="B1351">
        <v>225000</v>
      </c>
      <c r="C1351" t="s">
        <v>45</v>
      </c>
      <c r="D1351" t="s">
        <v>11</v>
      </c>
      <c r="E1351">
        <v>34138.872084000002</v>
      </c>
    </row>
    <row r="1352" spans="1:5" hidden="1" x14ac:dyDescent="0.3">
      <c r="A1352">
        <v>25</v>
      </c>
      <c r="B1352">
        <v>225000</v>
      </c>
      <c r="C1352" t="s">
        <v>45</v>
      </c>
      <c r="D1352" t="s">
        <v>12</v>
      </c>
      <c r="E1352">
        <v>44388.856359999998</v>
      </c>
    </row>
    <row r="1353" spans="1:5" hidden="1" x14ac:dyDescent="0.3">
      <c r="A1353">
        <v>25</v>
      </c>
      <c r="B1353">
        <v>225000</v>
      </c>
      <c r="C1353" t="s">
        <v>45</v>
      </c>
      <c r="D1353" t="s">
        <v>13</v>
      </c>
      <c r="E1353">
        <v>35431.341866000002</v>
      </c>
    </row>
    <row r="1354" spans="1:5" hidden="1" x14ac:dyDescent="0.3">
      <c r="A1354">
        <v>25</v>
      </c>
      <c r="B1354">
        <v>225000</v>
      </c>
      <c r="C1354" t="s">
        <v>45</v>
      </c>
      <c r="D1354" t="s">
        <v>14</v>
      </c>
      <c r="E1354">
        <v>72.722200000000001</v>
      </c>
    </row>
    <row r="1355" spans="1:5" hidden="1" x14ac:dyDescent="0.3">
      <c r="A1355">
        <v>25</v>
      </c>
      <c r="B1355">
        <v>225000</v>
      </c>
      <c r="C1355" t="s">
        <v>45</v>
      </c>
      <c r="D1355" t="s">
        <v>15</v>
      </c>
      <c r="E1355">
        <v>6.2251000000000001E-2</v>
      </c>
    </row>
    <row r="1356" spans="1:5" hidden="1" x14ac:dyDescent="0.3">
      <c r="A1356">
        <v>25</v>
      </c>
      <c r="B1356">
        <v>225000</v>
      </c>
      <c r="C1356" t="s">
        <v>45</v>
      </c>
      <c r="D1356" t="s">
        <v>16</v>
      </c>
      <c r="E1356">
        <v>40332.623173</v>
      </c>
    </row>
    <row r="1357" spans="1:5" hidden="1" x14ac:dyDescent="0.3">
      <c r="A1357">
        <v>25</v>
      </c>
      <c r="B1357">
        <v>225000</v>
      </c>
      <c r="C1357" t="s">
        <v>45</v>
      </c>
      <c r="D1357" t="s">
        <v>17</v>
      </c>
      <c r="E1357">
        <v>5.3310000000000003E-2</v>
      </c>
    </row>
    <row r="1358" spans="1:5" hidden="1" x14ac:dyDescent="0.3">
      <c r="A1358">
        <v>25</v>
      </c>
      <c r="B1358">
        <v>225000</v>
      </c>
      <c r="C1358" t="s">
        <v>45</v>
      </c>
      <c r="D1358" t="s">
        <v>18</v>
      </c>
      <c r="E1358">
        <v>88.809066999999999</v>
      </c>
    </row>
    <row r="1359" spans="1:5" hidden="1" x14ac:dyDescent="0.3">
      <c r="A1359">
        <v>25</v>
      </c>
      <c r="B1359">
        <v>225000</v>
      </c>
      <c r="C1359" t="s">
        <v>45</v>
      </c>
      <c r="D1359" t="s">
        <v>19</v>
      </c>
      <c r="E1359">
        <v>8833.3303130000004</v>
      </c>
    </row>
    <row r="1360" spans="1:5" hidden="1" x14ac:dyDescent="0.3">
      <c r="A1360">
        <v>25</v>
      </c>
      <c r="B1360">
        <v>225000</v>
      </c>
      <c r="C1360" t="s">
        <v>45</v>
      </c>
      <c r="D1360" t="s">
        <v>20</v>
      </c>
      <c r="E1360">
        <v>15166.66611</v>
      </c>
    </row>
    <row r="1361" spans="1:5" hidden="1" x14ac:dyDescent="0.3">
      <c r="A1361">
        <v>25</v>
      </c>
      <c r="B1361">
        <v>225000</v>
      </c>
      <c r="C1361" t="s">
        <v>45</v>
      </c>
      <c r="D1361" t="s">
        <v>21</v>
      </c>
      <c r="E1361">
        <v>3.8663999999999997E-2</v>
      </c>
    </row>
    <row r="1362" spans="1:5" hidden="1" x14ac:dyDescent="0.3">
      <c r="A1362">
        <v>25</v>
      </c>
      <c r="B1362">
        <v>225000</v>
      </c>
      <c r="C1362" t="s">
        <v>45</v>
      </c>
      <c r="D1362" t="s">
        <v>22</v>
      </c>
      <c r="E1362">
        <v>504.13194800000002</v>
      </c>
    </row>
    <row r="1363" spans="1:5" hidden="1" x14ac:dyDescent="0.3">
      <c r="A1363">
        <v>25</v>
      </c>
      <c r="B1363">
        <v>225000</v>
      </c>
      <c r="C1363" t="s">
        <v>45</v>
      </c>
      <c r="D1363" t="s">
        <v>23</v>
      </c>
      <c r="E1363">
        <v>4444.444219</v>
      </c>
    </row>
    <row r="1364" spans="1:5" hidden="1" x14ac:dyDescent="0.3">
      <c r="A1364">
        <v>25</v>
      </c>
      <c r="B1364">
        <v>225000</v>
      </c>
      <c r="C1364" t="s">
        <v>45</v>
      </c>
      <c r="D1364" t="s">
        <v>24</v>
      </c>
      <c r="E1364">
        <v>6.4560000000000006E-2</v>
      </c>
    </row>
    <row r="1365" spans="1:5" hidden="1" x14ac:dyDescent="0.3">
      <c r="A1365">
        <v>25</v>
      </c>
      <c r="B1365">
        <v>225000</v>
      </c>
      <c r="C1365" t="s">
        <v>45</v>
      </c>
      <c r="D1365" t="s">
        <v>25</v>
      </c>
      <c r="E1365">
        <v>0.52582099999999998</v>
      </c>
    </row>
    <row r="1366" spans="1:5" hidden="1" x14ac:dyDescent="0.3">
      <c r="A1366">
        <v>25</v>
      </c>
      <c r="B1366">
        <v>225000</v>
      </c>
      <c r="C1366" t="s">
        <v>45</v>
      </c>
      <c r="D1366" t="s">
        <v>26</v>
      </c>
      <c r="E1366">
        <v>4.3743999999999998E-2</v>
      </c>
    </row>
    <row r="1367" spans="1:5" x14ac:dyDescent="0.3">
      <c r="A1367">
        <v>25</v>
      </c>
      <c r="B1367">
        <v>225000</v>
      </c>
      <c r="C1367" t="s">
        <v>46</v>
      </c>
      <c r="D1367" t="s">
        <v>6</v>
      </c>
      <c r="E1367">
        <v>54.987174000000003</v>
      </c>
    </row>
    <row r="1368" spans="1:5" hidden="1" x14ac:dyDescent="0.3">
      <c r="A1368">
        <v>25</v>
      </c>
      <c r="B1368">
        <v>225000</v>
      </c>
      <c r="C1368" t="s">
        <v>46</v>
      </c>
      <c r="D1368" t="s">
        <v>7</v>
      </c>
      <c r="E1368">
        <v>36555.556385000004</v>
      </c>
    </row>
    <row r="1369" spans="1:5" hidden="1" x14ac:dyDescent="0.3">
      <c r="A1369">
        <v>25</v>
      </c>
      <c r="B1369">
        <v>225000</v>
      </c>
      <c r="C1369" t="s">
        <v>46</v>
      </c>
      <c r="D1369" t="s">
        <v>8</v>
      </c>
      <c r="E1369">
        <v>194.444883</v>
      </c>
    </row>
    <row r="1370" spans="1:5" hidden="1" x14ac:dyDescent="0.3">
      <c r="A1370">
        <v>25</v>
      </c>
      <c r="B1370">
        <v>225000</v>
      </c>
      <c r="C1370" t="s">
        <v>46</v>
      </c>
      <c r="D1370" t="s">
        <v>9</v>
      </c>
      <c r="E1370">
        <v>34138.484269</v>
      </c>
    </row>
    <row r="1371" spans="1:5" hidden="1" x14ac:dyDescent="0.3">
      <c r="A1371">
        <v>25</v>
      </c>
      <c r="B1371">
        <v>225000</v>
      </c>
      <c r="C1371" t="s">
        <v>46</v>
      </c>
      <c r="D1371" t="s">
        <v>10</v>
      </c>
      <c r="E1371">
        <v>47248.635119999999</v>
      </c>
    </row>
    <row r="1372" spans="1:5" hidden="1" x14ac:dyDescent="0.3">
      <c r="A1372">
        <v>25</v>
      </c>
      <c r="B1372">
        <v>225000</v>
      </c>
      <c r="C1372" t="s">
        <v>46</v>
      </c>
      <c r="D1372" t="s">
        <v>11</v>
      </c>
      <c r="E1372">
        <v>28361.112209999999</v>
      </c>
    </row>
    <row r="1373" spans="1:5" hidden="1" x14ac:dyDescent="0.3">
      <c r="A1373">
        <v>25</v>
      </c>
      <c r="B1373">
        <v>225000</v>
      </c>
      <c r="C1373" t="s">
        <v>46</v>
      </c>
      <c r="D1373" t="s">
        <v>12</v>
      </c>
      <c r="E1373">
        <v>12555.556645000001</v>
      </c>
    </row>
    <row r="1374" spans="1:5" hidden="1" x14ac:dyDescent="0.3">
      <c r="A1374">
        <v>25</v>
      </c>
      <c r="B1374">
        <v>225000</v>
      </c>
      <c r="C1374" t="s">
        <v>46</v>
      </c>
      <c r="D1374" t="s">
        <v>13</v>
      </c>
      <c r="E1374">
        <v>14172.545661</v>
      </c>
    </row>
    <row r="1375" spans="1:5" hidden="1" x14ac:dyDescent="0.3">
      <c r="A1375">
        <v>25</v>
      </c>
      <c r="B1375">
        <v>225000</v>
      </c>
      <c r="C1375" t="s">
        <v>46</v>
      </c>
      <c r="D1375" t="s">
        <v>14</v>
      </c>
      <c r="E1375">
        <v>6388.8899719999999</v>
      </c>
    </row>
    <row r="1376" spans="1:5" hidden="1" x14ac:dyDescent="0.3">
      <c r="A1376">
        <v>25</v>
      </c>
      <c r="B1376">
        <v>225000</v>
      </c>
      <c r="C1376" t="s">
        <v>46</v>
      </c>
      <c r="D1376" t="s">
        <v>15</v>
      </c>
      <c r="E1376">
        <v>0.16625699999999999</v>
      </c>
    </row>
    <row r="1377" spans="1:5" hidden="1" x14ac:dyDescent="0.3">
      <c r="A1377">
        <v>25</v>
      </c>
      <c r="B1377">
        <v>225000</v>
      </c>
      <c r="C1377" t="s">
        <v>46</v>
      </c>
      <c r="D1377" t="s">
        <v>16</v>
      </c>
      <c r="E1377">
        <v>31515.356921999999</v>
      </c>
    </row>
    <row r="1378" spans="1:5" hidden="1" x14ac:dyDescent="0.3">
      <c r="A1378">
        <v>25</v>
      </c>
      <c r="B1378">
        <v>225000</v>
      </c>
      <c r="C1378" t="s">
        <v>46</v>
      </c>
      <c r="D1378" t="s">
        <v>17</v>
      </c>
      <c r="E1378">
        <v>0.35275600000000001</v>
      </c>
    </row>
    <row r="1379" spans="1:5" hidden="1" x14ac:dyDescent="0.3">
      <c r="A1379">
        <v>25</v>
      </c>
      <c r="B1379">
        <v>225000</v>
      </c>
      <c r="C1379" t="s">
        <v>46</v>
      </c>
      <c r="D1379" t="s">
        <v>18</v>
      </c>
      <c r="E1379">
        <v>44.417876</v>
      </c>
    </row>
    <row r="1380" spans="1:5" hidden="1" x14ac:dyDescent="0.3">
      <c r="A1380">
        <v>25</v>
      </c>
      <c r="B1380">
        <v>225000</v>
      </c>
      <c r="C1380" t="s">
        <v>46</v>
      </c>
      <c r="D1380" t="s">
        <v>19</v>
      </c>
      <c r="E1380">
        <v>4222.2233919999999</v>
      </c>
    </row>
    <row r="1381" spans="1:5" hidden="1" x14ac:dyDescent="0.3">
      <c r="A1381">
        <v>25</v>
      </c>
      <c r="B1381">
        <v>225000</v>
      </c>
      <c r="C1381" t="s">
        <v>46</v>
      </c>
      <c r="D1381" t="s">
        <v>20</v>
      </c>
      <c r="E1381">
        <v>6055.5568240000002</v>
      </c>
    </row>
    <row r="1382" spans="1:5" hidden="1" x14ac:dyDescent="0.3">
      <c r="A1382">
        <v>25</v>
      </c>
      <c r="B1382">
        <v>225000</v>
      </c>
      <c r="C1382" t="s">
        <v>46</v>
      </c>
      <c r="D1382" t="s">
        <v>21</v>
      </c>
      <c r="E1382">
        <v>0.444129</v>
      </c>
    </row>
    <row r="1383" spans="1:5" hidden="1" x14ac:dyDescent="0.3">
      <c r="A1383">
        <v>25</v>
      </c>
      <c r="B1383">
        <v>225000</v>
      </c>
      <c r="C1383" t="s">
        <v>46</v>
      </c>
      <c r="D1383" t="s">
        <v>22</v>
      </c>
      <c r="E1383">
        <v>268.87888800000002</v>
      </c>
    </row>
    <row r="1384" spans="1:5" hidden="1" x14ac:dyDescent="0.3">
      <c r="A1384">
        <v>25</v>
      </c>
      <c r="B1384">
        <v>225000</v>
      </c>
      <c r="C1384" t="s">
        <v>46</v>
      </c>
      <c r="D1384" t="s">
        <v>23</v>
      </c>
      <c r="E1384">
        <v>1722.223575</v>
      </c>
    </row>
    <row r="1385" spans="1:5" hidden="1" x14ac:dyDescent="0.3">
      <c r="A1385">
        <v>25</v>
      </c>
      <c r="B1385">
        <v>225000</v>
      </c>
      <c r="C1385" t="s">
        <v>46</v>
      </c>
      <c r="D1385" t="s">
        <v>24</v>
      </c>
      <c r="E1385">
        <v>0.180814</v>
      </c>
    </row>
    <row r="1386" spans="1:5" hidden="1" x14ac:dyDescent="0.3">
      <c r="A1386">
        <v>25</v>
      </c>
      <c r="B1386">
        <v>225000</v>
      </c>
      <c r="C1386" t="s">
        <v>46</v>
      </c>
      <c r="D1386" t="s">
        <v>25</v>
      </c>
      <c r="E1386">
        <v>1500.0009910000001</v>
      </c>
    </row>
    <row r="1387" spans="1:5" hidden="1" x14ac:dyDescent="0.3">
      <c r="A1387">
        <v>25</v>
      </c>
      <c r="B1387">
        <v>225000</v>
      </c>
      <c r="C1387" t="s">
        <v>46</v>
      </c>
      <c r="D1387" t="s">
        <v>26</v>
      </c>
      <c r="E1387">
        <v>1.9143E-2</v>
      </c>
    </row>
    <row r="1388" spans="1:5" hidden="1" x14ac:dyDescent="0.3">
      <c r="A1388">
        <v>25</v>
      </c>
      <c r="B1388">
        <v>225000</v>
      </c>
      <c r="C1388" t="s">
        <v>47</v>
      </c>
      <c r="D1388" t="s">
        <v>6</v>
      </c>
      <c r="E1388">
        <v>13.743385</v>
      </c>
    </row>
    <row r="1389" spans="1:5" hidden="1" x14ac:dyDescent="0.3">
      <c r="A1389">
        <v>25</v>
      </c>
      <c r="B1389">
        <v>225000</v>
      </c>
      <c r="C1389" t="s">
        <v>47</v>
      </c>
      <c r="D1389" t="s">
        <v>7</v>
      </c>
      <c r="E1389">
        <v>22194.446077000001</v>
      </c>
    </row>
    <row r="1390" spans="1:5" hidden="1" x14ac:dyDescent="0.3">
      <c r="A1390">
        <v>25</v>
      </c>
      <c r="B1390">
        <v>225000</v>
      </c>
      <c r="C1390" t="s">
        <v>47</v>
      </c>
      <c r="D1390" t="s">
        <v>8</v>
      </c>
      <c r="E1390">
        <v>194.44573</v>
      </c>
    </row>
    <row r="1391" spans="1:5" hidden="1" x14ac:dyDescent="0.3">
      <c r="A1391">
        <v>25</v>
      </c>
      <c r="B1391">
        <v>225000</v>
      </c>
      <c r="C1391" t="s">
        <v>47</v>
      </c>
      <c r="D1391" t="s">
        <v>9</v>
      </c>
      <c r="E1391">
        <v>34138.48489</v>
      </c>
    </row>
    <row r="1392" spans="1:5" hidden="1" x14ac:dyDescent="0.3">
      <c r="A1392">
        <v>25</v>
      </c>
      <c r="B1392">
        <v>225000</v>
      </c>
      <c r="C1392" t="s">
        <v>47</v>
      </c>
      <c r="D1392" t="s">
        <v>10</v>
      </c>
      <c r="E1392">
        <v>77250.001214999997</v>
      </c>
    </row>
    <row r="1393" spans="1:5" hidden="1" x14ac:dyDescent="0.3">
      <c r="A1393">
        <v>25</v>
      </c>
      <c r="B1393">
        <v>225000</v>
      </c>
      <c r="C1393" t="s">
        <v>47</v>
      </c>
      <c r="D1393" t="s">
        <v>11</v>
      </c>
      <c r="E1393">
        <v>24709.968217000001</v>
      </c>
    </row>
    <row r="1394" spans="1:5" hidden="1" x14ac:dyDescent="0.3">
      <c r="A1394">
        <v>25</v>
      </c>
      <c r="B1394">
        <v>225000</v>
      </c>
      <c r="C1394" t="s">
        <v>47</v>
      </c>
      <c r="D1394" t="s">
        <v>12</v>
      </c>
      <c r="E1394">
        <v>3166.668028</v>
      </c>
    </row>
    <row r="1395" spans="1:5" hidden="1" x14ac:dyDescent="0.3">
      <c r="A1395">
        <v>25</v>
      </c>
      <c r="B1395">
        <v>225000</v>
      </c>
      <c r="C1395" t="s">
        <v>47</v>
      </c>
      <c r="D1395" t="s">
        <v>13</v>
      </c>
      <c r="E1395">
        <v>3543.1404240000002</v>
      </c>
    </row>
    <row r="1396" spans="1:5" hidden="1" x14ac:dyDescent="0.3">
      <c r="A1396">
        <v>25</v>
      </c>
      <c r="B1396">
        <v>225000</v>
      </c>
      <c r="C1396" t="s">
        <v>47</v>
      </c>
      <c r="D1396" t="s">
        <v>14</v>
      </c>
      <c r="E1396">
        <v>1916.668034</v>
      </c>
    </row>
    <row r="1397" spans="1:5" hidden="1" x14ac:dyDescent="0.3">
      <c r="A1397">
        <v>25</v>
      </c>
      <c r="B1397">
        <v>225000</v>
      </c>
      <c r="C1397" t="s">
        <v>47</v>
      </c>
      <c r="D1397" t="s">
        <v>15</v>
      </c>
      <c r="E1397">
        <v>15153.724453999999</v>
      </c>
    </row>
    <row r="1398" spans="1:5" hidden="1" x14ac:dyDescent="0.3">
      <c r="A1398">
        <v>25</v>
      </c>
      <c r="B1398">
        <v>225000</v>
      </c>
      <c r="C1398" t="s">
        <v>47</v>
      </c>
      <c r="D1398" t="s">
        <v>16</v>
      </c>
      <c r="E1398">
        <v>18386.157359000001</v>
      </c>
    </row>
    <row r="1399" spans="1:5" hidden="1" x14ac:dyDescent="0.3">
      <c r="A1399">
        <v>25</v>
      </c>
      <c r="B1399">
        <v>225000</v>
      </c>
      <c r="C1399" t="s">
        <v>47</v>
      </c>
      <c r="D1399" t="s">
        <v>17</v>
      </c>
      <c r="E1399">
        <v>55.556378000000002</v>
      </c>
    </row>
    <row r="1400" spans="1:5" hidden="1" x14ac:dyDescent="0.3">
      <c r="A1400">
        <v>25</v>
      </c>
      <c r="B1400">
        <v>225000</v>
      </c>
      <c r="C1400" t="s">
        <v>47</v>
      </c>
      <c r="D1400" t="s">
        <v>18</v>
      </c>
      <c r="E1400">
        <v>8.8907559999999997</v>
      </c>
    </row>
    <row r="1401" spans="1:5" hidden="1" x14ac:dyDescent="0.3">
      <c r="A1401">
        <v>25</v>
      </c>
      <c r="B1401">
        <v>225000</v>
      </c>
      <c r="C1401" t="s">
        <v>47</v>
      </c>
      <c r="D1401" t="s">
        <v>19</v>
      </c>
      <c r="E1401">
        <v>1277.779256</v>
      </c>
    </row>
    <row r="1402" spans="1:5" hidden="1" x14ac:dyDescent="0.3">
      <c r="A1402">
        <v>25</v>
      </c>
      <c r="B1402">
        <v>225000</v>
      </c>
      <c r="C1402" t="s">
        <v>47</v>
      </c>
      <c r="D1402" t="s">
        <v>20</v>
      </c>
      <c r="E1402">
        <v>1472.2238</v>
      </c>
    </row>
    <row r="1403" spans="1:5" hidden="1" x14ac:dyDescent="0.3">
      <c r="A1403">
        <v>25</v>
      </c>
      <c r="B1403">
        <v>225000</v>
      </c>
      <c r="C1403" t="s">
        <v>47</v>
      </c>
      <c r="D1403" t="s">
        <v>21</v>
      </c>
      <c r="E1403">
        <v>0.52034199999999997</v>
      </c>
    </row>
    <row r="1404" spans="1:5" hidden="1" x14ac:dyDescent="0.3">
      <c r="A1404">
        <v>25</v>
      </c>
      <c r="B1404">
        <v>225000</v>
      </c>
      <c r="C1404" t="s">
        <v>47</v>
      </c>
      <c r="D1404" t="s">
        <v>22</v>
      </c>
      <c r="E1404">
        <v>100.829408</v>
      </c>
    </row>
    <row r="1405" spans="1:5" hidden="1" x14ac:dyDescent="0.3">
      <c r="A1405">
        <v>25</v>
      </c>
      <c r="B1405">
        <v>225000</v>
      </c>
      <c r="C1405" t="s">
        <v>47</v>
      </c>
      <c r="D1405" t="s">
        <v>23</v>
      </c>
      <c r="E1405">
        <v>388.89063299999998</v>
      </c>
    </row>
    <row r="1406" spans="1:5" hidden="1" x14ac:dyDescent="0.3">
      <c r="A1406">
        <v>25</v>
      </c>
      <c r="B1406">
        <v>225000</v>
      </c>
      <c r="C1406" t="s">
        <v>47</v>
      </c>
      <c r="D1406" t="s">
        <v>24</v>
      </c>
      <c r="E1406">
        <v>20666.035624</v>
      </c>
    </row>
    <row r="1407" spans="1:5" hidden="1" x14ac:dyDescent="0.3">
      <c r="A1407">
        <v>25</v>
      </c>
      <c r="B1407">
        <v>225000</v>
      </c>
      <c r="C1407" t="s">
        <v>47</v>
      </c>
      <c r="D1407" t="s">
        <v>25</v>
      </c>
      <c r="E1407">
        <v>361.11255</v>
      </c>
    </row>
    <row r="1408" spans="1:5" hidden="1" x14ac:dyDescent="0.3">
      <c r="A1408">
        <v>25</v>
      </c>
      <c r="B1408">
        <v>225000</v>
      </c>
      <c r="C1408" t="s">
        <v>47</v>
      </c>
      <c r="D1408" t="s">
        <v>26</v>
      </c>
      <c r="E1408">
        <v>0.760521</v>
      </c>
    </row>
    <row r="1409" spans="1:5" hidden="1" x14ac:dyDescent="0.3">
      <c r="A1409">
        <v>26</v>
      </c>
      <c r="B1409">
        <v>230000</v>
      </c>
      <c r="C1409" t="s">
        <v>45</v>
      </c>
      <c r="D1409" t="s">
        <v>6</v>
      </c>
      <c r="E1409">
        <v>0.16913700000000001</v>
      </c>
    </row>
    <row r="1410" spans="1:5" hidden="1" x14ac:dyDescent="0.3">
      <c r="A1410">
        <v>26</v>
      </c>
      <c r="B1410">
        <v>230000</v>
      </c>
      <c r="C1410" t="s">
        <v>45</v>
      </c>
      <c r="D1410" t="s">
        <v>7</v>
      </c>
      <c r="E1410">
        <v>46604.031885999997</v>
      </c>
    </row>
    <row r="1411" spans="1:5" hidden="1" x14ac:dyDescent="0.3">
      <c r="A1411">
        <v>26</v>
      </c>
      <c r="B1411">
        <v>230000</v>
      </c>
      <c r="C1411" t="s">
        <v>45</v>
      </c>
      <c r="D1411" t="s">
        <v>8</v>
      </c>
      <c r="E1411">
        <v>0.197827</v>
      </c>
    </row>
    <row r="1412" spans="1:5" hidden="1" x14ac:dyDescent="0.3">
      <c r="A1412">
        <v>26</v>
      </c>
      <c r="B1412">
        <v>230000</v>
      </c>
      <c r="C1412" t="s">
        <v>45</v>
      </c>
      <c r="D1412" t="s">
        <v>9</v>
      </c>
      <c r="E1412">
        <v>0.76544299999999998</v>
      </c>
    </row>
    <row r="1413" spans="1:5" hidden="1" x14ac:dyDescent="0.3">
      <c r="A1413">
        <v>26</v>
      </c>
      <c r="B1413">
        <v>230000</v>
      </c>
      <c r="C1413" t="s">
        <v>45</v>
      </c>
      <c r="D1413" t="s">
        <v>10</v>
      </c>
      <c r="E1413">
        <v>0.13972799999999999</v>
      </c>
    </row>
    <row r="1414" spans="1:5" hidden="1" x14ac:dyDescent="0.3">
      <c r="A1414">
        <v>26</v>
      </c>
      <c r="B1414">
        <v>230000</v>
      </c>
      <c r="C1414" t="s">
        <v>45</v>
      </c>
      <c r="D1414" t="s">
        <v>11</v>
      </c>
      <c r="E1414">
        <v>34138.876636000001</v>
      </c>
    </row>
    <row r="1415" spans="1:5" hidden="1" x14ac:dyDescent="0.3">
      <c r="A1415">
        <v>26</v>
      </c>
      <c r="B1415">
        <v>230000</v>
      </c>
      <c r="C1415" t="s">
        <v>45</v>
      </c>
      <c r="D1415" t="s">
        <v>12</v>
      </c>
      <c r="E1415">
        <v>44388.834361000001</v>
      </c>
    </row>
    <row r="1416" spans="1:5" hidden="1" x14ac:dyDescent="0.3">
      <c r="A1416">
        <v>26</v>
      </c>
      <c r="B1416">
        <v>230000</v>
      </c>
      <c r="C1416" t="s">
        <v>45</v>
      </c>
      <c r="D1416" t="s">
        <v>13</v>
      </c>
      <c r="E1416">
        <v>35431.343507999998</v>
      </c>
    </row>
    <row r="1417" spans="1:5" hidden="1" x14ac:dyDescent="0.3">
      <c r="A1417">
        <v>26</v>
      </c>
      <c r="B1417">
        <v>230000</v>
      </c>
      <c r="C1417" t="s">
        <v>45</v>
      </c>
      <c r="D1417" t="s">
        <v>14</v>
      </c>
      <c r="E1417">
        <v>64.741623000000004</v>
      </c>
    </row>
    <row r="1418" spans="1:5" hidden="1" x14ac:dyDescent="0.3">
      <c r="A1418">
        <v>26</v>
      </c>
      <c r="B1418">
        <v>230000</v>
      </c>
      <c r="C1418" t="s">
        <v>45</v>
      </c>
      <c r="D1418" t="s">
        <v>15</v>
      </c>
      <c r="E1418">
        <v>6.0836000000000001E-2</v>
      </c>
    </row>
    <row r="1419" spans="1:5" hidden="1" x14ac:dyDescent="0.3">
      <c r="A1419">
        <v>26</v>
      </c>
      <c r="B1419">
        <v>230000</v>
      </c>
      <c r="C1419" t="s">
        <v>45</v>
      </c>
      <c r="D1419" t="s">
        <v>16</v>
      </c>
      <c r="E1419">
        <v>40332.838022999997</v>
      </c>
    </row>
    <row r="1420" spans="1:5" hidden="1" x14ac:dyDescent="0.3">
      <c r="A1420">
        <v>26</v>
      </c>
      <c r="B1420">
        <v>230000</v>
      </c>
      <c r="C1420" t="s">
        <v>45</v>
      </c>
      <c r="D1420" t="s">
        <v>17</v>
      </c>
      <c r="E1420">
        <v>0.13162499999999999</v>
      </c>
    </row>
    <row r="1421" spans="1:5" hidden="1" x14ac:dyDescent="0.3">
      <c r="A1421">
        <v>26</v>
      </c>
      <c r="B1421">
        <v>230000</v>
      </c>
      <c r="C1421" t="s">
        <v>45</v>
      </c>
      <c r="D1421" t="s">
        <v>18</v>
      </c>
      <c r="E1421">
        <v>88.809741000000002</v>
      </c>
    </row>
    <row r="1422" spans="1:5" hidden="1" x14ac:dyDescent="0.3">
      <c r="A1422">
        <v>26</v>
      </c>
      <c r="B1422">
        <v>230000</v>
      </c>
      <c r="C1422" t="s">
        <v>45</v>
      </c>
      <c r="D1422" t="s">
        <v>19</v>
      </c>
      <c r="E1422">
        <v>8833.3312260000002</v>
      </c>
    </row>
    <row r="1423" spans="1:5" hidden="1" x14ac:dyDescent="0.3">
      <c r="A1423">
        <v>26</v>
      </c>
      <c r="B1423">
        <v>230000</v>
      </c>
      <c r="C1423" t="s">
        <v>45</v>
      </c>
      <c r="D1423" t="s">
        <v>20</v>
      </c>
      <c r="E1423">
        <v>15166.666397999999</v>
      </c>
    </row>
    <row r="1424" spans="1:5" hidden="1" x14ac:dyDescent="0.3">
      <c r="A1424">
        <v>26</v>
      </c>
      <c r="B1424">
        <v>230000</v>
      </c>
      <c r="C1424" t="s">
        <v>45</v>
      </c>
      <c r="D1424" t="s">
        <v>21</v>
      </c>
      <c r="E1424">
        <v>3.1954999999999997E-2</v>
      </c>
    </row>
    <row r="1425" spans="1:5" hidden="1" x14ac:dyDescent="0.3">
      <c r="A1425">
        <v>26</v>
      </c>
      <c r="B1425">
        <v>230000</v>
      </c>
      <c r="C1425" t="s">
        <v>45</v>
      </c>
      <c r="D1425" t="s">
        <v>22</v>
      </c>
      <c r="E1425">
        <v>504.129456</v>
      </c>
    </row>
    <row r="1426" spans="1:5" hidden="1" x14ac:dyDescent="0.3">
      <c r="A1426">
        <v>26</v>
      </c>
      <c r="B1426">
        <v>230000</v>
      </c>
      <c r="C1426" t="s">
        <v>45</v>
      </c>
      <c r="D1426" t="s">
        <v>23</v>
      </c>
      <c r="E1426">
        <v>4444.4445480000004</v>
      </c>
    </row>
    <row r="1427" spans="1:5" hidden="1" x14ac:dyDescent="0.3">
      <c r="A1427">
        <v>26</v>
      </c>
      <c r="B1427">
        <v>230000</v>
      </c>
      <c r="C1427" t="s">
        <v>45</v>
      </c>
      <c r="D1427" t="s">
        <v>24</v>
      </c>
      <c r="E1427">
        <v>6.2979999999999994E-2</v>
      </c>
    </row>
    <row r="1428" spans="1:5" hidden="1" x14ac:dyDescent="0.3">
      <c r="A1428">
        <v>26</v>
      </c>
      <c r="B1428">
        <v>230000</v>
      </c>
      <c r="C1428" t="s">
        <v>45</v>
      </c>
      <c r="D1428" t="s">
        <v>25</v>
      </c>
      <c r="E1428">
        <v>0.36346899999999999</v>
      </c>
    </row>
    <row r="1429" spans="1:5" hidden="1" x14ac:dyDescent="0.3">
      <c r="A1429">
        <v>26</v>
      </c>
      <c r="B1429">
        <v>230000</v>
      </c>
      <c r="C1429" t="s">
        <v>45</v>
      </c>
      <c r="D1429" t="s">
        <v>26</v>
      </c>
      <c r="E1429">
        <v>4.2015999999999998E-2</v>
      </c>
    </row>
    <row r="1430" spans="1:5" x14ac:dyDescent="0.3">
      <c r="A1430">
        <v>26</v>
      </c>
      <c r="B1430">
        <v>230000</v>
      </c>
      <c r="C1430" t="s">
        <v>46</v>
      </c>
      <c r="D1430" t="s">
        <v>6</v>
      </c>
      <c r="E1430">
        <v>54.986623999999999</v>
      </c>
    </row>
    <row r="1431" spans="1:5" hidden="1" x14ac:dyDescent="0.3">
      <c r="A1431">
        <v>26</v>
      </c>
      <c r="B1431">
        <v>230000</v>
      </c>
      <c r="C1431" t="s">
        <v>46</v>
      </c>
      <c r="D1431" t="s">
        <v>7</v>
      </c>
      <c r="E1431">
        <v>36555.554566999999</v>
      </c>
    </row>
    <row r="1432" spans="1:5" hidden="1" x14ac:dyDescent="0.3">
      <c r="A1432">
        <v>26</v>
      </c>
      <c r="B1432">
        <v>230000</v>
      </c>
      <c r="C1432" t="s">
        <v>46</v>
      </c>
      <c r="D1432" t="s">
        <v>8</v>
      </c>
      <c r="E1432">
        <v>194.443431</v>
      </c>
    </row>
    <row r="1433" spans="1:5" hidden="1" x14ac:dyDescent="0.3">
      <c r="A1433">
        <v>26</v>
      </c>
      <c r="B1433">
        <v>230000</v>
      </c>
      <c r="C1433" t="s">
        <v>46</v>
      </c>
      <c r="D1433" t="s">
        <v>9</v>
      </c>
      <c r="E1433">
        <v>34138.481378999997</v>
      </c>
    </row>
    <row r="1434" spans="1:5" hidden="1" x14ac:dyDescent="0.3">
      <c r="A1434">
        <v>26</v>
      </c>
      <c r="B1434">
        <v>230000</v>
      </c>
      <c r="C1434" t="s">
        <v>46</v>
      </c>
      <c r="D1434" t="s">
        <v>10</v>
      </c>
      <c r="E1434">
        <v>52247.257019999997</v>
      </c>
    </row>
    <row r="1435" spans="1:5" hidden="1" x14ac:dyDescent="0.3">
      <c r="A1435">
        <v>26</v>
      </c>
      <c r="B1435">
        <v>230000</v>
      </c>
      <c r="C1435" t="s">
        <v>46</v>
      </c>
      <c r="D1435" t="s">
        <v>11</v>
      </c>
      <c r="E1435">
        <v>28361.110540999998</v>
      </c>
    </row>
    <row r="1436" spans="1:5" hidden="1" x14ac:dyDescent="0.3">
      <c r="A1436">
        <v>26</v>
      </c>
      <c r="B1436">
        <v>230000</v>
      </c>
      <c r="C1436" t="s">
        <v>46</v>
      </c>
      <c r="D1436" t="s">
        <v>12</v>
      </c>
      <c r="E1436">
        <v>12555.555666</v>
      </c>
    </row>
    <row r="1437" spans="1:5" hidden="1" x14ac:dyDescent="0.3">
      <c r="A1437">
        <v>26</v>
      </c>
      <c r="B1437">
        <v>230000</v>
      </c>
      <c r="C1437" t="s">
        <v>46</v>
      </c>
      <c r="D1437" t="s">
        <v>13</v>
      </c>
      <c r="E1437">
        <v>14172.544970000001</v>
      </c>
    </row>
    <row r="1438" spans="1:5" hidden="1" x14ac:dyDescent="0.3">
      <c r="A1438">
        <v>26</v>
      </c>
      <c r="B1438">
        <v>230000</v>
      </c>
      <c r="C1438" t="s">
        <v>46</v>
      </c>
      <c r="D1438" t="s">
        <v>14</v>
      </c>
      <c r="E1438">
        <v>6388.889201</v>
      </c>
    </row>
    <row r="1439" spans="1:5" hidden="1" x14ac:dyDescent="0.3">
      <c r="A1439">
        <v>26</v>
      </c>
      <c r="B1439">
        <v>230000</v>
      </c>
      <c r="C1439" t="s">
        <v>46</v>
      </c>
      <c r="D1439" t="s">
        <v>15</v>
      </c>
      <c r="E1439">
        <v>0.56105099999999997</v>
      </c>
    </row>
    <row r="1440" spans="1:5" hidden="1" x14ac:dyDescent="0.3">
      <c r="A1440">
        <v>26</v>
      </c>
      <c r="B1440">
        <v>230000</v>
      </c>
      <c r="C1440" t="s">
        <v>46</v>
      </c>
      <c r="D1440" t="s">
        <v>16</v>
      </c>
      <c r="E1440">
        <v>31515.325263999999</v>
      </c>
    </row>
    <row r="1441" spans="1:5" hidden="1" x14ac:dyDescent="0.3">
      <c r="A1441">
        <v>26</v>
      </c>
      <c r="B1441">
        <v>230000</v>
      </c>
      <c r="C1441" t="s">
        <v>46</v>
      </c>
      <c r="D1441" t="s">
        <v>17</v>
      </c>
      <c r="E1441">
        <v>0.94085600000000003</v>
      </c>
    </row>
    <row r="1442" spans="1:5" hidden="1" x14ac:dyDescent="0.3">
      <c r="A1442">
        <v>26</v>
      </c>
      <c r="B1442">
        <v>230000</v>
      </c>
      <c r="C1442" t="s">
        <v>46</v>
      </c>
      <c r="D1442" t="s">
        <v>18</v>
      </c>
      <c r="E1442">
        <v>44.417589</v>
      </c>
    </row>
    <row r="1443" spans="1:5" hidden="1" x14ac:dyDescent="0.3">
      <c r="A1443">
        <v>26</v>
      </c>
      <c r="B1443">
        <v>230000</v>
      </c>
      <c r="C1443" t="s">
        <v>46</v>
      </c>
      <c r="D1443" t="s">
        <v>19</v>
      </c>
      <c r="E1443">
        <v>4222.2228619999996</v>
      </c>
    </row>
    <row r="1444" spans="1:5" hidden="1" x14ac:dyDescent="0.3">
      <c r="A1444">
        <v>26</v>
      </c>
      <c r="B1444">
        <v>230000</v>
      </c>
      <c r="C1444" t="s">
        <v>46</v>
      </c>
      <c r="D1444" t="s">
        <v>20</v>
      </c>
      <c r="E1444">
        <v>6055.5564530000001</v>
      </c>
    </row>
    <row r="1445" spans="1:5" hidden="1" x14ac:dyDescent="0.3">
      <c r="A1445">
        <v>26</v>
      </c>
      <c r="B1445">
        <v>230000</v>
      </c>
      <c r="C1445" t="s">
        <v>46</v>
      </c>
      <c r="D1445" t="s">
        <v>21</v>
      </c>
      <c r="E1445">
        <v>0.186165</v>
      </c>
    </row>
    <row r="1446" spans="1:5" hidden="1" x14ac:dyDescent="0.3">
      <c r="A1446">
        <v>26</v>
      </c>
      <c r="B1446">
        <v>230000</v>
      </c>
      <c r="C1446" t="s">
        <v>46</v>
      </c>
      <c r="D1446" t="s">
        <v>22</v>
      </c>
      <c r="E1446">
        <v>268.87861400000003</v>
      </c>
    </row>
    <row r="1447" spans="1:5" hidden="1" x14ac:dyDescent="0.3">
      <c r="A1447">
        <v>26</v>
      </c>
      <c r="B1447">
        <v>230000</v>
      </c>
      <c r="C1447" t="s">
        <v>46</v>
      </c>
      <c r="D1447" t="s">
        <v>23</v>
      </c>
      <c r="E1447">
        <v>1722.223428</v>
      </c>
    </row>
    <row r="1448" spans="1:5" hidden="1" x14ac:dyDescent="0.3">
      <c r="A1448">
        <v>26</v>
      </c>
      <c r="B1448">
        <v>230000</v>
      </c>
      <c r="C1448" t="s">
        <v>46</v>
      </c>
      <c r="D1448" t="s">
        <v>24</v>
      </c>
      <c r="E1448">
        <v>0.61207400000000001</v>
      </c>
    </row>
    <row r="1449" spans="1:5" hidden="1" x14ac:dyDescent="0.3">
      <c r="A1449">
        <v>26</v>
      </c>
      <c r="B1449">
        <v>230000</v>
      </c>
      <c r="C1449" t="s">
        <v>46</v>
      </c>
      <c r="D1449" t="s">
        <v>25</v>
      </c>
      <c r="E1449">
        <v>1500.00019</v>
      </c>
    </row>
    <row r="1450" spans="1:5" hidden="1" x14ac:dyDescent="0.3">
      <c r="A1450">
        <v>26</v>
      </c>
      <c r="B1450">
        <v>230000</v>
      </c>
      <c r="C1450" t="s">
        <v>46</v>
      </c>
      <c r="D1450" t="s">
        <v>26</v>
      </c>
      <c r="E1450">
        <v>0.29335299999999997</v>
      </c>
    </row>
    <row r="1451" spans="1:5" hidden="1" x14ac:dyDescent="0.3">
      <c r="A1451">
        <v>27</v>
      </c>
      <c r="B1451">
        <v>235000</v>
      </c>
      <c r="C1451" t="s">
        <v>45</v>
      </c>
      <c r="D1451" t="s">
        <v>6</v>
      </c>
      <c r="E1451">
        <v>0.12637499999999999</v>
      </c>
    </row>
    <row r="1452" spans="1:5" hidden="1" x14ac:dyDescent="0.3">
      <c r="A1452">
        <v>27</v>
      </c>
      <c r="B1452">
        <v>235000</v>
      </c>
      <c r="C1452" t="s">
        <v>45</v>
      </c>
      <c r="D1452" t="s">
        <v>7</v>
      </c>
      <c r="E1452">
        <v>51614.451211</v>
      </c>
    </row>
    <row r="1453" spans="1:5" hidden="1" x14ac:dyDescent="0.3">
      <c r="A1453">
        <v>27</v>
      </c>
      <c r="B1453">
        <v>235000</v>
      </c>
      <c r="C1453" t="s">
        <v>45</v>
      </c>
      <c r="D1453" t="s">
        <v>8</v>
      </c>
      <c r="E1453">
        <v>0.16076499999999999</v>
      </c>
    </row>
    <row r="1454" spans="1:5" hidden="1" x14ac:dyDescent="0.3">
      <c r="A1454">
        <v>27</v>
      </c>
      <c r="B1454">
        <v>235000</v>
      </c>
      <c r="C1454" t="s">
        <v>45</v>
      </c>
      <c r="D1454" t="s">
        <v>9</v>
      </c>
      <c r="E1454">
        <v>0.64691600000000005</v>
      </c>
    </row>
    <row r="1455" spans="1:5" hidden="1" x14ac:dyDescent="0.3">
      <c r="A1455">
        <v>27</v>
      </c>
      <c r="B1455">
        <v>235000</v>
      </c>
      <c r="C1455" t="s">
        <v>45</v>
      </c>
      <c r="D1455" t="s">
        <v>10</v>
      </c>
      <c r="E1455">
        <v>0.118446</v>
      </c>
    </row>
    <row r="1456" spans="1:5" hidden="1" x14ac:dyDescent="0.3">
      <c r="A1456">
        <v>27</v>
      </c>
      <c r="B1456">
        <v>235000</v>
      </c>
      <c r="C1456" t="s">
        <v>45</v>
      </c>
      <c r="D1456" t="s">
        <v>11</v>
      </c>
      <c r="E1456">
        <v>34138.876918000002</v>
      </c>
    </row>
    <row r="1457" spans="1:5" hidden="1" x14ac:dyDescent="0.3">
      <c r="A1457">
        <v>27</v>
      </c>
      <c r="B1457">
        <v>235000</v>
      </c>
      <c r="C1457" t="s">
        <v>45</v>
      </c>
      <c r="D1457" t="s">
        <v>12</v>
      </c>
      <c r="E1457">
        <v>44388.843589999997</v>
      </c>
    </row>
    <row r="1458" spans="1:5" hidden="1" x14ac:dyDescent="0.3">
      <c r="A1458">
        <v>27</v>
      </c>
      <c r="B1458">
        <v>235000</v>
      </c>
      <c r="C1458" t="s">
        <v>45</v>
      </c>
      <c r="D1458" t="s">
        <v>13</v>
      </c>
      <c r="E1458">
        <v>35431.343534</v>
      </c>
    </row>
    <row r="1459" spans="1:5" hidden="1" x14ac:dyDescent="0.3">
      <c r="A1459">
        <v>27</v>
      </c>
      <c r="B1459">
        <v>235000</v>
      </c>
      <c r="C1459" t="s">
        <v>45</v>
      </c>
      <c r="D1459" t="s">
        <v>14</v>
      </c>
      <c r="E1459">
        <v>54.610753000000003</v>
      </c>
    </row>
    <row r="1460" spans="1:5" hidden="1" x14ac:dyDescent="0.3">
      <c r="A1460">
        <v>27</v>
      </c>
      <c r="B1460">
        <v>235000</v>
      </c>
      <c r="C1460" t="s">
        <v>45</v>
      </c>
      <c r="D1460" t="s">
        <v>15</v>
      </c>
      <c r="E1460">
        <v>5.1893000000000002E-2</v>
      </c>
    </row>
    <row r="1461" spans="1:5" hidden="1" x14ac:dyDescent="0.3">
      <c r="A1461">
        <v>27</v>
      </c>
      <c r="B1461">
        <v>235000</v>
      </c>
      <c r="C1461" t="s">
        <v>45</v>
      </c>
      <c r="D1461" t="s">
        <v>16</v>
      </c>
      <c r="E1461">
        <v>40332.839684999999</v>
      </c>
    </row>
    <row r="1462" spans="1:5" hidden="1" x14ac:dyDescent="0.3">
      <c r="A1462">
        <v>27</v>
      </c>
      <c r="B1462">
        <v>235000</v>
      </c>
      <c r="C1462" t="s">
        <v>45</v>
      </c>
      <c r="D1462" t="s">
        <v>17</v>
      </c>
      <c r="E1462">
        <v>8.2611000000000004E-2</v>
      </c>
    </row>
    <row r="1463" spans="1:5" hidden="1" x14ac:dyDescent="0.3">
      <c r="A1463">
        <v>27</v>
      </c>
      <c r="B1463">
        <v>235000</v>
      </c>
      <c r="C1463" t="s">
        <v>45</v>
      </c>
      <c r="D1463" t="s">
        <v>18</v>
      </c>
      <c r="E1463">
        <v>88.805644000000001</v>
      </c>
    </row>
    <row r="1464" spans="1:5" hidden="1" x14ac:dyDescent="0.3">
      <c r="A1464">
        <v>27</v>
      </c>
      <c r="B1464">
        <v>235000</v>
      </c>
      <c r="C1464" t="s">
        <v>45</v>
      </c>
      <c r="D1464" t="s">
        <v>19</v>
      </c>
      <c r="E1464">
        <v>8833.3313920000001</v>
      </c>
    </row>
    <row r="1465" spans="1:5" hidden="1" x14ac:dyDescent="0.3">
      <c r="A1465">
        <v>27</v>
      </c>
      <c r="B1465">
        <v>235000</v>
      </c>
      <c r="C1465" t="s">
        <v>45</v>
      </c>
      <c r="D1465" t="s">
        <v>20</v>
      </c>
      <c r="E1465">
        <v>15166.666233</v>
      </c>
    </row>
    <row r="1466" spans="1:5" hidden="1" x14ac:dyDescent="0.3">
      <c r="A1466">
        <v>27</v>
      </c>
      <c r="B1466">
        <v>235000</v>
      </c>
      <c r="C1466" t="s">
        <v>45</v>
      </c>
      <c r="D1466" t="s">
        <v>21</v>
      </c>
      <c r="E1466">
        <v>3.8677999999999997E-2</v>
      </c>
    </row>
    <row r="1467" spans="1:5" hidden="1" x14ac:dyDescent="0.3">
      <c r="A1467">
        <v>27</v>
      </c>
      <c r="B1467">
        <v>235000</v>
      </c>
      <c r="C1467" t="s">
        <v>45</v>
      </c>
      <c r="D1467" t="s">
        <v>22</v>
      </c>
      <c r="E1467">
        <v>504.136796</v>
      </c>
    </row>
    <row r="1468" spans="1:5" hidden="1" x14ac:dyDescent="0.3">
      <c r="A1468">
        <v>27</v>
      </c>
      <c r="B1468">
        <v>235000</v>
      </c>
      <c r="C1468" t="s">
        <v>45</v>
      </c>
      <c r="D1468" t="s">
        <v>23</v>
      </c>
      <c r="E1468">
        <v>4444.4443439999995</v>
      </c>
    </row>
    <row r="1469" spans="1:5" hidden="1" x14ac:dyDescent="0.3">
      <c r="A1469">
        <v>27</v>
      </c>
      <c r="B1469">
        <v>235000</v>
      </c>
      <c r="C1469" t="s">
        <v>45</v>
      </c>
      <c r="D1469" t="s">
        <v>24</v>
      </c>
      <c r="E1469">
        <v>5.3829000000000002E-2</v>
      </c>
    </row>
    <row r="1470" spans="1:5" hidden="1" x14ac:dyDescent="0.3">
      <c r="A1470">
        <v>27</v>
      </c>
      <c r="B1470">
        <v>235000</v>
      </c>
      <c r="C1470" t="s">
        <v>45</v>
      </c>
      <c r="D1470" t="s">
        <v>25</v>
      </c>
      <c r="E1470">
        <v>0.34176499999999999</v>
      </c>
    </row>
    <row r="1471" spans="1:5" hidden="1" x14ac:dyDescent="0.3">
      <c r="A1471">
        <v>27</v>
      </c>
      <c r="B1471">
        <v>235000</v>
      </c>
      <c r="C1471" t="s">
        <v>46</v>
      </c>
      <c r="D1471" t="s">
        <v>26</v>
      </c>
      <c r="E1471">
        <v>3.5243999999999998E-2</v>
      </c>
    </row>
    <row r="1472" spans="1:5" x14ac:dyDescent="0.3">
      <c r="A1472">
        <v>27</v>
      </c>
      <c r="B1472">
        <v>235000</v>
      </c>
      <c r="C1472" t="s">
        <v>46</v>
      </c>
      <c r="D1472" t="s">
        <v>6</v>
      </c>
      <c r="E1472">
        <v>54.987268999999998</v>
      </c>
    </row>
    <row r="1473" spans="1:5" hidden="1" x14ac:dyDescent="0.3">
      <c r="A1473">
        <v>27</v>
      </c>
      <c r="B1473">
        <v>235000</v>
      </c>
      <c r="C1473" t="s">
        <v>46</v>
      </c>
      <c r="D1473" t="s">
        <v>7</v>
      </c>
      <c r="E1473">
        <v>36555.551797</v>
      </c>
    </row>
    <row r="1474" spans="1:5" hidden="1" x14ac:dyDescent="0.3">
      <c r="A1474">
        <v>27</v>
      </c>
      <c r="B1474">
        <v>235000</v>
      </c>
      <c r="C1474" t="s">
        <v>46</v>
      </c>
      <c r="D1474" t="s">
        <v>8</v>
      </c>
      <c r="E1474">
        <v>194.44418300000001</v>
      </c>
    </row>
    <row r="1475" spans="1:5" hidden="1" x14ac:dyDescent="0.3">
      <c r="A1475">
        <v>27</v>
      </c>
      <c r="B1475">
        <v>235000</v>
      </c>
      <c r="C1475" t="s">
        <v>46</v>
      </c>
      <c r="D1475" t="s">
        <v>9</v>
      </c>
      <c r="E1475">
        <v>34138.483418999997</v>
      </c>
    </row>
    <row r="1476" spans="1:5" hidden="1" x14ac:dyDescent="0.3">
      <c r="A1476">
        <v>27</v>
      </c>
      <c r="B1476">
        <v>235000</v>
      </c>
      <c r="C1476" t="s">
        <v>46</v>
      </c>
      <c r="D1476" t="s">
        <v>10</v>
      </c>
      <c r="E1476">
        <v>57247.889686000002</v>
      </c>
    </row>
    <row r="1477" spans="1:5" hidden="1" x14ac:dyDescent="0.3">
      <c r="A1477">
        <v>27</v>
      </c>
      <c r="B1477">
        <v>235000</v>
      </c>
      <c r="C1477" t="s">
        <v>46</v>
      </c>
      <c r="D1477" t="s">
        <v>11</v>
      </c>
      <c r="E1477">
        <v>28361.111950999999</v>
      </c>
    </row>
    <row r="1478" spans="1:5" hidden="1" x14ac:dyDescent="0.3">
      <c r="A1478">
        <v>27</v>
      </c>
      <c r="B1478">
        <v>235000</v>
      </c>
      <c r="C1478" t="s">
        <v>46</v>
      </c>
      <c r="D1478" t="s">
        <v>12</v>
      </c>
      <c r="E1478">
        <v>12555.556732999999</v>
      </c>
    </row>
    <row r="1479" spans="1:5" hidden="1" x14ac:dyDescent="0.3">
      <c r="A1479">
        <v>27</v>
      </c>
      <c r="B1479">
        <v>235000</v>
      </c>
      <c r="C1479" t="s">
        <v>46</v>
      </c>
      <c r="D1479" t="s">
        <v>13</v>
      </c>
      <c r="E1479">
        <v>14172.545923</v>
      </c>
    </row>
    <row r="1480" spans="1:5" hidden="1" x14ac:dyDescent="0.3">
      <c r="A1480">
        <v>27</v>
      </c>
      <c r="B1480">
        <v>235000</v>
      </c>
      <c r="C1480" t="s">
        <v>46</v>
      </c>
      <c r="D1480" t="s">
        <v>14</v>
      </c>
      <c r="E1480">
        <v>6388.8901679999999</v>
      </c>
    </row>
    <row r="1481" spans="1:5" hidden="1" x14ac:dyDescent="0.3">
      <c r="A1481">
        <v>27</v>
      </c>
      <c r="B1481">
        <v>235000</v>
      </c>
      <c r="C1481" t="s">
        <v>46</v>
      </c>
      <c r="D1481" t="s">
        <v>15</v>
      </c>
      <c r="E1481">
        <v>0.37895000000000001</v>
      </c>
    </row>
    <row r="1482" spans="1:5" hidden="1" x14ac:dyDescent="0.3">
      <c r="A1482">
        <v>27</v>
      </c>
      <c r="B1482">
        <v>235000</v>
      </c>
      <c r="C1482" t="s">
        <v>46</v>
      </c>
      <c r="D1482" t="s">
        <v>16</v>
      </c>
      <c r="E1482">
        <v>31515.350828999999</v>
      </c>
    </row>
    <row r="1483" spans="1:5" hidden="1" x14ac:dyDescent="0.3">
      <c r="A1483">
        <v>27</v>
      </c>
      <c r="B1483">
        <v>235000</v>
      </c>
      <c r="C1483" t="s">
        <v>46</v>
      </c>
      <c r="D1483" t="s">
        <v>17</v>
      </c>
      <c r="E1483">
        <v>0.81089999999999995</v>
      </c>
    </row>
    <row r="1484" spans="1:5" hidden="1" x14ac:dyDescent="0.3">
      <c r="A1484">
        <v>27</v>
      </c>
      <c r="B1484">
        <v>235000</v>
      </c>
      <c r="C1484" t="s">
        <v>46</v>
      </c>
      <c r="D1484" t="s">
        <v>18</v>
      </c>
      <c r="E1484">
        <v>44.418187000000003</v>
      </c>
    </row>
    <row r="1485" spans="1:5" hidden="1" x14ac:dyDescent="0.3">
      <c r="A1485">
        <v>27</v>
      </c>
      <c r="B1485">
        <v>235000</v>
      </c>
      <c r="C1485" t="s">
        <v>46</v>
      </c>
      <c r="D1485" t="s">
        <v>19</v>
      </c>
      <c r="E1485">
        <v>4222.2237459999997</v>
      </c>
    </row>
    <row r="1486" spans="1:5" hidden="1" x14ac:dyDescent="0.3">
      <c r="A1486">
        <v>27</v>
      </c>
      <c r="B1486">
        <v>235000</v>
      </c>
      <c r="C1486" t="s">
        <v>46</v>
      </c>
      <c r="D1486" t="s">
        <v>20</v>
      </c>
      <c r="E1486">
        <v>6055.5572529999999</v>
      </c>
    </row>
    <row r="1487" spans="1:5" hidden="1" x14ac:dyDescent="0.3">
      <c r="A1487">
        <v>27</v>
      </c>
      <c r="B1487">
        <v>235000</v>
      </c>
      <c r="C1487" t="s">
        <v>46</v>
      </c>
      <c r="D1487" t="s">
        <v>21</v>
      </c>
      <c r="E1487">
        <v>0.138352</v>
      </c>
    </row>
    <row r="1488" spans="1:5" hidden="1" x14ac:dyDescent="0.3">
      <c r="A1488">
        <v>27</v>
      </c>
      <c r="B1488">
        <v>235000</v>
      </c>
      <c r="C1488" t="s">
        <v>46</v>
      </c>
      <c r="D1488" t="s">
        <v>22</v>
      </c>
      <c r="E1488">
        <v>268.879255</v>
      </c>
    </row>
    <row r="1489" spans="1:5" hidden="1" x14ac:dyDescent="0.3">
      <c r="A1489">
        <v>27</v>
      </c>
      <c r="B1489">
        <v>235000</v>
      </c>
      <c r="C1489" t="s">
        <v>46</v>
      </c>
      <c r="D1489" t="s">
        <v>23</v>
      </c>
      <c r="E1489">
        <v>1722.224127</v>
      </c>
    </row>
    <row r="1490" spans="1:5" hidden="1" x14ac:dyDescent="0.3">
      <c r="A1490">
        <v>27</v>
      </c>
      <c r="B1490">
        <v>235000</v>
      </c>
      <c r="C1490" t="s">
        <v>46</v>
      </c>
      <c r="D1490" t="s">
        <v>24</v>
      </c>
      <c r="E1490">
        <v>0.41463499999999998</v>
      </c>
    </row>
    <row r="1491" spans="1:5" hidden="1" x14ac:dyDescent="0.3">
      <c r="A1491">
        <v>27</v>
      </c>
      <c r="B1491">
        <v>235000</v>
      </c>
      <c r="C1491" t="s">
        <v>46</v>
      </c>
      <c r="D1491" t="s">
        <v>25</v>
      </c>
      <c r="E1491">
        <v>1500.0011280000001</v>
      </c>
    </row>
    <row r="1492" spans="1:5" hidden="1" x14ac:dyDescent="0.3">
      <c r="A1492">
        <v>27</v>
      </c>
      <c r="B1492">
        <v>235000</v>
      </c>
      <c r="C1492" t="s">
        <v>46</v>
      </c>
      <c r="D1492" t="s">
        <v>26</v>
      </c>
      <c r="E1492">
        <v>0.19317799999999999</v>
      </c>
    </row>
    <row r="1493" spans="1:5" hidden="1" x14ac:dyDescent="0.3">
      <c r="A1493">
        <v>28</v>
      </c>
      <c r="B1493">
        <v>240000</v>
      </c>
      <c r="C1493" t="s">
        <v>45</v>
      </c>
      <c r="D1493" t="s">
        <v>6</v>
      </c>
      <c r="E1493">
        <v>0.33161400000000002</v>
      </c>
    </row>
    <row r="1494" spans="1:5" hidden="1" x14ac:dyDescent="0.3">
      <c r="A1494">
        <v>28</v>
      </c>
      <c r="B1494">
        <v>240000</v>
      </c>
      <c r="C1494" t="s">
        <v>45</v>
      </c>
      <c r="D1494" t="s">
        <v>7</v>
      </c>
      <c r="E1494">
        <v>52982.055588000003</v>
      </c>
    </row>
    <row r="1495" spans="1:5" hidden="1" x14ac:dyDescent="0.3">
      <c r="A1495">
        <v>28</v>
      </c>
      <c r="B1495">
        <v>240000</v>
      </c>
      <c r="C1495" t="s">
        <v>45</v>
      </c>
      <c r="D1495" t="s">
        <v>8</v>
      </c>
      <c r="E1495">
        <v>0.45291100000000001</v>
      </c>
    </row>
    <row r="1496" spans="1:5" hidden="1" x14ac:dyDescent="0.3">
      <c r="A1496">
        <v>28</v>
      </c>
      <c r="B1496">
        <v>240000</v>
      </c>
      <c r="C1496" t="s">
        <v>45</v>
      </c>
      <c r="D1496" t="s">
        <v>9</v>
      </c>
      <c r="E1496">
        <v>1.3080529999999999</v>
      </c>
    </row>
    <row r="1497" spans="1:5" hidden="1" x14ac:dyDescent="0.3">
      <c r="A1497">
        <v>28</v>
      </c>
      <c r="B1497">
        <v>240000</v>
      </c>
      <c r="C1497" t="s">
        <v>45</v>
      </c>
      <c r="D1497" t="s">
        <v>10</v>
      </c>
      <c r="E1497">
        <v>0.25179200000000002</v>
      </c>
    </row>
    <row r="1498" spans="1:5" hidden="1" x14ac:dyDescent="0.3">
      <c r="A1498">
        <v>28</v>
      </c>
      <c r="B1498">
        <v>240000</v>
      </c>
      <c r="C1498" t="s">
        <v>45</v>
      </c>
      <c r="D1498" t="s">
        <v>11</v>
      </c>
      <c r="E1498">
        <v>34138.858257</v>
      </c>
    </row>
    <row r="1499" spans="1:5" hidden="1" x14ac:dyDescent="0.3">
      <c r="A1499">
        <v>28</v>
      </c>
      <c r="B1499">
        <v>240000</v>
      </c>
      <c r="C1499" t="s">
        <v>45</v>
      </c>
      <c r="D1499" t="s">
        <v>12</v>
      </c>
      <c r="E1499">
        <v>44388.842320999996</v>
      </c>
    </row>
    <row r="1500" spans="1:5" hidden="1" x14ac:dyDescent="0.3">
      <c r="A1500">
        <v>28</v>
      </c>
      <c r="B1500">
        <v>240000</v>
      </c>
      <c r="C1500" t="s">
        <v>45</v>
      </c>
      <c r="D1500" t="s">
        <v>13</v>
      </c>
      <c r="E1500">
        <v>35431.342768000002</v>
      </c>
    </row>
    <row r="1501" spans="1:5" hidden="1" x14ac:dyDescent="0.3">
      <c r="A1501">
        <v>28</v>
      </c>
      <c r="B1501">
        <v>240000</v>
      </c>
      <c r="C1501" t="s">
        <v>45</v>
      </c>
      <c r="D1501" t="s">
        <v>14</v>
      </c>
      <c r="E1501">
        <v>3684.7199989999999</v>
      </c>
    </row>
    <row r="1502" spans="1:5" hidden="1" x14ac:dyDescent="0.3">
      <c r="A1502">
        <v>28</v>
      </c>
      <c r="B1502">
        <v>240000</v>
      </c>
      <c r="C1502" t="s">
        <v>45</v>
      </c>
      <c r="D1502" t="s">
        <v>15</v>
      </c>
      <c r="E1502">
        <v>0.114674</v>
      </c>
    </row>
    <row r="1503" spans="1:5" hidden="1" x14ac:dyDescent="0.3">
      <c r="A1503">
        <v>28</v>
      </c>
      <c r="B1503">
        <v>240000</v>
      </c>
      <c r="C1503" t="s">
        <v>45</v>
      </c>
      <c r="D1503" t="s">
        <v>16</v>
      </c>
      <c r="E1503">
        <v>40332.927445000001</v>
      </c>
    </row>
    <row r="1504" spans="1:5" hidden="1" x14ac:dyDescent="0.3">
      <c r="A1504">
        <v>28</v>
      </c>
      <c r="B1504">
        <v>240000</v>
      </c>
      <c r="C1504" t="s">
        <v>45</v>
      </c>
      <c r="D1504" t="s">
        <v>17</v>
      </c>
      <c r="E1504">
        <v>0.204766</v>
      </c>
    </row>
    <row r="1505" spans="1:5" hidden="1" x14ac:dyDescent="0.3">
      <c r="A1505">
        <v>28</v>
      </c>
      <c r="B1505">
        <v>240000</v>
      </c>
      <c r="C1505" t="s">
        <v>45</v>
      </c>
      <c r="D1505" t="s">
        <v>18</v>
      </c>
      <c r="E1505">
        <v>88.758332999999993</v>
      </c>
    </row>
    <row r="1506" spans="1:5" hidden="1" x14ac:dyDescent="0.3">
      <c r="A1506">
        <v>28</v>
      </c>
      <c r="B1506">
        <v>240000</v>
      </c>
      <c r="C1506" t="s">
        <v>45</v>
      </c>
      <c r="D1506" t="s">
        <v>19</v>
      </c>
      <c r="E1506">
        <v>8833.3298360000008</v>
      </c>
    </row>
    <row r="1507" spans="1:5" hidden="1" x14ac:dyDescent="0.3">
      <c r="A1507">
        <v>28</v>
      </c>
      <c r="B1507">
        <v>240000</v>
      </c>
      <c r="C1507" t="s">
        <v>45</v>
      </c>
      <c r="D1507" t="s">
        <v>20</v>
      </c>
      <c r="E1507">
        <v>15166.666359000001</v>
      </c>
    </row>
    <row r="1508" spans="1:5" hidden="1" x14ac:dyDescent="0.3">
      <c r="A1508">
        <v>28</v>
      </c>
      <c r="B1508">
        <v>240000</v>
      </c>
      <c r="C1508" t="s">
        <v>45</v>
      </c>
      <c r="D1508" t="s">
        <v>21</v>
      </c>
      <c r="E1508">
        <v>0.11757099999999999</v>
      </c>
    </row>
    <row r="1509" spans="1:5" hidden="1" x14ac:dyDescent="0.3">
      <c r="A1509">
        <v>28</v>
      </c>
      <c r="B1509">
        <v>240000</v>
      </c>
      <c r="C1509" t="s">
        <v>45</v>
      </c>
      <c r="D1509" t="s">
        <v>22</v>
      </c>
      <c r="E1509">
        <v>504.12266699999998</v>
      </c>
    </row>
    <row r="1510" spans="1:5" hidden="1" x14ac:dyDescent="0.3">
      <c r="A1510">
        <v>28</v>
      </c>
      <c r="B1510">
        <v>240000</v>
      </c>
      <c r="C1510" t="s">
        <v>45</v>
      </c>
      <c r="D1510" t="s">
        <v>23</v>
      </c>
      <c r="E1510">
        <v>4444.4448640000001</v>
      </c>
    </row>
    <row r="1511" spans="1:5" hidden="1" x14ac:dyDescent="0.3">
      <c r="A1511">
        <v>28</v>
      </c>
      <c r="B1511">
        <v>240000</v>
      </c>
      <c r="C1511" t="s">
        <v>45</v>
      </c>
      <c r="D1511" t="s">
        <v>24</v>
      </c>
      <c r="E1511">
        <v>0.118922</v>
      </c>
    </row>
    <row r="1512" spans="1:5" hidden="1" x14ac:dyDescent="0.3">
      <c r="A1512">
        <v>28</v>
      </c>
      <c r="B1512">
        <v>240000</v>
      </c>
      <c r="C1512" t="s">
        <v>45</v>
      </c>
      <c r="D1512" t="s">
        <v>25</v>
      </c>
      <c r="E1512">
        <v>0.97912699999999997</v>
      </c>
    </row>
    <row r="1513" spans="1:5" hidden="1" x14ac:dyDescent="0.3">
      <c r="A1513">
        <v>28</v>
      </c>
      <c r="B1513">
        <v>240000</v>
      </c>
      <c r="C1513" t="s">
        <v>46</v>
      </c>
      <c r="D1513" t="s">
        <v>26</v>
      </c>
      <c r="E1513">
        <v>7.9231999999999997E-2</v>
      </c>
    </row>
    <row r="1514" spans="1:5" x14ac:dyDescent="0.3">
      <c r="A1514">
        <v>28</v>
      </c>
      <c r="B1514">
        <v>240000</v>
      </c>
      <c r="C1514" t="s">
        <v>46</v>
      </c>
      <c r="D1514" t="s">
        <v>6</v>
      </c>
      <c r="E1514">
        <v>54.986699000000002</v>
      </c>
    </row>
    <row r="1515" spans="1:5" hidden="1" x14ac:dyDescent="0.3">
      <c r="A1515">
        <v>28</v>
      </c>
      <c r="B1515">
        <v>240000</v>
      </c>
      <c r="C1515" t="s">
        <v>46</v>
      </c>
      <c r="D1515" t="s">
        <v>7</v>
      </c>
      <c r="E1515">
        <v>36555.551678000003</v>
      </c>
    </row>
    <row r="1516" spans="1:5" hidden="1" x14ac:dyDescent="0.3">
      <c r="A1516">
        <v>28</v>
      </c>
      <c r="B1516">
        <v>240000</v>
      </c>
      <c r="C1516" t="s">
        <v>46</v>
      </c>
      <c r="D1516" t="s">
        <v>8</v>
      </c>
      <c r="E1516">
        <v>194.443546</v>
      </c>
    </row>
    <row r="1517" spans="1:5" hidden="1" x14ac:dyDescent="0.3">
      <c r="A1517">
        <v>28</v>
      </c>
      <c r="B1517">
        <v>240000</v>
      </c>
      <c r="C1517" t="s">
        <v>46</v>
      </c>
      <c r="D1517" t="s">
        <v>9</v>
      </c>
      <c r="E1517">
        <v>34138.483712000001</v>
      </c>
    </row>
    <row r="1518" spans="1:5" hidden="1" x14ac:dyDescent="0.3">
      <c r="A1518">
        <v>28</v>
      </c>
      <c r="B1518">
        <v>240000</v>
      </c>
      <c r="C1518" t="s">
        <v>46</v>
      </c>
      <c r="D1518" t="s">
        <v>10</v>
      </c>
      <c r="E1518">
        <v>62247.772078000002</v>
      </c>
    </row>
    <row r="1519" spans="1:5" hidden="1" x14ac:dyDescent="0.3">
      <c r="A1519">
        <v>28</v>
      </c>
      <c r="B1519">
        <v>240000</v>
      </c>
      <c r="C1519" t="s">
        <v>46</v>
      </c>
      <c r="D1519" t="s">
        <v>11</v>
      </c>
      <c r="E1519">
        <v>28361.111936000001</v>
      </c>
    </row>
    <row r="1520" spans="1:5" hidden="1" x14ac:dyDescent="0.3">
      <c r="A1520">
        <v>28</v>
      </c>
      <c r="B1520">
        <v>240000</v>
      </c>
      <c r="C1520" t="s">
        <v>46</v>
      </c>
      <c r="D1520" t="s">
        <v>12</v>
      </c>
      <c r="E1520">
        <v>12555.556409000001</v>
      </c>
    </row>
    <row r="1521" spans="1:5" hidden="1" x14ac:dyDescent="0.3">
      <c r="A1521">
        <v>28</v>
      </c>
      <c r="B1521">
        <v>240000</v>
      </c>
      <c r="C1521" t="s">
        <v>46</v>
      </c>
      <c r="D1521" t="s">
        <v>13</v>
      </c>
      <c r="E1521">
        <v>14172.545568</v>
      </c>
    </row>
    <row r="1522" spans="1:5" hidden="1" x14ac:dyDescent="0.3">
      <c r="A1522">
        <v>28</v>
      </c>
      <c r="B1522">
        <v>240000</v>
      </c>
      <c r="C1522" t="s">
        <v>46</v>
      </c>
      <c r="D1522" t="s">
        <v>14</v>
      </c>
      <c r="E1522">
        <v>6388.8898140000001</v>
      </c>
    </row>
    <row r="1523" spans="1:5" hidden="1" x14ac:dyDescent="0.3">
      <c r="A1523">
        <v>28</v>
      </c>
      <c r="B1523">
        <v>240000</v>
      </c>
      <c r="C1523" t="s">
        <v>46</v>
      </c>
      <c r="D1523" t="s">
        <v>15</v>
      </c>
      <c r="E1523">
        <v>0.39327099999999998</v>
      </c>
    </row>
    <row r="1524" spans="1:5" hidden="1" x14ac:dyDescent="0.3">
      <c r="A1524">
        <v>28</v>
      </c>
      <c r="B1524">
        <v>240000</v>
      </c>
      <c r="C1524" t="s">
        <v>46</v>
      </c>
      <c r="D1524" t="s">
        <v>16</v>
      </c>
      <c r="E1524">
        <v>31515.353456000001</v>
      </c>
    </row>
    <row r="1525" spans="1:5" hidden="1" x14ac:dyDescent="0.3">
      <c r="A1525">
        <v>28</v>
      </c>
      <c r="B1525">
        <v>240000</v>
      </c>
      <c r="C1525" t="s">
        <v>46</v>
      </c>
      <c r="D1525" t="s">
        <v>17</v>
      </c>
      <c r="E1525">
        <v>0.913636</v>
      </c>
    </row>
    <row r="1526" spans="1:5" hidden="1" x14ac:dyDescent="0.3">
      <c r="A1526">
        <v>28</v>
      </c>
      <c r="B1526">
        <v>240000</v>
      </c>
      <c r="C1526" t="s">
        <v>46</v>
      </c>
      <c r="D1526" t="s">
        <v>18</v>
      </c>
      <c r="E1526">
        <v>44.417634</v>
      </c>
    </row>
    <row r="1527" spans="1:5" hidden="1" x14ac:dyDescent="0.3">
      <c r="A1527">
        <v>28</v>
      </c>
      <c r="B1527">
        <v>240000</v>
      </c>
      <c r="C1527" t="s">
        <v>46</v>
      </c>
      <c r="D1527" t="s">
        <v>19</v>
      </c>
      <c r="E1527">
        <v>4222.2233230000002</v>
      </c>
    </row>
    <row r="1528" spans="1:5" hidden="1" x14ac:dyDescent="0.3">
      <c r="A1528">
        <v>28</v>
      </c>
      <c r="B1528">
        <v>240000</v>
      </c>
      <c r="C1528" t="s">
        <v>46</v>
      </c>
      <c r="D1528" t="s">
        <v>20</v>
      </c>
      <c r="E1528">
        <v>6055.5568030000004</v>
      </c>
    </row>
    <row r="1529" spans="1:5" hidden="1" x14ac:dyDescent="0.3">
      <c r="A1529">
        <v>28</v>
      </c>
      <c r="B1529">
        <v>240000</v>
      </c>
      <c r="C1529" t="s">
        <v>46</v>
      </c>
      <c r="D1529" t="s">
        <v>21</v>
      </c>
      <c r="E1529">
        <v>0.125671</v>
      </c>
    </row>
    <row r="1530" spans="1:5" hidden="1" x14ac:dyDescent="0.3">
      <c r="A1530">
        <v>28</v>
      </c>
      <c r="B1530">
        <v>240000</v>
      </c>
      <c r="C1530" t="s">
        <v>46</v>
      </c>
      <c r="D1530" t="s">
        <v>22</v>
      </c>
      <c r="E1530">
        <v>268.87865699999998</v>
      </c>
    </row>
    <row r="1531" spans="1:5" hidden="1" x14ac:dyDescent="0.3">
      <c r="A1531">
        <v>28</v>
      </c>
      <c r="B1531">
        <v>240000</v>
      </c>
      <c r="C1531" t="s">
        <v>46</v>
      </c>
      <c r="D1531" t="s">
        <v>23</v>
      </c>
      <c r="E1531">
        <v>1722.223675</v>
      </c>
    </row>
    <row r="1532" spans="1:5" hidden="1" x14ac:dyDescent="0.3">
      <c r="A1532">
        <v>28</v>
      </c>
      <c r="B1532">
        <v>240000</v>
      </c>
      <c r="C1532" t="s">
        <v>46</v>
      </c>
      <c r="D1532" t="s">
        <v>24</v>
      </c>
      <c r="E1532">
        <v>0.43114799999999998</v>
      </c>
    </row>
    <row r="1533" spans="1:5" hidden="1" x14ac:dyDescent="0.3">
      <c r="A1533">
        <v>28</v>
      </c>
      <c r="B1533">
        <v>240000</v>
      </c>
      <c r="C1533" t="s">
        <v>46</v>
      </c>
      <c r="D1533" t="s">
        <v>25</v>
      </c>
      <c r="E1533">
        <v>1500.0006920000001</v>
      </c>
    </row>
    <row r="1534" spans="1:5" hidden="1" x14ac:dyDescent="0.3">
      <c r="A1534">
        <v>28</v>
      </c>
      <c r="B1534">
        <v>240000</v>
      </c>
      <c r="C1534" t="s">
        <v>46</v>
      </c>
      <c r="D1534" t="s">
        <v>26</v>
      </c>
      <c r="E1534">
        <v>0.18234700000000001</v>
      </c>
    </row>
    <row r="1535" spans="1:5" hidden="1" x14ac:dyDescent="0.3">
      <c r="A1535">
        <v>29</v>
      </c>
      <c r="B1535">
        <v>245000</v>
      </c>
      <c r="C1535" t="s">
        <v>45</v>
      </c>
      <c r="D1535" t="s">
        <v>6</v>
      </c>
      <c r="E1535">
        <v>0.24038799999999999</v>
      </c>
    </row>
    <row r="1536" spans="1:5" hidden="1" x14ac:dyDescent="0.3">
      <c r="A1536">
        <v>29</v>
      </c>
      <c r="B1536">
        <v>245000</v>
      </c>
      <c r="C1536" t="s">
        <v>45</v>
      </c>
      <c r="D1536" t="s">
        <v>7</v>
      </c>
      <c r="E1536">
        <v>52912.180875999999</v>
      </c>
    </row>
    <row r="1537" spans="1:5" hidden="1" x14ac:dyDescent="0.3">
      <c r="A1537">
        <v>29</v>
      </c>
      <c r="B1537">
        <v>245000</v>
      </c>
      <c r="C1537" t="s">
        <v>45</v>
      </c>
      <c r="D1537" t="s">
        <v>8</v>
      </c>
      <c r="E1537">
        <v>0.39993699999999999</v>
      </c>
    </row>
    <row r="1538" spans="1:5" hidden="1" x14ac:dyDescent="0.3">
      <c r="A1538">
        <v>29</v>
      </c>
      <c r="B1538">
        <v>245000</v>
      </c>
      <c r="C1538" t="s">
        <v>45</v>
      </c>
      <c r="D1538" t="s">
        <v>9</v>
      </c>
      <c r="E1538">
        <v>1.469295</v>
      </c>
    </row>
    <row r="1539" spans="1:5" hidden="1" x14ac:dyDescent="0.3">
      <c r="A1539">
        <v>29</v>
      </c>
      <c r="B1539">
        <v>245000</v>
      </c>
      <c r="C1539" t="s">
        <v>45</v>
      </c>
      <c r="D1539" t="s">
        <v>10</v>
      </c>
      <c r="E1539">
        <v>0.29245700000000002</v>
      </c>
    </row>
    <row r="1540" spans="1:5" hidden="1" x14ac:dyDescent="0.3">
      <c r="A1540">
        <v>29</v>
      </c>
      <c r="B1540">
        <v>245000</v>
      </c>
      <c r="C1540" t="s">
        <v>45</v>
      </c>
      <c r="D1540" t="s">
        <v>11</v>
      </c>
      <c r="E1540">
        <v>34138.854566000002</v>
      </c>
    </row>
    <row r="1541" spans="1:5" hidden="1" x14ac:dyDescent="0.3">
      <c r="A1541">
        <v>29</v>
      </c>
      <c r="B1541">
        <v>245000</v>
      </c>
      <c r="C1541" t="s">
        <v>45</v>
      </c>
      <c r="D1541" t="s">
        <v>12</v>
      </c>
      <c r="E1541">
        <v>44388.735731000001</v>
      </c>
    </row>
    <row r="1542" spans="1:5" hidden="1" x14ac:dyDescent="0.3">
      <c r="A1542">
        <v>29</v>
      </c>
      <c r="B1542">
        <v>245000</v>
      </c>
      <c r="C1542" t="s">
        <v>45</v>
      </c>
      <c r="D1542" t="s">
        <v>13</v>
      </c>
      <c r="E1542">
        <v>35431.341408</v>
      </c>
    </row>
    <row r="1543" spans="1:5" hidden="1" x14ac:dyDescent="0.3">
      <c r="A1543">
        <v>29</v>
      </c>
      <c r="B1543">
        <v>245000</v>
      </c>
      <c r="C1543" t="s">
        <v>45</v>
      </c>
      <c r="D1543" t="s">
        <v>14</v>
      </c>
      <c r="E1543">
        <v>8754.9424099999997</v>
      </c>
    </row>
    <row r="1544" spans="1:5" hidden="1" x14ac:dyDescent="0.3">
      <c r="A1544">
        <v>29</v>
      </c>
      <c r="B1544">
        <v>245000</v>
      </c>
      <c r="C1544" t="s">
        <v>45</v>
      </c>
      <c r="D1544" t="s">
        <v>15</v>
      </c>
      <c r="E1544">
        <v>0.119536</v>
      </c>
    </row>
    <row r="1545" spans="1:5" hidden="1" x14ac:dyDescent="0.3">
      <c r="A1545">
        <v>29</v>
      </c>
      <c r="B1545">
        <v>245000</v>
      </c>
      <c r="C1545" t="s">
        <v>45</v>
      </c>
      <c r="D1545" t="s">
        <v>16</v>
      </c>
      <c r="E1545">
        <v>40332.962205999997</v>
      </c>
    </row>
    <row r="1546" spans="1:5" hidden="1" x14ac:dyDescent="0.3">
      <c r="A1546">
        <v>29</v>
      </c>
      <c r="B1546">
        <v>245000</v>
      </c>
      <c r="C1546" t="s">
        <v>45</v>
      </c>
      <c r="D1546" t="s">
        <v>17</v>
      </c>
      <c r="E1546">
        <v>0.207451</v>
      </c>
    </row>
    <row r="1547" spans="1:5" hidden="1" x14ac:dyDescent="0.3">
      <c r="A1547">
        <v>29</v>
      </c>
      <c r="B1547">
        <v>245000</v>
      </c>
      <c r="C1547" t="s">
        <v>45</v>
      </c>
      <c r="D1547" t="s">
        <v>18</v>
      </c>
      <c r="E1547">
        <v>88.667475999999994</v>
      </c>
    </row>
    <row r="1548" spans="1:5" hidden="1" x14ac:dyDescent="0.3">
      <c r="A1548">
        <v>29</v>
      </c>
      <c r="B1548">
        <v>245000</v>
      </c>
      <c r="C1548" t="s">
        <v>45</v>
      </c>
      <c r="D1548" t="s">
        <v>19</v>
      </c>
      <c r="E1548">
        <v>8833.3286059999991</v>
      </c>
    </row>
    <row r="1549" spans="1:5" hidden="1" x14ac:dyDescent="0.3">
      <c r="A1549">
        <v>29</v>
      </c>
      <c r="B1549">
        <v>245000</v>
      </c>
      <c r="C1549" t="s">
        <v>45</v>
      </c>
      <c r="D1549" t="s">
        <v>20</v>
      </c>
      <c r="E1549">
        <v>15166.666531999999</v>
      </c>
    </row>
    <row r="1550" spans="1:5" hidden="1" x14ac:dyDescent="0.3">
      <c r="A1550">
        <v>29</v>
      </c>
      <c r="B1550">
        <v>245000</v>
      </c>
      <c r="C1550" t="s">
        <v>45</v>
      </c>
      <c r="D1550" t="s">
        <v>21</v>
      </c>
      <c r="E1550">
        <v>5.1767000000000001E-2</v>
      </c>
    </row>
    <row r="1551" spans="1:5" hidden="1" x14ac:dyDescent="0.3">
      <c r="A1551">
        <v>29</v>
      </c>
      <c r="B1551">
        <v>245000</v>
      </c>
      <c r="C1551" t="s">
        <v>45</v>
      </c>
      <c r="D1551" t="s">
        <v>22</v>
      </c>
      <c r="E1551">
        <v>504.076436</v>
      </c>
    </row>
    <row r="1552" spans="1:5" hidden="1" x14ac:dyDescent="0.3">
      <c r="A1552">
        <v>29</v>
      </c>
      <c r="B1552">
        <v>245000</v>
      </c>
      <c r="C1552" t="s">
        <v>45</v>
      </c>
      <c r="D1552" t="s">
        <v>23</v>
      </c>
      <c r="E1552">
        <v>4444.4450450000004</v>
      </c>
    </row>
    <row r="1553" spans="1:5" hidden="1" x14ac:dyDescent="0.3">
      <c r="A1553">
        <v>29</v>
      </c>
      <c r="B1553">
        <v>245000</v>
      </c>
      <c r="C1553" t="s">
        <v>45</v>
      </c>
      <c r="D1553" t="s">
        <v>24</v>
      </c>
      <c r="E1553">
        <v>0.12384000000000001</v>
      </c>
    </row>
    <row r="1554" spans="1:5" hidden="1" x14ac:dyDescent="0.3">
      <c r="A1554">
        <v>29</v>
      </c>
      <c r="B1554">
        <v>245000</v>
      </c>
      <c r="C1554" t="s">
        <v>45</v>
      </c>
      <c r="D1554" t="s">
        <v>25</v>
      </c>
      <c r="E1554">
        <v>0.84866900000000001</v>
      </c>
    </row>
    <row r="1555" spans="1:5" hidden="1" x14ac:dyDescent="0.3">
      <c r="A1555">
        <v>29</v>
      </c>
      <c r="B1555">
        <v>245000</v>
      </c>
      <c r="C1555" t="s">
        <v>46</v>
      </c>
      <c r="D1555" t="s">
        <v>26</v>
      </c>
      <c r="E1555">
        <v>8.0365000000000006E-2</v>
      </c>
    </row>
    <row r="1556" spans="1:5" x14ac:dyDescent="0.3">
      <c r="A1556">
        <v>29</v>
      </c>
      <c r="B1556">
        <v>245000</v>
      </c>
      <c r="C1556" t="s">
        <v>46</v>
      </c>
      <c r="D1556" t="s">
        <v>6</v>
      </c>
      <c r="E1556">
        <v>54.986134999999997</v>
      </c>
    </row>
    <row r="1557" spans="1:5" hidden="1" x14ac:dyDescent="0.3">
      <c r="A1557">
        <v>29</v>
      </c>
      <c r="B1557">
        <v>245000</v>
      </c>
      <c r="C1557" t="s">
        <v>46</v>
      </c>
      <c r="D1557" t="s">
        <v>7</v>
      </c>
      <c r="E1557">
        <v>36555.555621</v>
      </c>
    </row>
    <row r="1558" spans="1:5" hidden="1" x14ac:dyDescent="0.3">
      <c r="A1558">
        <v>29</v>
      </c>
      <c r="B1558">
        <v>245000</v>
      </c>
      <c r="C1558" t="s">
        <v>46</v>
      </c>
      <c r="D1558" t="s">
        <v>8</v>
      </c>
      <c r="E1558">
        <v>194.444287</v>
      </c>
    </row>
    <row r="1559" spans="1:5" hidden="1" x14ac:dyDescent="0.3">
      <c r="A1559">
        <v>29</v>
      </c>
      <c r="B1559">
        <v>245000</v>
      </c>
      <c r="C1559" t="s">
        <v>46</v>
      </c>
      <c r="D1559" t="s">
        <v>9</v>
      </c>
      <c r="E1559">
        <v>34138.483339999999</v>
      </c>
    </row>
    <row r="1560" spans="1:5" hidden="1" x14ac:dyDescent="0.3">
      <c r="A1560">
        <v>29</v>
      </c>
      <c r="B1560">
        <v>245000</v>
      </c>
      <c r="C1560" t="s">
        <v>46</v>
      </c>
      <c r="D1560" t="s">
        <v>10</v>
      </c>
      <c r="E1560">
        <v>67249.470377999998</v>
      </c>
    </row>
    <row r="1561" spans="1:5" hidden="1" x14ac:dyDescent="0.3">
      <c r="A1561">
        <v>29</v>
      </c>
      <c r="B1561">
        <v>245000</v>
      </c>
      <c r="C1561" t="s">
        <v>46</v>
      </c>
      <c r="D1561" t="s">
        <v>11</v>
      </c>
      <c r="E1561">
        <v>28361.111166999999</v>
      </c>
    </row>
    <row r="1562" spans="1:5" hidden="1" x14ac:dyDescent="0.3">
      <c r="A1562">
        <v>29</v>
      </c>
      <c r="B1562">
        <v>245000</v>
      </c>
      <c r="C1562" t="s">
        <v>46</v>
      </c>
      <c r="D1562" t="s">
        <v>12</v>
      </c>
      <c r="E1562">
        <v>12555.555616</v>
      </c>
    </row>
    <row r="1563" spans="1:5" hidden="1" x14ac:dyDescent="0.3">
      <c r="A1563">
        <v>29</v>
      </c>
      <c r="B1563">
        <v>245000</v>
      </c>
      <c r="C1563" t="s">
        <v>46</v>
      </c>
      <c r="D1563" t="s">
        <v>13</v>
      </c>
      <c r="E1563">
        <v>14172.544537</v>
      </c>
    </row>
    <row r="1564" spans="1:5" hidden="1" x14ac:dyDescent="0.3">
      <c r="A1564">
        <v>29</v>
      </c>
      <c r="B1564">
        <v>245000</v>
      </c>
      <c r="C1564" t="s">
        <v>46</v>
      </c>
      <c r="D1564" t="s">
        <v>14</v>
      </c>
      <c r="E1564">
        <v>6388.8889520000002</v>
      </c>
    </row>
    <row r="1565" spans="1:5" hidden="1" x14ac:dyDescent="0.3">
      <c r="A1565">
        <v>29</v>
      </c>
      <c r="B1565">
        <v>245000</v>
      </c>
      <c r="C1565" t="s">
        <v>46</v>
      </c>
      <c r="D1565" t="s">
        <v>15</v>
      </c>
      <c r="E1565">
        <v>3.9827000000000001E-2</v>
      </c>
    </row>
    <row r="1566" spans="1:5" hidden="1" x14ac:dyDescent="0.3">
      <c r="A1566">
        <v>29</v>
      </c>
      <c r="B1566">
        <v>245000</v>
      </c>
      <c r="C1566" t="s">
        <v>46</v>
      </c>
      <c r="D1566" t="s">
        <v>16</v>
      </c>
      <c r="E1566">
        <v>31515.360218000002</v>
      </c>
    </row>
    <row r="1567" spans="1:5" hidden="1" x14ac:dyDescent="0.3">
      <c r="A1567">
        <v>29</v>
      </c>
      <c r="B1567">
        <v>245000</v>
      </c>
      <c r="C1567" t="s">
        <v>46</v>
      </c>
      <c r="D1567" t="s">
        <v>17</v>
      </c>
      <c r="E1567">
        <v>0.18873999999999999</v>
      </c>
    </row>
    <row r="1568" spans="1:5" hidden="1" x14ac:dyDescent="0.3">
      <c r="A1568">
        <v>29</v>
      </c>
      <c r="B1568">
        <v>245000</v>
      </c>
      <c r="C1568" t="s">
        <v>46</v>
      </c>
      <c r="D1568" t="s">
        <v>18</v>
      </c>
      <c r="E1568">
        <v>44.416738000000002</v>
      </c>
    </row>
    <row r="1569" spans="1:5" hidden="1" x14ac:dyDescent="0.3">
      <c r="A1569">
        <v>29</v>
      </c>
      <c r="B1569">
        <v>245000</v>
      </c>
      <c r="C1569" t="s">
        <v>46</v>
      </c>
      <c r="D1569" t="s">
        <v>19</v>
      </c>
      <c r="E1569">
        <v>4222.2223080000003</v>
      </c>
    </row>
    <row r="1570" spans="1:5" hidden="1" x14ac:dyDescent="0.3">
      <c r="A1570">
        <v>29</v>
      </c>
      <c r="B1570">
        <v>245000</v>
      </c>
      <c r="C1570" t="s">
        <v>46</v>
      </c>
      <c r="D1570" t="s">
        <v>20</v>
      </c>
      <c r="E1570">
        <v>6055.5556640000004</v>
      </c>
    </row>
    <row r="1571" spans="1:5" hidden="1" x14ac:dyDescent="0.3">
      <c r="A1571">
        <v>29</v>
      </c>
      <c r="B1571">
        <v>245000</v>
      </c>
      <c r="C1571" t="s">
        <v>46</v>
      </c>
      <c r="D1571" t="s">
        <v>21</v>
      </c>
      <c r="E1571">
        <v>1.5688000000000001E-2</v>
      </c>
    </row>
    <row r="1572" spans="1:5" hidden="1" x14ac:dyDescent="0.3">
      <c r="A1572">
        <v>29</v>
      </c>
      <c r="B1572">
        <v>245000</v>
      </c>
      <c r="C1572" t="s">
        <v>46</v>
      </c>
      <c r="D1572" t="s">
        <v>22</v>
      </c>
      <c r="E1572">
        <v>268.87784099999999</v>
      </c>
    </row>
    <row r="1573" spans="1:5" hidden="1" x14ac:dyDescent="0.3">
      <c r="A1573">
        <v>29</v>
      </c>
      <c r="B1573">
        <v>245000</v>
      </c>
      <c r="C1573" t="s">
        <v>46</v>
      </c>
      <c r="D1573" t="s">
        <v>23</v>
      </c>
      <c r="E1573">
        <v>1722.2223509999999</v>
      </c>
    </row>
    <row r="1574" spans="1:5" hidden="1" x14ac:dyDescent="0.3">
      <c r="A1574">
        <v>29</v>
      </c>
      <c r="B1574">
        <v>245000</v>
      </c>
      <c r="C1574" t="s">
        <v>46</v>
      </c>
      <c r="D1574" t="s">
        <v>24</v>
      </c>
      <c r="E1574">
        <v>4.3430000000000003E-2</v>
      </c>
    </row>
    <row r="1575" spans="1:5" hidden="1" x14ac:dyDescent="0.3">
      <c r="A1575">
        <v>29</v>
      </c>
      <c r="B1575">
        <v>245000</v>
      </c>
      <c r="C1575" t="s">
        <v>46</v>
      </c>
      <c r="D1575" t="s">
        <v>25</v>
      </c>
      <c r="E1575">
        <v>1500.000033</v>
      </c>
    </row>
    <row r="1576" spans="1:5" hidden="1" x14ac:dyDescent="0.3">
      <c r="A1576">
        <v>29</v>
      </c>
      <c r="B1576">
        <v>245000</v>
      </c>
      <c r="C1576" t="s">
        <v>46</v>
      </c>
      <c r="D1576" t="s">
        <v>26</v>
      </c>
      <c r="E1576">
        <v>2.1180000000000001E-2</v>
      </c>
    </row>
    <row r="1577" spans="1:5" hidden="1" x14ac:dyDescent="0.3">
      <c r="A1577">
        <v>30</v>
      </c>
      <c r="B1577">
        <v>250000</v>
      </c>
      <c r="C1577" t="s">
        <v>45</v>
      </c>
      <c r="D1577" t="s">
        <v>6</v>
      </c>
      <c r="E1577">
        <v>0.214091</v>
      </c>
    </row>
    <row r="1578" spans="1:5" hidden="1" x14ac:dyDescent="0.3">
      <c r="A1578">
        <v>30</v>
      </c>
      <c r="B1578">
        <v>250000</v>
      </c>
      <c r="C1578" t="s">
        <v>45</v>
      </c>
      <c r="D1578" t="s">
        <v>7</v>
      </c>
      <c r="E1578">
        <v>52999.999614</v>
      </c>
    </row>
    <row r="1579" spans="1:5" hidden="1" x14ac:dyDescent="0.3">
      <c r="A1579">
        <v>30</v>
      </c>
      <c r="B1579">
        <v>250000</v>
      </c>
      <c r="C1579" t="s">
        <v>45</v>
      </c>
      <c r="D1579" t="s">
        <v>8</v>
      </c>
      <c r="E1579">
        <v>0.380747</v>
      </c>
    </row>
    <row r="1580" spans="1:5" hidden="1" x14ac:dyDescent="0.3">
      <c r="A1580">
        <v>30</v>
      </c>
      <c r="B1580">
        <v>250000</v>
      </c>
      <c r="C1580" t="s">
        <v>45</v>
      </c>
      <c r="D1580" t="s">
        <v>9</v>
      </c>
      <c r="E1580">
        <v>1196.1852590000001</v>
      </c>
    </row>
    <row r="1581" spans="1:5" hidden="1" x14ac:dyDescent="0.3">
      <c r="A1581">
        <v>30</v>
      </c>
      <c r="B1581">
        <v>250000</v>
      </c>
      <c r="C1581" t="s">
        <v>45</v>
      </c>
      <c r="D1581" t="s">
        <v>10</v>
      </c>
      <c r="E1581">
        <v>0.199346</v>
      </c>
    </row>
    <row r="1582" spans="1:5" hidden="1" x14ac:dyDescent="0.3">
      <c r="A1582">
        <v>30</v>
      </c>
      <c r="B1582">
        <v>250000</v>
      </c>
      <c r="C1582" t="s">
        <v>45</v>
      </c>
      <c r="D1582" t="s">
        <v>11</v>
      </c>
      <c r="E1582">
        <v>34138.877922</v>
      </c>
    </row>
    <row r="1583" spans="1:5" hidden="1" x14ac:dyDescent="0.3">
      <c r="A1583">
        <v>30</v>
      </c>
      <c r="B1583">
        <v>250000</v>
      </c>
      <c r="C1583" t="s">
        <v>45</v>
      </c>
      <c r="D1583" t="s">
        <v>12</v>
      </c>
      <c r="E1583">
        <v>44388.864863000003</v>
      </c>
    </row>
    <row r="1584" spans="1:5" hidden="1" x14ac:dyDescent="0.3">
      <c r="A1584">
        <v>30</v>
      </c>
      <c r="B1584">
        <v>250000</v>
      </c>
      <c r="C1584" t="s">
        <v>45</v>
      </c>
      <c r="D1584" t="s">
        <v>13</v>
      </c>
      <c r="E1584">
        <v>35431.342709999997</v>
      </c>
    </row>
    <row r="1585" spans="1:5" hidden="1" x14ac:dyDescent="0.3">
      <c r="A1585">
        <v>30</v>
      </c>
      <c r="B1585">
        <v>250000</v>
      </c>
      <c r="C1585" t="s">
        <v>45</v>
      </c>
      <c r="D1585" t="s">
        <v>14</v>
      </c>
      <c r="E1585">
        <v>12472.183144000001</v>
      </c>
    </row>
    <row r="1586" spans="1:5" hidden="1" x14ac:dyDescent="0.3">
      <c r="A1586">
        <v>30</v>
      </c>
      <c r="B1586">
        <v>250000</v>
      </c>
      <c r="C1586" t="s">
        <v>45</v>
      </c>
      <c r="D1586" t="s">
        <v>15</v>
      </c>
      <c r="E1586">
        <v>7.6282000000000003E-2</v>
      </c>
    </row>
    <row r="1587" spans="1:5" hidden="1" x14ac:dyDescent="0.3">
      <c r="A1587">
        <v>30</v>
      </c>
      <c r="B1587">
        <v>250000</v>
      </c>
      <c r="C1587" t="s">
        <v>45</v>
      </c>
      <c r="D1587" t="s">
        <v>16</v>
      </c>
      <c r="E1587">
        <v>40332.936195000002</v>
      </c>
    </row>
    <row r="1588" spans="1:5" hidden="1" x14ac:dyDescent="0.3">
      <c r="A1588">
        <v>30</v>
      </c>
      <c r="B1588">
        <v>250000</v>
      </c>
      <c r="C1588" t="s">
        <v>45</v>
      </c>
      <c r="D1588" t="s">
        <v>17</v>
      </c>
      <c r="E1588">
        <v>0.16084999999999999</v>
      </c>
    </row>
    <row r="1589" spans="1:5" hidden="1" x14ac:dyDescent="0.3">
      <c r="A1589">
        <v>30</v>
      </c>
      <c r="B1589">
        <v>250000</v>
      </c>
      <c r="C1589" t="s">
        <v>45</v>
      </c>
      <c r="D1589" t="s">
        <v>18</v>
      </c>
      <c r="E1589">
        <v>88.828137999999996</v>
      </c>
    </row>
    <row r="1590" spans="1:5" hidden="1" x14ac:dyDescent="0.3">
      <c r="A1590">
        <v>30</v>
      </c>
      <c r="B1590">
        <v>250000</v>
      </c>
      <c r="C1590" t="s">
        <v>45</v>
      </c>
      <c r="D1590" t="s">
        <v>19</v>
      </c>
      <c r="E1590">
        <v>8833.3310089999995</v>
      </c>
    </row>
    <row r="1591" spans="1:5" hidden="1" x14ac:dyDescent="0.3">
      <c r="A1591">
        <v>30</v>
      </c>
      <c r="B1591">
        <v>250000</v>
      </c>
      <c r="C1591" t="s">
        <v>45</v>
      </c>
      <c r="D1591" t="s">
        <v>20</v>
      </c>
      <c r="E1591">
        <v>15166.666033</v>
      </c>
    </row>
    <row r="1592" spans="1:5" hidden="1" x14ac:dyDescent="0.3">
      <c r="A1592">
        <v>30</v>
      </c>
      <c r="B1592">
        <v>250000</v>
      </c>
      <c r="C1592" t="s">
        <v>45</v>
      </c>
      <c r="D1592" t="s">
        <v>21</v>
      </c>
      <c r="E1592">
        <v>3.3887E-2</v>
      </c>
    </row>
    <row r="1593" spans="1:5" hidden="1" x14ac:dyDescent="0.3">
      <c r="A1593">
        <v>30</v>
      </c>
      <c r="B1593">
        <v>250000</v>
      </c>
      <c r="C1593" t="s">
        <v>45</v>
      </c>
      <c r="D1593" t="s">
        <v>22</v>
      </c>
      <c r="E1593">
        <v>504.14156800000001</v>
      </c>
    </row>
    <row r="1594" spans="1:5" hidden="1" x14ac:dyDescent="0.3">
      <c r="A1594">
        <v>30</v>
      </c>
      <c r="B1594">
        <v>250000</v>
      </c>
      <c r="C1594" t="s">
        <v>45</v>
      </c>
      <c r="D1594" t="s">
        <v>23</v>
      </c>
      <c r="E1594">
        <v>4444.4441280000001</v>
      </c>
    </row>
    <row r="1595" spans="1:5" hidden="1" x14ac:dyDescent="0.3">
      <c r="A1595">
        <v>30</v>
      </c>
      <c r="B1595">
        <v>250000</v>
      </c>
      <c r="C1595" t="s">
        <v>45</v>
      </c>
      <c r="D1595" t="s">
        <v>24</v>
      </c>
      <c r="E1595">
        <v>7.9620999999999997E-2</v>
      </c>
    </row>
    <row r="1596" spans="1:5" hidden="1" x14ac:dyDescent="0.3">
      <c r="A1596">
        <v>30</v>
      </c>
      <c r="B1596">
        <v>250000</v>
      </c>
      <c r="C1596" t="s">
        <v>45</v>
      </c>
      <c r="D1596" t="s">
        <v>25</v>
      </c>
      <c r="E1596">
        <v>1.0114620000000001</v>
      </c>
    </row>
    <row r="1597" spans="1:5" hidden="1" x14ac:dyDescent="0.3">
      <c r="A1597">
        <v>30</v>
      </c>
      <c r="B1597">
        <v>250000</v>
      </c>
      <c r="C1597" t="s">
        <v>46</v>
      </c>
      <c r="D1597" t="s">
        <v>26</v>
      </c>
      <c r="E1597">
        <v>4.9013000000000001E-2</v>
      </c>
    </row>
    <row r="1598" spans="1:5" x14ac:dyDescent="0.3">
      <c r="A1598">
        <v>30</v>
      </c>
      <c r="B1598">
        <v>250000</v>
      </c>
      <c r="C1598" t="s">
        <v>46</v>
      </c>
      <c r="D1598" t="s">
        <v>6</v>
      </c>
      <c r="E1598">
        <v>54.986573999999997</v>
      </c>
    </row>
    <row r="1599" spans="1:5" hidden="1" x14ac:dyDescent="0.3">
      <c r="A1599">
        <v>30</v>
      </c>
      <c r="B1599">
        <v>250000</v>
      </c>
      <c r="C1599" t="s">
        <v>46</v>
      </c>
      <c r="D1599" t="s">
        <v>7</v>
      </c>
      <c r="E1599">
        <v>36555.556664999996</v>
      </c>
    </row>
    <row r="1600" spans="1:5" hidden="1" x14ac:dyDescent="0.3">
      <c r="A1600">
        <v>30</v>
      </c>
      <c r="B1600">
        <v>250000</v>
      </c>
      <c r="C1600" t="s">
        <v>46</v>
      </c>
      <c r="D1600" t="s">
        <v>8</v>
      </c>
      <c r="E1600">
        <v>194.44365999999999</v>
      </c>
    </row>
    <row r="1601" spans="1:5" hidden="1" x14ac:dyDescent="0.3">
      <c r="A1601">
        <v>30</v>
      </c>
      <c r="B1601">
        <v>250000</v>
      </c>
      <c r="C1601" t="s">
        <v>46</v>
      </c>
      <c r="D1601" t="s">
        <v>9</v>
      </c>
      <c r="E1601">
        <v>34138.483995000002</v>
      </c>
    </row>
    <row r="1602" spans="1:5" hidden="1" x14ac:dyDescent="0.3">
      <c r="A1602">
        <v>30</v>
      </c>
      <c r="B1602">
        <v>250000</v>
      </c>
      <c r="C1602" t="s">
        <v>46</v>
      </c>
      <c r="D1602" t="s">
        <v>10</v>
      </c>
      <c r="E1602">
        <v>72247.827973000007</v>
      </c>
    </row>
    <row r="1603" spans="1:5" hidden="1" x14ac:dyDescent="0.3">
      <c r="A1603">
        <v>30</v>
      </c>
      <c r="B1603">
        <v>250000</v>
      </c>
      <c r="C1603" t="s">
        <v>46</v>
      </c>
      <c r="D1603" t="s">
        <v>11</v>
      </c>
      <c r="E1603">
        <v>28361.112028</v>
      </c>
    </row>
    <row r="1604" spans="1:5" hidden="1" x14ac:dyDescent="0.3">
      <c r="A1604">
        <v>30</v>
      </c>
      <c r="B1604">
        <v>250000</v>
      </c>
      <c r="C1604" t="s">
        <v>46</v>
      </c>
      <c r="D1604" t="s">
        <v>12</v>
      </c>
      <c r="E1604">
        <v>12555.556431999999</v>
      </c>
    </row>
    <row r="1605" spans="1:5" hidden="1" x14ac:dyDescent="0.3">
      <c r="A1605">
        <v>30</v>
      </c>
      <c r="B1605">
        <v>250000</v>
      </c>
      <c r="C1605" t="s">
        <v>46</v>
      </c>
      <c r="D1605" t="s">
        <v>13</v>
      </c>
      <c r="E1605">
        <v>14172.545537</v>
      </c>
    </row>
    <row r="1606" spans="1:5" hidden="1" x14ac:dyDescent="0.3">
      <c r="A1606">
        <v>30</v>
      </c>
      <c r="B1606">
        <v>250000</v>
      </c>
      <c r="C1606" t="s">
        <v>46</v>
      </c>
      <c r="D1606" t="s">
        <v>14</v>
      </c>
      <c r="E1606">
        <v>6388.8897829999996</v>
      </c>
    </row>
    <row r="1607" spans="1:5" hidden="1" x14ac:dyDescent="0.3">
      <c r="A1607">
        <v>30</v>
      </c>
      <c r="B1607">
        <v>250000</v>
      </c>
      <c r="C1607" t="s">
        <v>46</v>
      </c>
      <c r="D1607" t="s">
        <v>15</v>
      </c>
      <c r="E1607">
        <v>0.297734</v>
      </c>
    </row>
    <row r="1608" spans="1:5" hidden="1" x14ac:dyDescent="0.3">
      <c r="A1608">
        <v>30</v>
      </c>
      <c r="B1608">
        <v>250000</v>
      </c>
      <c r="C1608" t="s">
        <v>46</v>
      </c>
      <c r="D1608" t="s">
        <v>16</v>
      </c>
      <c r="E1608">
        <v>31515.362121999999</v>
      </c>
    </row>
    <row r="1609" spans="1:5" hidden="1" x14ac:dyDescent="0.3">
      <c r="A1609">
        <v>30</v>
      </c>
      <c r="B1609">
        <v>250000</v>
      </c>
      <c r="C1609" t="s">
        <v>46</v>
      </c>
      <c r="D1609" t="s">
        <v>17</v>
      </c>
      <c r="E1609">
        <v>1.0903259999999999</v>
      </c>
    </row>
    <row r="1610" spans="1:5" hidden="1" x14ac:dyDescent="0.3">
      <c r="A1610">
        <v>30</v>
      </c>
      <c r="B1610">
        <v>250000</v>
      </c>
      <c r="C1610" t="s">
        <v>46</v>
      </c>
      <c r="D1610" t="s">
        <v>18</v>
      </c>
      <c r="E1610">
        <v>44.417498000000002</v>
      </c>
    </row>
    <row r="1611" spans="1:5" hidden="1" x14ac:dyDescent="0.3">
      <c r="A1611">
        <v>30</v>
      </c>
      <c r="B1611">
        <v>250000</v>
      </c>
      <c r="C1611" t="s">
        <v>46</v>
      </c>
      <c r="D1611" t="s">
        <v>19</v>
      </c>
      <c r="E1611">
        <v>4222.2232750000003</v>
      </c>
    </row>
    <row r="1612" spans="1:5" hidden="1" x14ac:dyDescent="0.3">
      <c r="A1612">
        <v>30</v>
      </c>
      <c r="B1612">
        <v>250000</v>
      </c>
      <c r="C1612" t="s">
        <v>46</v>
      </c>
      <c r="D1612" t="s">
        <v>20</v>
      </c>
      <c r="E1612">
        <v>6055.5567460000002</v>
      </c>
    </row>
    <row r="1613" spans="1:5" hidden="1" x14ac:dyDescent="0.3">
      <c r="A1613">
        <v>30</v>
      </c>
      <c r="B1613">
        <v>250000</v>
      </c>
      <c r="C1613" t="s">
        <v>46</v>
      </c>
      <c r="D1613" t="s">
        <v>21</v>
      </c>
      <c r="E1613">
        <v>0.105971</v>
      </c>
    </row>
    <row r="1614" spans="1:5" hidden="1" x14ac:dyDescent="0.3">
      <c r="A1614">
        <v>30</v>
      </c>
      <c r="B1614">
        <v>250000</v>
      </c>
      <c r="C1614" t="s">
        <v>46</v>
      </c>
      <c r="D1614" t="s">
        <v>22</v>
      </c>
      <c r="E1614">
        <v>268.87869999999998</v>
      </c>
    </row>
    <row r="1615" spans="1:5" hidden="1" x14ac:dyDescent="0.3">
      <c r="A1615">
        <v>30</v>
      </c>
      <c r="B1615">
        <v>250000</v>
      </c>
      <c r="C1615" t="s">
        <v>46</v>
      </c>
      <c r="D1615" t="s">
        <v>23</v>
      </c>
      <c r="E1615">
        <v>1722.2235679999999</v>
      </c>
    </row>
    <row r="1616" spans="1:5" hidden="1" x14ac:dyDescent="0.3">
      <c r="A1616">
        <v>30</v>
      </c>
      <c r="B1616">
        <v>250000</v>
      </c>
      <c r="C1616" t="s">
        <v>46</v>
      </c>
      <c r="D1616" t="s">
        <v>24</v>
      </c>
      <c r="E1616">
        <v>0.32626899999999998</v>
      </c>
    </row>
    <row r="1617" spans="1:5" hidden="1" x14ac:dyDescent="0.3">
      <c r="A1617">
        <v>30</v>
      </c>
      <c r="B1617">
        <v>250000</v>
      </c>
      <c r="C1617" t="s">
        <v>46</v>
      </c>
      <c r="D1617" t="s">
        <v>25</v>
      </c>
      <c r="E1617">
        <v>1500.0007559999999</v>
      </c>
    </row>
    <row r="1618" spans="1:5" hidden="1" x14ac:dyDescent="0.3">
      <c r="A1618">
        <v>30</v>
      </c>
      <c r="B1618">
        <v>250000</v>
      </c>
      <c r="C1618" t="s">
        <v>46</v>
      </c>
      <c r="D1618" t="s">
        <v>26</v>
      </c>
      <c r="E1618">
        <v>0.15142700000000001</v>
      </c>
    </row>
    <row r="1619" spans="1:5" hidden="1" x14ac:dyDescent="0.3">
      <c r="A1619">
        <v>31</v>
      </c>
      <c r="B1619">
        <v>255000</v>
      </c>
      <c r="C1619" t="s">
        <v>45</v>
      </c>
      <c r="D1619" t="s">
        <v>6</v>
      </c>
      <c r="E1619">
        <v>0.33855800000000003</v>
      </c>
    </row>
    <row r="1620" spans="1:5" hidden="1" x14ac:dyDescent="0.3">
      <c r="A1620">
        <v>31</v>
      </c>
      <c r="B1620">
        <v>255000</v>
      </c>
      <c r="C1620" t="s">
        <v>45</v>
      </c>
      <c r="D1620" t="s">
        <v>7</v>
      </c>
      <c r="E1620">
        <v>52999.774495999998</v>
      </c>
    </row>
    <row r="1621" spans="1:5" hidden="1" x14ac:dyDescent="0.3">
      <c r="A1621">
        <v>31</v>
      </c>
      <c r="B1621">
        <v>255000</v>
      </c>
      <c r="C1621" t="s">
        <v>45</v>
      </c>
      <c r="D1621" t="s">
        <v>8</v>
      </c>
      <c r="E1621">
        <v>0.85427200000000003</v>
      </c>
    </row>
    <row r="1622" spans="1:5" hidden="1" x14ac:dyDescent="0.3">
      <c r="A1622">
        <v>31</v>
      </c>
      <c r="B1622">
        <v>255000</v>
      </c>
      <c r="C1622" t="s">
        <v>45</v>
      </c>
      <c r="D1622" t="s">
        <v>9</v>
      </c>
      <c r="E1622">
        <v>6193.3226379999996</v>
      </c>
    </row>
    <row r="1623" spans="1:5" hidden="1" x14ac:dyDescent="0.3">
      <c r="A1623">
        <v>31</v>
      </c>
      <c r="B1623">
        <v>255000</v>
      </c>
      <c r="C1623" t="s">
        <v>45</v>
      </c>
      <c r="D1623" t="s">
        <v>10</v>
      </c>
      <c r="E1623">
        <v>0.58094199999999996</v>
      </c>
    </row>
    <row r="1624" spans="1:5" hidden="1" x14ac:dyDescent="0.3">
      <c r="A1624">
        <v>31</v>
      </c>
      <c r="B1624">
        <v>255000</v>
      </c>
      <c r="C1624" t="s">
        <v>45</v>
      </c>
      <c r="D1624" t="s">
        <v>11</v>
      </c>
      <c r="E1624">
        <v>34138.889981</v>
      </c>
    </row>
    <row r="1625" spans="1:5" hidden="1" x14ac:dyDescent="0.3">
      <c r="A1625">
        <v>31</v>
      </c>
      <c r="B1625">
        <v>255000</v>
      </c>
      <c r="C1625" t="s">
        <v>45</v>
      </c>
      <c r="D1625" t="s">
        <v>12</v>
      </c>
      <c r="E1625">
        <v>44388.889337000001</v>
      </c>
    </row>
    <row r="1626" spans="1:5" hidden="1" x14ac:dyDescent="0.3">
      <c r="A1626">
        <v>31</v>
      </c>
      <c r="B1626">
        <v>255000</v>
      </c>
      <c r="C1626" t="s">
        <v>45</v>
      </c>
      <c r="D1626" t="s">
        <v>13</v>
      </c>
      <c r="E1626">
        <v>35431.343944</v>
      </c>
    </row>
    <row r="1627" spans="1:5" hidden="1" x14ac:dyDescent="0.3">
      <c r="A1627">
        <v>31</v>
      </c>
      <c r="B1627">
        <v>255000</v>
      </c>
      <c r="C1627" t="s">
        <v>45</v>
      </c>
      <c r="D1627" t="s">
        <v>14</v>
      </c>
      <c r="E1627">
        <v>12472.212012</v>
      </c>
    </row>
    <row r="1628" spans="1:5" hidden="1" x14ac:dyDescent="0.3">
      <c r="A1628">
        <v>31</v>
      </c>
      <c r="B1628">
        <v>255000</v>
      </c>
      <c r="C1628" t="s">
        <v>45</v>
      </c>
      <c r="D1628" t="s">
        <v>15</v>
      </c>
      <c r="E1628">
        <v>0.22182399999999999</v>
      </c>
    </row>
    <row r="1629" spans="1:5" hidden="1" x14ac:dyDescent="0.3">
      <c r="A1629">
        <v>31</v>
      </c>
      <c r="B1629">
        <v>255000</v>
      </c>
      <c r="C1629" t="s">
        <v>45</v>
      </c>
      <c r="D1629" t="s">
        <v>16</v>
      </c>
      <c r="E1629">
        <v>40332.869882999999</v>
      </c>
    </row>
    <row r="1630" spans="1:5" hidden="1" x14ac:dyDescent="0.3">
      <c r="A1630">
        <v>31</v>
      </c>
      <c r="B1630">
        <v>255000</v>
      </c>
      <c r="C1630" t="s">
        <v>45</v>
      </c>
      <c r="D1630" t="s">
        <v>17</v>
      </c>
      <c r="E1630">
        <v>0.36439500000000002</v>
      </c>
    </row>
    <row r="1631" spans="1:5" hidden="1" x14ac:dyDescent="0.3">
      <c r="A1631">
        <v>31</v>
      </c>
      <c r="B1631">
        <v>255000</v>
      </c>
      <c r="C1631" t="s">
        <v>45</v>
      </c>
      <c r="D1631" t="s">
        <v>18</v>
      </c>
      <c r="E1631">
        <v>88.826448999999997</v>
      </c>
    </row>
    <row r="1632" spans="1:5" hidden="1" x14ac:dyDescent="0.3">
      <c r="A1632">
        <v>31</v>
      </c>
      <c r="B1632">
        <v>255000</v>
      </c>
      <c r="C1632" t="s">
        <v>45</v>
      </c>
      <c r="D1632" t="s">
        <v>19</v>
      </c>
      <c r="E1632">
        <v>8833.3320000000003</v>
      </c>
    </row>
    <row r="1633" spans="1:5" hidden="1" x14ac:dyDescent="0.3">
      <c r="A1633">
        <v>31</v>
      </c>
      <c r="B1633">
        <v>255000</v>
      </c>
      <c r="C1633" t="s">
        <v>45</v>
      </c>
      <c r="D1633" t="s">
        <v>20</v>
      </c>
      <c r="E1633">
        <v>15166.667038</v>
      </c>
    </row>
    <row r="1634" spans="1:5" hidden="1" x14ac:dyDescent="0.3">
      <c r="A1634">
        <v>31</v>
      </c>
      <c r="B1634">
        <v>255000</v>
      </c>
      <c r="C1634" t="s">
        <v>45</v>
      </c>
      <c r="D1634" t="s">
        <v>21</v>
      </c>
      <c r="E1634">
        <v>5.237E-2</v>
      </c>
    </row>
    <row r="1635" spans="1:5" hidden="1" x14ac:dyDescent="0.3">
      <c r="A1635">
        <v>31</v>
      </c>
      <c r="B1635">
        <v>255000</v>
      </c>
      <c r="C1635" t="s">
        <v>45</v>
      </c>
      <c r="D1635" t="s">
        <v>22</v>
      </c>
      <c r="E1635">
        <v>504.13998199999997</v>
      </c>
    </row>
    <row r="1636" spans="1:5" hidden="1" x14ac:dyDescent="0.3">
      <c r="A1636">
        <v>31</v>
      </c>
      <c r="B1636">
        <v>255000</v>
      </c>
      <c r="C1636" t="s">
        <v>45</v>
      </c>
      <c r="D1636" t="s">
        <v>23</v>
      </c>
      <c r="E1636">
        <v>4444.4455580000003</v>
      </c>
    </row>
    <row r="1637" spans="1:5" hidden="1" x14ac:dyDescent="0.3">
      <c r="A1637">
        <v>31</v>
      </c>
      <c r="B1637">
        <v>255000</v>
      </c>
      <c r="C1637" t="s">
        <v>45</v>
      </c>
      <c r="D1637" t="s">
        <v>24</v>
      </c>
      <c r="E1637">
        <v>0.23091400000000001</v>
      </c>
    </row>
    <row r="1638" spans="1:5" hidden="1" x14ac:dyDescent="0.3">
      <c r="A1638">
        <v>31</v>
      </c>
      <c r="B1638">
        <v>255000</v>
      </c>
      <c r="C1638" t="s">
        <v>45</v>
      </c>
      <c r="D1638" t="s">
        <v>25</v>
      </c>
      <c r="E1638">
        <v>2.5441750000000001</v>
      </c>
    </row>
    <row r="1639" spans="1:5" hidden="1" x14ac:dyDescent="0.3">
      <c r="A1639">
        <v>31</v>
      </c>
      <c r="B1639">
        <v>255000</v>
      </c>
      <c r="C1639" t="s">
        <v>46</v>
      </c>
      <c r="D1639" t="s">
        <v>26</v>
      </c>
      <c r="E1639">
        <v>0.14686199999999999</v>
      </c>
    </row>
    <row r="1640" spans="1:5" x14ac:dyDescent="0.3">
      <c r="A1640">
        <v>31</v>
      </c>
      <c r="B1640">
        <v>255000</v>
      </c>
      <c r="C1640" t="s">
        <v>46</v>
      </c>
      <c r="D1640" t="s">
        <v>6</v>
      </c>
      <c r="E1640">
        <v>54.986029000000002</v>
      </c>
    </row>
    <row r="1641" spans="1:5" hidden="1" x14ac:dyDescent="0.3">
      <c r="A1641">
        <v>31</v>
      </c>
      <c r="B1641">
        <v>255000</v>
      </c>
      <c r="C1641" t="s">
        <v>46</v>
      </c>
      <c r="D1641" t="s">
        <v>7</v>
      </c>
      <c r="E1641">
        <v>36555.554634</v>
      </c>
    </row>
    <row r="1642" spans="1:5" hidden="1" x14ac:dyDescent="0.3">
      <c r="A1642">
        <v>31</v>
      </c>
      <c r="B1642">
        <v>255000</v>
      </c>
      <c r="C1642" t="s">
        <v>46</v>
      </c>
      <c r="D1642" t="s">
        <v>8</v>
      </c>
      <c r="E1642">
        <v>194.44385500000001</v>
      </c>
    </row>
    <row r="1643" spans="1:5" hidden="1" x14ac:dyDescent="0.3">
      <c r="A1643">
        <v>31</v>
      </c>
      <c r="B1643">
        <v>255000</v>
      </c>
      <c r="C1643" t="s">
        <v>46</v>
      </c>
      <c r="D1643" t="s">
        <v>9</v>
      </c>
      <c r="E1643">
        <v>34138.483084</v>
      </c>
    </row>
    <row r="1644" spans="1:5" hidden="1" x14ac:dyDescent="0.3">
      <c r="A1644">
        <v>31</v>
      </c>
      <c r="B1644">
        <v>255000</v>
      </c>
      <c r="C1644" t="s">
        <v>46</v>
      </c>
      <c r="D1644" t="s">
        <v>10</v>
      </c>
      <c r="E1644">
        <v>77249.033160999999</v>
      </c>
    </row>
    <row r="1645" spans="1:5" hidden="1" x14ac:dyDescent="0.3">
      <c r="A1645">
        <v>31</v>
      </c>
      <c r="B1645">
        <v>255000</v>
      </c>
      <c r="C1645" t="s">
        <v>46</v>
      </c>
      <c r="D1645" t="s">
        <v>11</v>
      </c>
      <c r="E1645">
        <v>28361.111025999999</v>
      </c>
    </row>
    <row r="1646" spans="1:5" hidden="1" x14ac:dyDescent="0.3">
      <c r="A1646">
        <v>31</v>
      </c>
      <c r="B1646">
        <v>255000</v>
      </c>
      <c r="C1646" t="s">
        <v>46</v>
      </c>
      <c r="D1646" t="s">
        <v>12</v>
      </c>
      <c r="E1646">
        <v>12555.555521</v>
      </c>
    </row>
    <row r="1647" spans="1:5" hidden="1" x14ac:dyDescent="0.3">
      <c r="A1647">
        <v>31</v>
      </c>
      <c r="B1647">
        <v>255000</v>
      </c>
      <c r="C1647" t="s">
        <v>46</v>
      </c>
      <c r="D1647" t="s">
        <v>13</v>
      </c>
      <c r="E1647">
        <v>14172.544497000001</v>
      </c>
    </row>
    <row r="1648" spans="1:5" hidden="1" x14ac:dyDescent="0.3">
      <c r="A1648">
        <v>31</v>
      </c>
      <c r="B1648">
        <v>255000</v>
      </c>
      <c r="C1648" t="s">
        <v>46</v>
      </c>
      <c r="D1648" t="s">
        <v>14</v>
      </c>
      <c r="E1648">
        <v>6388.8888660000002</v>
      </c>
    </row>
    <row r="1649" spans="1:5" hidden="1" x14ac:dyDescent="0.3">
      <c r="A1649">
        <v>31</v>
      </c>
      <c r="B1649">
        <v>255000</v>
      </c>
      <c r="C1649" t="s">
        <v>46</v>
      </c>
      <c r="D1649" t="s">
        <v>15</v>
      </c>
      <c r="E1649">
        <v>0.119182</v>
      </c>
    </row>
    <row r="1650" spans="1:5" hidden="1" x14ac:dyDescent="0.3">
      <c r="A1650">
        <v>31</v>
      </c>
      <c r="B1650">
        <v>255000</v>
      </c>
      <c r="C1650" t="s">
        <v>46</v>
      </c>
      <c r="D1650" t="s">
        <v>16</v>
      </c>
      <c r="E1650">
        <v>31515.356747000002</v>
      </c>
    </row>
    <row r="1651" spans="1:5" hidden="1" x14ac:dyDescent="0.3">
      <c r="A1651">
        <v>31</v>
      </c>
      <c r="B1651">
        <v>255000</v>
      </c>
      <c r="C1651" t="s">
        <v>46</v>
      </c>
      <c r="D1651" t="s">
        <v>17</v>
      </c>
      <c r="E1651">
        <v>0.39645000000000002</v>
      </c>
    </row>
    <row r="1652" spans="1:5" hidden="1" x14ac:dyDescent="0.3">
      <c r="A1652">
        <v>31</v>
      </c>
      <c r="B1652">
        <v>255000</v>
      </c>
      <c r="C1652" t="s">
        <v>46</v>
      </c>
      <c r="D1652" t="s">
        <v>18</v>
      </c>
      <c r="E1652">
        <v>44.416708</v>
      </c>
    </row>
    <row r="1653" spans="1:5" hidden="1" x14ac:dyDescent="0.3">
      <c r="A1653">
        <v>31</v>
      </c>
      <c r="B1653">
        <v>255000</v>
      </c>
      <c r="C1653" t="s">
        <v>46</v>
      </c>
      <c r="D1653" t="s">
        <v>19</v>
      </c>
      <c r="E1653">
        <v>4222.2222650000003</v>
      </c>
    </row>
    <row r="1654" spans="1:5" hidden="1" x14ac:dyDescent="0.3">
      <c r="A1654">
        <v>31</v>
      </c>
      <c r="B1654">
        <v>255000</v>
      </c>
      <c r="C1654" t="s">
        <v>46</v>
      </c>
      <c r="D1654" t="s">
        <v>20</v>
      </c>
      <c r="E1654">
        <v>6055.5556530000003</v>
      </c>
    </row>
    <row r="1655" spans="1:5" hidden="1" x14ac:dyDescent="0.3">
      <c r="A1655">
        <v>31</v>
      </c>
      <c r="B1655">
        <v>255000</v>
      </c>
      <c r="C1655" t="s">
        <v>46</v>
      </c>
      <c r="D1655" t="s">
        <v>21</v>
      </c>
      <c r="E1655">
        <v>4.8631000000000001E-2</v>
      </c>
    </row>
    <row r="1656" spans="1:5" hidden="1" x14ac:dyDescent="0.3">
      <c r="A1656">
        <v>31</v>
      </c>
      <c r="B1656">
        <v>255000</v>
      </c>
      <c r="C1656" t="s">
        <v>46</v>
      </c>
      <c r="D1656" t="s">
        <v>22</v>
      </c>
      <c r="E1656">
        <v>268.87779</v>
      </c>
    </row>
    <row r="1657" spans="1:5" hidden="1" x14ac:dyDescent="0.3">
      <c r="A1657">
        <v>31</v>
      </c>
      <c r="B1657">
        <v>255000</v>
      </c>
      <c r="C1657" t="s">
        <v>46</v>
      </c>
      <c r="D1657" t="s">
        <v>23</v>
      </c>
      <c r="E1657">
        <v>1722.2223770000001</v>
      </c>
    </row>
    <row r="1658" spans="1:5" hidden="1" x14ac:dyDescent="0.3">
      <c r="A1658">
        <v>31</v>
      </c>
      <c r="B1658">
        <v>255000</v>
      </c>
      <c r="C1658" t="s">
        <v>46</v>
      </c>
      <c r="D1658" t="s">
        <v>24</v>
      </c>
      <c r="E1658">
        <v>0.130658</v>
      </c>
    </row>
    <row r="1659" spans="1:5" hidden="1" x14ac:dyDescent="0.3">
      <c r="A1659">
        <v>31</v>
      </c>
      <c r="B1659">
        <v>255000</v>
      </c>
      <c r="C1659" t="s">
        <v>46</v>
      </c>
      <c r="D1659" t="s">
        <v>25</v>
      </c>
      <c r="E1659">
        <v>1499.999892</v>
      </c>
    </row>
    <row r="1660" spans="1:5" hidden="1" x14ac:dyDescent="0.3">
      <c r="A1660">
        <v>31</v>
      </c>
      <c r="B1660">
        <v>255000</v>
      </c>
      <c r="C1660" t="s">
        <v>46</v>
      </c>
      <c r="D1660" t="s">
        <v>26</v>
      </c>
      <c r="E1660">
        <v>5.9947E-2</v>
      </c>
    </row>
    <row r="1661" spans="1:5" hidden="1" x14ac:dyDescent="0.3">
      <c r="A1661">
        <v>32</v>
      </c>
      <c r="B1661">
        <v>260000</v>
      </c>
      <c r="C1661" t="s">
        <v>45</v>
      </c>
      <c r="D1661" t="s">
        <v>6</v>
      </c>
      <c r="E1661">
        <v>0.23705899999999999</v>
      </c>
    </row>
    <row r="1662" spans="1:5" hidden="1" x14ac:dyDescent="0.3">
      <c r="A1662">
        <v>32</v>
      </c>
      <c r="B1662">
        <v>260000</v>
      </c>
      <c r="C1662" t="s">
        <v>45</v>
      </c>
      <c r="D1662" t="s">
        <v>7</v>
      </c>
      <c r="E1662">
        <v>52999.371002</v>
      </c>
    </row>
    <row r="1663" spans="1:5" hidden="1" x14ac:dyDescent="0.3">
      <c r="A1663">
        <v>32</v>
      </c>
      <c r="B1663">
        <v>260000</v>
      </c>
      <c r="C1663" t="s">
        <v>45</v>
      </c>
      <c r="D1663" t="s">
        <v>8</v>
      </c>
      <c r="E1663">
        <v>0.48535400000000001</v>
      </c>
    </row>
    <row r="1664" spans="1:5" hidden="1" x14ac:dyDescent="0.3">
      <c r="A1664">
        <v>32</v>
      </c>
      <c r="B1664">
        <v>260000</v>
      </c>
      <c r="C1664" t="s">
        <v>45</v>
      </c>
      <c r="D1664" t="s">
        <v>9</v>
      </c>
      <c r="E1664">
        <v>11195.693729000001</v>
      </c>
    </row>
    <row r="1665" spans="1:5" hidden="1" x14ac:dyDescent="0.3">
      <c r="A1665">
        <v>32</v>
      </c>
      <c r="B1665">
        <v>260000</v>
      </c>
      <c r="C1665" t="s">
        <v>45</v>
      </c>
      <c r="D1665" t="s">
        <v>10</v>
      </c>
      <c r="E1665">
        <v>0.41903000000000001</v>
      </c>
    </row>
    <row r="1666" spans="1:5" hidden="1" x14ac:dyDescent="0.3">
      <c r="A1666">
        <v>32</v>
      </c>
      <c r="B1666">
        <v>260000</v>
      </c>
      <c r="C1666" t="s">
        <v>45</v>
      </c>
      <c r="D1666" t="s">
        <v>11</v>
      </c>
      <c r="E1666">
        <v>34138.876075</v>
      </c>
    </row>
    <row r="1667" spans="1:5" hidden="1" x14ac:dyDescent="0.3">
      <c r="A1667">
        <v>32</v>
      </c>
      <c r="B1667">
        <v>260000</v>
      </c>
      <c r="C1667" t="s">
        <v>45</v>
      </c>
      <c r="D1667" t="s">
        <v>12</v>
      </c>
      <c r="E1667">
        <v>44387.870218999997</v>
      </c>
    </row>
    <row r="1668" spans="1:5" hidden="1" x14ac:dyDescent="0.3">
      <c r="A1668">
        <v>32</v>
      </c>
      <c r="B1668">
        <v>260000</v>
      </c>
      <c r="C1668" t="s">
        <v>45</v>
      </c>
      <c r="D1668" t="s">
        <v>13</v>
      </c>
      <c r="E1668">
        <v>35431.334868999998</v>
      </c>
    </row>
    <row r="1669" spans="1:5" hidden="1" x14ac:dyDescent="0.3">
      <c r="A1669">
        <v>32</v>
      </c>
      <c r="B1669">
        <v>260000</v>
      </c>
      <c r="C1669" t="s">
        <v>45</v>
      </c>
      <c r="D1669" t="s">
        <v>14</v>
      </c>
      <c r="E1669">
        <v>12472.209795000001</v>
      </c>
    </row>
    <row r="1670" spans="1:5" hidden="1" x14ac:dyDescent="0.3">
      <c r="A1670">
        <v>32</v>
      </c>
      <c r="B1670">
        <v>260000</v>
      </c>
      <c r="C1670" t="s">
        <v>45</v>
      </c>
      <c r="D1670" t="s">
        <v>15</v>
      </c>
      <c r="E1670">
        <v>0.16730200000000001</v>
      </c>
    </row>
    <row r="1671" spans="1:5" hidden="1" x14ac:dyDescent="0.3">
      <c r="A1671">
        <v>32</v>
      </c>
      <c r="B1671">
        <v>260000</v>
      </c>
      <c r="C1671" t="s">
        <v>45</v>
      </c>
      <c r="D1671" t="s">
        <v>16</v>
      </c>
      <c r="E1671">
        <v>40332.986196999998</v>
      </c>
    </row>
    <row r="1672" spans="1:5" hidden="1" x14ac:dyDescent="0.3">
      <c r="A1672">
        <v>32</v>
      </c>
      <c r="B1672">
        <v>260000</v>
      </c>
      <c r="C1672" t="s">
        <v>45</v>
      </c>
      <c r="D1672" t="s">
        <v>17</v>
      </c>
      <c r="E1672">
        <v>0.20444799999999999</v>
      </c>
    </row>
    <row r="1673" spans="1:5" hidden="1" x14ac:dyDescent="0.3">
      <c r="A1673">
        <v>32</v>
      </c>
      <c r="B1673">
        <v>260000</v>
      </c>
      <c r="C1673" t="s">
        <v>45</v>
      </c>
      <c r="D1673" t="s">
        <v>18</v>
      </c>
      <c r="E1673">
        <v>88.830494000000002</v>
      </c>
    </row>
    <row r="1674" spans="1:5" hidden="1" x14ac:dyDescent="0.3">
      <c r="A1674">
        <v>32</v>
      </c>
      <c r="B1674">
        <v>260000</v>
      </c>
      <c r="C1674" t="s">
        <v>45</v>
      </c>
      <c r="D1674" t="s">
        <v>19</v>
      </c>
      <c r="E1674">
        <v>8833.3315939999993</v>
      </c>
    </row>
    <row r="1675" spans="1:5" hidden="1" x14ac:dyDescent="0.3">
      <c r="A1675">
        <v>32</v>
      </c>
      <c r="B1675">
        <v>260000</v>
      </c>
      <c r="C1675" t="s">
        <v>45</v>
      </c>
      <c r="D1675" t="s">
        <v>20</v>
      </c>
      <c r="E1675">
        <v>15166.666305000001</v>
      </c>
    </row>
    <row r="1676" spans="1:5" hidden="1" x14ac:dyDescent="0.3">
      <c r="A1676">
        <v>32</v>
      </c>
      <c r="B1676">
        <v>260000</v>
      </c>
      <c r="C1676" t="s">
        <v>45</v>
      </c>
      <c r="D1676" t="s">
        <v>21</v>
      </c>
      <c r="E1676">
        <v>6.8625000000000005E-2</v>
      </c>
    </row>
    <row r="1677" spans="1:5" hidden="1" x14ac:dyDescent="0.3">
      <c r="A1677">
        <v>32</v>
      </c>
      <c r="B1677">
        <v>260000</v>
      </c>
      <c r="C1677" t="s">
        <v>45</v>
      </c>
      <c r="D1677" t="s">
        <v>22</v>
      </c>
      <c r="E1677">
        <v>504.14093700000001</v>
      </c>
    </row>
    <row r="1678" spans="1:5" hidden="1" x14ac:dyDescent="0.3">
      <c r="A1678">
        <v>32</v>
      </c>
      <c r="B1678">
        <v>260000</v>
      </c>
      <c r="C1678" t="s">
        <v>45</v>
      </c>
      <c r="D1678" t="s">
        <v>23</v>
      </c>
      <c r="E1678">
        <v>4444.444829</v>
      </c>
    </row>
    <row r="1679" spans="1:5" hidden="1" x14ac:dyDescent="0.3">
      <c r="A1679">
        <v>32</v>
      </c>
      <c r="B1679">
        <v>260000</v>
      </c>
      <c r="C1679" t="s">
        <v>45</v>
      </c>
      <c r="D1679" t="s">
        <v>24</v>
      </c>
      <c r="E1679">
        <v>0.173958</v>
      </c>
    </row>
    <row r="1680" spans="1:5" hidden="1" x14ac:dyDescent="0.3">
      <c r="A1680">
        <v>32</v>
      </c>
      <c r="B1680">
        <v>260000</v>
      </c>
      <c r="C1680" t="s">
        <v>45</v>
      </c>
      <c r="D1680" t="s">
        <v>25</v>
      </c>
      <c r="E1680">
        <v>2.4051360000000002</v>
      </c>
    </row>
    <row r="1681" spans="1:5" hidden="1" x14ac:dyDescent="0.3">
      <c r="A1681">
        <v>32</v>
      </c>
      <c r="B1681">
        <v>260000</v>
      </c>
      <c r="C1681" t="s">
        <v>46</v>
      </c>
      <c r="D1681" t="s">
        <v>26</v>
      </c>
      <c r="E1681">
        <v>0.11303199999999999</v>
      </c>
    </row>
    <row r="1682" spans="1:5" x14ac:dyDescent="0.3">
      <c r="A1682">
        <v>32</v>
      </c>
      <c r="B1682">
        <v>260000</v>
      </c>
      <c r="C1682" t="s">
        <v>46</v>
      </c>
      <c r="D1682" t="s">
        <v>6</v>
      </c>
      <c r="E1682">
        <v>54.986750000000001</v>
      </c>
    </row>
    <row r="1683" spans="1:5" hidden="1" x14ac:dyDescent="0.3">
      <c r="A1683">
        <v>32</v>
      </c>
      <c r="B1683">
        <v>260000</v>
      </c>
      <c r="C1683" t="s">
        <v>46</v>
      </c>
      <c r="D1683" t="s">
        <v>7</v>
      </c>
      <c r="E1683">
        <v>36555.554894000001</v>
      </c>
    </row>
    <row r="1684" spans="1:5" hidden="1" x14ac:dyDescent="0.3">
      <c r="A1684">
        <v>32</v>
      </c>
      <c r="B1684">
        <v>260000</v>
      </c>
      <c r="C1684" t="s">
        <v>46</v>
      </c>
      <c r="D1684" t="s">
        <v>8</v>
      </c>
      <c r="E1684">
        <v>194.44487699999999</v>
      </c>
    </row>
    <row r="1685" spans="1:5" hidden="1" x14ac:dyDescent="0.3">
      <c r="A1685">
        <v>32</v>
      </c>
      <c r="B1685">
        <v>260000</v>
      </c>
      <c r="C1685" t="s">
        <v>46</v>
      </c>
      <c r="D1685" t="s">
        <v>9</v>
      </c>
      <c r="E1685">
        <v>34138.483608000002</v>
      </c>
    </row>
    <row r="1686" spans="1:5" hidden="1" x14ac:dyDescent="0.3">
      <c r="A1686">
        <v>32</v>
      </c>
      <c r="B1686">
        <v>260000</v>
      </c>
      <c r="C1686" t="s">
        <v>46</v>
      </c>
      <c r="D1686" t="s">
        <v>10</v>
      </c>
      <c r="E1686">
        <v>77249.999660999994</v>
      </c>
    </row>
    <row r="1687" spans="1:5" hidden="1" x14ac:dyDescent="0.3">
      <c r="A1687">
        <v>32</v>
      </c>
      <c r="B1687">
        <v>260000</v>
      </c>
      <c r="C1687" t="s">
        <v>46</v>
      </c>
      <c r="D1687" t="s">
        <v>11</v>
      </c>
      <c r="E1687">
        <v>28361.111567</v>
      </c>
    </row>
    <row r="1688" spans="1:5" hidden="1" x14ac:dyDescent="0.3">
      <c r="A1688">
        <v>32</v>
      </c>
      <c r="B1688">
        <v>260000</v>
      </c>
      <c r="C1688" t="s">
        <v>46</v>
      </c>
      <c r="D1688" t="s">
        <v>12</v>
      </c>
      <c r="E1688">
        <v>12555.556119999999</v>
      </c>
    </row>
    <row r="1689" spans="1:5" hidden="1" x14ac:dyDescent="0.3">
      <c r="A1689">
        <v>32</v>
      </c>
      <c r="B1689">
        <v>260000</v>
      </c>
      <c r="C1689" t="s">
        <v>46</v>
      </c>
      <c r="D1689" t="s">
        <v>13</v>
      </c>
      <c r="E1689">
        <v>14172.545072999999</v>
      </c>
    </row>
    <row r="1690" spans="1:5" hidden="1" x14ac:dyDescent="0.3">
      <c r="A1690">
        <v>32</v>
      </c>
      <c r="B1690">
        <v>260000</v>
      </c>
      <c r="C1690" t="s">
        <v>46</v>
      </c>
      <c r="D1690" t="s">
        <v>14</v>
      </c>
      <c r="E1690">
        <v>6388.8894810000002</v>
      </c>
    </row>
    <row r="1691" spans="1:5" hidden="1" x14ac:dyDescent="0.3">
      <c r="A1691">
        <v>32</v>
      </c>
      <c r="B1691">
        <v>260000</v>
      </c>
      <c r="C1691" t="s">
        <v>46</v>
      </c>
      <c r="D1691" t="s">
        <v>15</v>
      </c>
      <c r="E1691">
        <v>2.5565389999999999</v>
      </c>
    </row>
    <row r="1692" spans="1:5" hidden="1" x14ac:dyDescent="0.3">
      <c r="A1692">
        <v>32</v>
      </c>
      <c r="B1692">
        <v>260000</v>
      </c>
      <c r="C1692" t="s">
        <v>46</v>
      </c>
      <c r="D1692" t="s">
        <v>16</v>
      </c>
      <c r="E1692">
        <v>31515.350299000002</v>
      </c>
    </row>
    <row r="1693" spans="1:5" hidden="1" x14ac:dyDescent="0.3">
      <c r="A1693">
        <v>32</v>
      </c>
      <c r="B1693">
        <v>260000</v>
      </c>
      <c r="C1693" t="s">
        <v>46</v>
      </c>
      <c r="D1693" t="s">
        <v>17</v>
      </c>
      <c r="E1693">
        <v>55.555557999999998</v>
      </c>
    </row>
    <row r="1694" spans="1:5" hidden="1" x14ac:dyDescent="0.3">
      <c r="A1694">
        <v>32</v>
      </c>
      <c r="B1694">
        <v>260000</v>
      </c>
      <c r="C1694" t="s">
        <v>46</v>
      </c>
      <c r="D1694" t="s">
        <v>18</v>
      </c>
      <c r="E1694">
        <v>44.417368000000003</v>
      </c>
    </row>
    <row r="1695" spans="1:5" hidden="1" x14ac:dyDescent="0.3">
      <c r="A1695">
        <v>32</v>
      </c>
      <c r="B1695">
        <v>260000</v>
      </c>
      <c r="C1695" t="s">
        <v>46</v>
      </c>
      <c r="D1695" t="s">
        <v>19</v>
      </c>
      <c r="E1695">
        <v>4222.2228580000001</v>
      </c>
    </row>
    <row r="1696" spans="1:5" hidden="1" x14ac:dyDescent="0.3">
      <c r="A1696">
        <v>32</v>
      </c>
      <c r="B1696">
        <v>260000</v>
      </c>
      <c r="C1696" t="s">
        <v>46</v>
      </c>
      <c r="D1696" t="s">
        <v>20</v>
      </c>
      <c r="E1696">
        <v>6055.5562360000004</v>
      </c>
    </row>
    <row r="1697" spans="1:5" hidden="1" x14ac:dyDescent="0.3">
      <c r="A1697">
        <v>32</v>
      </c>
      <c r="B1697">
        <v>260000</v>
      </c>
      <c r="C1697" t="s">
        <v>46</v>
      </c>
      <c r="D1697" t="s">
        <v>21</v>
      </c>
      <c r="E1697">
        <v>0.13070799999999999</v>
      </c>
    </row>
    <row r="1698" spans="1:5" hidden="1" x14ac:dyDescent="0.3">
      <c r="A1698">
        <v>32</v>
      </c>
      <c r="B1698">
        <v>260000</v>
      </c>
      <c r="C1698" t="s">
        <v>46</v>
      </c>
      <c r="D1698" t="s">
        <v>22</v>
      </c>
      <c r="E1698">
        <v>268.878401</v>
      </c>
    </row>
    <row r="1699" spans="1:5" hidden="1" x14ac:dyDescent="0.3">
      <c r="A1699">
        <v>32</v>
      </c>
      <c r="B1699">
        <v>260000</v>
      </c>
      <c r="C1699" t="s">
        <v>46</v>
      </c>
      <c r="D1699" t="s">
        <v>23</v>
      </c>
      <c r="E1699">
        <v>1722.222957</v>
      </c>
    </row>
    <row r="1700" spans="1:5" hidden="1" x14ac:dyDescent="0.3">
      <c r="A1700">
        <v>32</v>
      </c>
      <c r="B1700">
        <v>260000</v>
      </c>
      <c r="C1700" t="s">
        <v>46</v>
      </c>
      <c r="D1700" t="s">
        <v>24</v>
      </c>
      <c r="E1700">
        <v>4941.324791</v>
      </c>
    </row>
    <row r="1701" spans="1:5" hidden="1" x14ac:dyDescent="0.3">
      <c r="A1701">
        <v>32</v>
      </c>
      <c r="B1701">
        <v>260000</v>
      </c>
      <c r="C1701" t="s">
        <v>46</v>
      </c>
      <c r="D1701" t="s">
        <v>25</v>
      </c>
      <c r="E1701">
        <v>1500.0005269999999</v>
      </c>
    </row>
    <row r="1702" spans="1:5" hidden="1" x14ac:dyDescent="0.3">
      <c r="A1702">
        <v>32</v>
      </c>
      <c r="B1702">
        <v>260000</v>
      </c>
      <c r="C1702" t="s">
        <v>46</v>
      </c>
      <c r="D1702" t="s">
        <v>26</v>
      </c>
      <c r="E1702">
        <v>0.23257700000000001</v>
      </c>
    </row>
    <row r="1703" spans="1:5" hidden="1" x14ac:dyDescent="0.3">
      <c r="A1703">
        <v>33</v>
      </c>
      <c r="B1703">
        <v>265000</v>
      </c>
      <c r="C1703" t="s">
        <v>45</v>
      </c>
      <c r="D1703" t="s">
        <v>6</v>
      </c>
      <c r="E1703">
        <v>2.7347E-2</v>
      </c>
    </row>
    <row r="1704" spans="1:5" hidden="1" x14ac:dyDescent="0.3">
      <c r="A1704">
        <v>33</v>
      </c>
      <c r="B1704">
        <v>265000</v>
      </c>
      <c r="C1704" t="s">
        <v>45</v>
      </c>
      <c r="D1704" t="s">
        <v>7</v>
      </c>
      <c r="E1704">
        <v>52999.995576000001</v>
      </c>
    </row>
    <row r="1705" spans="1:5" hidden="1" x14ac:dyDescent="0.3">
      <c r="A1705">
        <v>33</v>
      </c>
      <c r="B1705">
        <v>265000</v>
      </c>
      <c r="C1705" t="s">
        <v>45</v>
      </c>
      <c r="D1705" t="s">
        <v>8</v>
      </c>
      <c r="E1705">
        <v>5.7029999999999997E-2</v>
      </c>
    </row>
    <row r="1706" spans="1:5" hidden="1" x14ac:dyDescent="0.3">
      <c r="A1706">
        <v>33</v>
      </c>
      <c r="B1706">
        <v>265000</v>
      </c>
      <c r="C1706" t="s">
        <v>45</v>
      </c>
      <c r="D1706" t="s">
        <v>9</v>
      </c>
      <c r="E1706">
        <v>16197.879499999999</v>
      </c>
    </row>
    <row r="1707" spans="1:5" hidden="1" x14ac:dyDescent="0.3">
      <c r="A1707">
        <v>33</v>
      </c>
      <c r="B1707">
        <v>265000</v>
      </c>
      <c r="C1707" t="s">
        <v>45</v>
      </c>
      <c r="D1707" t="s">
        <v>10</v>
      </c>
      <c r="E1707">
        <v>4.4588999999999997E-2</v>
      </c>
    </row>
    <row r="1708" spans="1:5" hidden="1" x14ac:dyDescent="0.3">
      <c r="A1708">
        <v>33</v>
      </c>
      <c r="B1708">
        <v>265000</v>
      </c>
      <c r="C1708" t="s">
        <v>45</v>
      </c>
      <c r="D1708" t="s">
        <v>11</v>
      </c>
      <c r="E1708">
        <v>34138.888727999998</v>
      </c>
    </row>
    <row r="1709" spans="1:5" hidden="1" x14ac:dyDescent="0.3">
      <c r="A1709">
        <v>33</v>
      </c>
      <c r="B1709">
        <v>265000</v>
      </c>
      <c r="C1709" t="s">
        <v>45</v>
      </c>
      <c r="D1709" t="s">
        <v>12</v>
      </c>
      <c r="E1709">
        <v>44388.867750999998</v>
      </c>
    </row>
    <row r="1710" spans="1:5" hidden="1" x14ac:dyDescent="0.3">
      <c r="A1710">
        <v>33</v>
      </c>
      <c r="B1710">
        <v>265000</v>
      </c>
      <c r="C1710" t="s">
        <v>45</v>
      </c>
      <c r="D1710" t="s">
        <v>13</v>
      </c>
      <c r="E1710">
        <v>35431.343329000003</v>
      </c>
    </row>
    <row r="1711" spans="1:5" hidden="1" x14ac:dyDescent="0.3">
      <c r="A1711">
        <v>33</v>
      </c>
      <c r="B1711">
        <v>265000</v>
      </c>
      <c r="C1711" t="s">
        <v>45</v>
      </c>
      <c r="D1711" t="s">
        <v>14</v>
      </c>
      <c r="E1711">
        <v>12472.221797</v>
      </c>
    </row>
    <row r="1712" spans="1:5" hidden="1" x14ac:dyDescent="0.3">
      <c r="A1712">
        <v>33</v>
      </c>
      <c r="B1712">
        <v>265000</v>
      </c>
      <c r="C1712" t="s">
        <v>45</v>
      </c>
      <c r="D1712" t="s">
        <v>15</v>
      </c>
      <c r="E1712">
        <v>1.8808999999999999E-2</v>
      </c>
    </row>
    <row r="1713" spans="1:5" hidden="1" x14ac:dyDescent="0.3">
      <c r="A1713">
        <v>33</v>
      </c>
      <c r="B1713">
        <v>265000</v>
      </c>
      <c r="C1713" t="s">
        <v>45</v>
      </c>
      <c r="D1713" t="s">
        <v>16</v>
      </c>
      <c r="E1713">
        <v>40332.979556999999</v>
      </c>
    </row>
    <row r="1714" spans="1:5" hidden="1" x14ac:dyDescent="0.3">
      <c r="A1714">
        <v>33</v>
      </c>
      <c r="B1714">
        <v>265000</v>
      </c>
      <c r="C1714" t="s">
        <v>45</v>
      </c>
      <c r="D1714" t="s">
        <v>17</v>
      </c>
      <c r="E1714">
        <v>2.8458000000000001E-2</v>
      </c>
    </row>
    <row r="1715" spans="1:5" hidden="1" x14ac:dyDescent="0.3">
      <c r="A1715">
        <v>33</v>
      </c>
      <c r="B1715">
        <v>265000</v>
      </c>
      <c r="C1715" t="s">
        <v>45</v>
      </c>
      <c r="D1715" t="s">
        <v>18</v>
      </c>
      <c r="E1715">
        <v>88.832955999999996</v>
      </c>
    </row>
    <row r="1716" spans="1:5" hidden="1" x14ac:dyDescent="0.3">
      <c r="A1716">
        <v>33</v>
      </c>
      <c r="B1716">
        <v>265000</v>
      </c>
      <c r="C1716" t="s">
        <v>45</v>
      </c>
      <c r="D1716" t="s">
        <v>19</v>
      </c>
      <c r="E1716">
        <v>8833.3331390000003</v>
      </c>
    </row>
    <row r="1717" spans="1:5" hidden="1" x14ac:dyDescent="0.3">
      <c r="A1717">
        <v>33</v>
      </c>
      <c r="B1717">
        <v>265000</v>
      </c>
      <c r="C1717" t="s">
        <v>45</v>
      </c>
      <c r="D1717" t="s">
        <v>20</v>
      </c>
      <c r="E1717">
        <v>15166.666637</v>
      </c>
    </row>
    <row r="1718" spans="1:5" hidden="1" x14ac:dyDescent="0.3">
      <c r="A1718">
        <v>33</v>
      </c>
      <c r="B1718">
        <v>265000</v>
      </c>
      <c r="C1718" t="s">
        <v>45</v>
      </c>
      <c r="D1718" t="s">
        <v>21</v>
      </c>
      <c r="E1718">
        <v>8.6020000000000003E-3</v>
      </c>
    </row>
    <row r="1719" spans="1:5" hidden="1" x14ac:dyDescent="0.3">
      <c r="A1719">
        <v>33</v>
      </c>
      <c r="B1719">
        <v>265000</v>
      </c>
      <c r="C1719" t="s">
        <v>45</v>
      </c>
      <c r="D1719" t="s">
        <v>22</v>
      </c>
      <c r="E1719">
        <v>504.14687300000003</v>
      </c>
    </row>
    <row r="1720" spans="1:5" hidden="1" x14ac:dyDescent="0.3">
      <c r="A1720">
        <v>33</v>
      </c>
      <c r="B1720">
        <v>265000</v>
      </c>
      <c r="C1720" t="s">
        <v>45</v>
      </c>
      <c r="D1720" t="s">
        <v>23</v>
      </c>
      <c r="E1720">
        <v>4444.4444800000001</v>
      </c>
    </row>
    <row r="1721" spans="1:5" hidden="1" x14ac:dyDescent="0.3">
      <c r="A1721">
        <v>33</v>
      </c>
      <c r="B1721">
        <v>265000</v>
      </c>
      <c r="C1721" t="s">
        <v>45</v>
      </c>
      <c r="D1721" t="s">
        <v>24</v>
      </c>
      <c r="E1721">
        <v>1.9585999999999999E-2</v>
      </c>
    </row>
    <row r="1722" spans="1:5" hidden="1" x14ac:dyDescent="0.3">
      <c r="A1722">
        <v>33</v>
      </c>
      <c r="B1722">
        <v>265000</v>
      </c>
      <c r="C1722" t="s">
        <v>45</v>
      </c>
      <c r="D1722" t="s">
        <v>25</v>
      </c>
      <c r="E1722">
        <v>0.185725</v>
      </c>
    </row>
    <row r="1723" spans="1:5" hidden="1" x14ac:dyDescent="0.3">
      <c r="A1723">
        <v>33</v>
      </c>
      <c r="B1723">
        <v>265000</v>
      </c>
      <c r="C1723" t="s">
        <v>46</v>
      </c>
      <c r="D1723" t="s">
        <v>26</v>
      </c>
      <c r="E1723">
        <v>1.2272999999999999E-2</v>
      </c>
    </row>
    <row r="1724" spans="1:5" x14ac:dyDescent="0.3">
      <c r="A1724">
        <v>33</v>
      </c>
      <c r="B1724">
        <v>265000</v>
      </c>
      <c r="C1724" t="s">
        <v>46</v>
      </c>
      <c r="D1724" t="s">
        <v>6</v>
      </c>
      <c r="E1724">
        <v>54.989240000000002</v>
      </c>
    </row>
    <row r="1725" spans="1:5" hidden="1" x14ac:dyDescent="0.3">
      <c r="A1725">
        <v>33</v>
      </c>
      <c r="B1725">
        <v>265000</v>
      </c>
      <c r="C1725" t="s">
        <v>46</v>
      </c>
      <c r="D1725" t="s">
        <v>7</v>
      </c>
      <c r="E1725">
        <v>36555.558561999998</v>
      </c>
    </row>
    <row r="1726" spans="1:5" hidden="1" x14ac:dyDescent="0.3">
      <c r="A1726">
        <v>33</v>
      </c>
      <c r="B1726">
        <v>265000</v>
      </c>
      <c r="C1726" t="s">
        <v>46</v>
      </c>
      <c r="D1726" t="s">
        <v>8</v>
      </c>
      <c r="E1726">
        <v>194.447114</v>
      </c>
    </row>
    <row r="1727" spans="1:5" hidden="1" x14ac:dyDescent="0.3">
      <c r="A1727">
        <v>33</v>
      </c>
      <c r="B1727">
        <v>265000</v>
      </c>
      <c r="C1727" t="s">
        <v>46</v>
      </c>
      <c r="D1727" t="s">
        <v>9</v>
      </c>
      <c r="E1727">
        <v>34138.486283999999</v>
      </c>
    </row>
    <row r="1728" spans="1:5" hidden="1" x14ac:dyDescent="0.3">
      <c r="A1728">
        <v>33</v>
      </c>
      <c r="B1728">
        <v>265000</v>
      </c>
      <c r="C1728" t="s">
        <v>46</v>
      </c>
      <c r="D1728" t="s">
        <v>10</v>
      </c>
      <c r="E1728">
        <v>77249.907768000005</v>
      </c>
    </row>
    <row r="1729" spans="1:5" hidden="1" x14ac:dyDescent="0.3">
      <c r="A1729">
        <v>33</v>
      </c>
      <c r="B1729">
        <v>265000</v>
      </c>
      <c r="C1729" t="s">
        <v>46</v>
      </c>
      <c r="D1729" t="s">
        <v>11</v>
      </c>
      <c r="E1729">
        <v>28361.114223</v>
      </c>
    </row>
    <row r="1730" spans="1:5" hidden="1" x14ac:dyDescent="0.3">
      <c r="A1730">
        <v>33</v>
      </c>
      <c r="B1730">
        <v>265000</v>
      </c>
      <c r="C1730" t="s">
        <v>46</v>
      </c>
      <c r="D1730" t="s">
        <v>12</v>
      </c>
      <c r="E1730">
        <v>12555.558623999999</v>
      </c>
    </row>
    <row r="1731" spans="1:5" hidden="1" x14ac:dyDescent="0.3">
      <c r="A1731">
        <v>33</v>
      </c>
      <c r="B1731">
        <v>265000</v>
      </c>
      <c r="C1731" t="s">
        <v>46</v>
      </c>
      <c r="D1731" t="s">
        <v>13</v>
      </c>
      <c r="E1731">
        <v>14172.547683000001</v>
      </c>
    </row>
    <row r="1732" spans="1:5" hidden="1" x14ac:dyDescent="0.3">
      <c r="A1732">
        <v>33</v>
      </c>
      <c r="B1732">
        <v>265000</v>
      </c>
      <c r="C1732" t="s">
        <v>46</v>
      </c>
      <c r="D1732" t="s">
        <v>14</v>
      </c>
      <c r="E1732">
        <v>6388.8919910000004</v>
      </c>
    </row>
    <row r="1733" spans="1:5" hidden="1" x14ac:dyDescent="0.3">
      <c r="A1733">
        <v>33</v>
      </c>
      <c r="B1733">
        <v>265000</v>
      </c>
      <c r="C1733" t="s">
        <v>46</v>
      </c>
      <c r="D1733" t="s">
        <v>15</v>
      </c>
      <c r="E1733">
        <v>7.4589129999999999</v>
      </c>
    </row>
    <row r="1734" spans="1:5" hidden="1" x14ac:dyDescent="0.3">
      <c r="A1734">
        <v>33</v>
      </c>
      <c r="B1734">
        <v>265000</v>
      </c>
      <c r="C1734" t="s">
        <v>46</v>
      </c>
      <c r="D1734" t="s">
        <v>16</v>
      </c>
      <c r="E1734">
        <v>31515.363465999999</v>
      </c>
    </row>
    <row r="1735" spans="1:5" hidden="1" x14ac:dyDescent="0.3">
      <c r="A1735">
        <v>33</v>
      </c>
      <c r="B1735">
        <v>265000</v>
      </c>
      <c r="C1735" t="s">
        <v>46</v>
      </c>
      <c r="D1735" t="s">
        <v>17</v>
      </c>
      <c r="E1735">
        <v>55.556367999999999</v>
      </c>
    </row>
    <row r="1736" spans="1:5" hidden="1" x14ac:dyDescent="0.3">
      <c r="A1736">
        <v>33</v>
      </c>
      <c r="B1736">
        <v>265000</v>
      </c>
      <c r="C1736" t="s">
        <v>46</v>
      </c>
      <c r="D1736" t="s">
        <v>18</v>
      </c>
      <c r="E1736">
        <v>44.419966000000002</v>
      </c>
    </row>
    <row r="1737" spans="1:5" hidden="1" x14ac:dyDescent="0.3">
      <c r="A1737">
        <v>33</v>
      </c>
      <c r="B1737">
        <v>265000</v>
      </c>
      <c r="C1737" t="s">
        <v>46</v>
      </c>
      <c r="D1737" t="s">
        <v>19</v>
      </c>
      <c r="E1737">
        <v>4222.2254480000001</v>
      </c>
    </row>
    <row r="1738" spans="1:5" hidden="1" x14ac:dyDescent="0.3">
      <c r="A1738">
        <v>33</v>
      </c>
      <c r="B1738">
        <v>265000</v>
      </c>
      <c r="C1738" t="s">
        <v>46</v>
      </c>
      <c r="D1738" t="s">
        <v>20</v>
      </c>
      <c r="E1738">
        <v>6055.5588770000004</v>
      </c>
    </row>
    <row r="1739" spans="1:5" hidden="1" x14ac:dyDescent="0.3">
      <c r="A1739">
        <v>33</v>
      </c>
      <c r="B1739">
        <v>265000</v>
      </c>
      <c r="C1739" t="s">
        <v>46</v>
      </c>
      <c r="D1739" t="s">
        <v>21</v>
      </c>
      <c r="E1739">
        <v>0.350051</v>
      </c>
    </row>
    <row r="1740" spans="1:5" hidden="1" x14ac:dyDescent="0.3">
      <c r="A1740">
        <v>33</v>
      </c>
      <c r="B1740">
        <v>265000</v>
      </c>
      <c r="C1740" t="s">
        <v>46</v>
      </c>
      <c r="D1740" t="s">
        <v>22</v>
      </c>
      <c r="E1740">
        <v>268.88097499999998</v>
      </c>
    </row>
    <row r="1741" spans="1:5" hidden="1" x14ac:dyDescent="0.3">
      <c r="A1741">
        <v>33</v>
      </c>
      <c r="B1741">
        <v>265000</v>
      </c>
      <c r="C1741" t="s">
        <v>46</v>
      </c>
      <c r="D1741" t="s">
        <v>23</v>
      </c>
      <c r="E1741">
        <v>1722.2257099999999</v>
      </c>
    </row>
    <row r="1742" spans="1:5" hidden="1" x14ac:dyDescent="0.3">
      <c r="A1742">
        <v>33</v>
      </c>
      <c r="B1742">
        <v>265000</v>
      </c>
      <c r="C1742" t="s">
        <v>46</v>
      </c>
      <c r="D1742" t="s">
        <v>24</v>
      </c>
      <c r="E1742">
        <v>9935.9238280000009</v>
      </c>
    </row>
    <row r="1743" spans="1:5" hidden="1" x14ac:dyDescent="0.3">
      <c r="A1743">
        <v>33</v>
      </c>
      <c r="B1743">
        <v>265000</v>
      </c>
      <c r="C1743" t="s">
        <v>46</v>
      </c>
      <c r="D1743" t="s">
        <v>25</v>
      </c>
      <c r="E1743">
        <v>1500.003007</v>
      </c>
    </row>
    <row r="1744" spans="1:5" hidden="1" x14ac:dyDescent="0.3">
      <c r="A1744">
        <v>33</v>
      </c>
      <c r="B1744">
        <v>265000</v>
      </c>
      <c r="C1744" t="s">
        <v>46</v>
      </c>
      <c r="D1744" t="s">
        <v>26</v>
      </c>
      <c r="E1744">
        <v>0.61813399999999996</v>
      </c>
    </row>
    <row r="1745" spans="1:5" hidden="1" x14ac:dyDescent="0.3">
      <c r="A1745">
        <v>34</v>
      </c>
      <c r="B1745">
        <v>270000</v>
      </c>
      <c r="C1745" t="s">
        <v>45</v>
      </c>
      <c r="D1745" t="s">
        <v>6</v>
      </c>
      <c r="E1745">
        <v>0.73558900000000005</v>
      </c>
    </row>
    <row r="1746" spans="1:5" hidden="1" x14ac:dyDescent="0.3">
      <c r="A1746">
        <v>34</v>
      </c>
      <c r="B1746">
        <v>270000</v>
      </c>
      <c r="C1746" t="s">
        <v>45</v>
      </c>
      <c r="D1746" t="s">
        <v>7</v>
      </c>
      <c r="E1746">
        <v>52999.969881999998</v>
      </c>
    </row>
    <row r="1747" spans="1:5" hidden="1" x14ac:dyDescent="0.3">
      <c r="A1747">
        <v>34</v>
      </c>
      <c r="B1747">
        <v>270000</v>
      </c>
      <c r="C1747" t="s">
        <v>45</v>
      </c>
      <c r="D1747" t="s">
        <v>8</v>
      </c>
      <c r="E1747">
        <v>0.88483900000000004</v>
      </c>
    </row>
    <row r="1748" spans="1:5" hidden="1" x14ac:dyDescent="0.3">
      <c r="A1748">
        <v>34</v>
      </c>
      <c r="B1748">
        <v>270000</v>
      </c>
      <c r="C1748" t="s">
        <v>45</v>
      </c>
      <c r="D1748" t="s">
        <v>9</v>
      </c>
      <c r="E1748">
        <v>21193.297724</v>
      </c>
    </row>
    <row r="1749" spans="1:5" hidden="1" x14ac:dyDescent="0.3">
      <c r="A1749">
        <v>34</v>
      </c>
      <c r="B1749">
        <v>270000</v>
      </c>
      <c r="C1749" t="s">
        <v>45</v>
      </c>
      <c r="D1749" t="s">
        <v>10</v>
      </c>
      <c r="E1749">
        <v>0.44604199999999999</v>
      </c>
    </row>
    <row r="1750" spans="1:5" hidden="1" x14ac:dyDescent="0.3">
      <c r="A1750">
        <v>34</v>
      </c>
      <c r="B1750">
        <v>270000</v>
      </c>
      <c r="C1750" t="s">
        <v>45</v>
      </c>
      <c r="D1750" t="s">
        <v>11</v>
      </c>
      <c r="E1750">
        <v>34138.887799999997</v>
      </c>
    </row>
    <row r="1751" spans="1:5" hidden="1" x14ac:dyDescent="0.3">
      <c r="A1751">
        <v>34</v>
      </c>
      <c r="B1751">
        <v>270000</v>
      </c>
      <c r="C1751" t="s">
        <v>45</v>
      </c>
      <c r="D1751" t="s">
        <v>12</v>
      </c>
      <c r="E1751">
        <v>44388.892139000003</v>
      </c>
    </row>
    <row r="1752" spans="1:5" hidden="1" x14ac:dyDescent="0.3">
      <c r="A1752">
        <v>34</v>
      </c>
      <c r="B1752">
        <v>270000</v>
      </c>
      <c r="C1752" t="s">
        <v>45</v>
      </c>
      <c r="D1752" t="s">
        <v>13</v>
      </c>
      <c r="E1752">
        <v>35431.343317999999</v>
      </c>
    </row>
    <row r="1753" spans="1:5" hidden="1" x14ac:dyDescent="0.3">
      <c r="A1753">
        <v>34</v>
      </c>
      <c r="B1753">
        <v>270000</v>
      </c>
      <c r="C1753" t="s">
        <v>45</v>
      </c>
      <c r="D1753" t="s">
        <v>14</v>
      </c>
      <c r="E1753">
        <v>12472.222054</v>
      </c>
    </row>
    <row r="1754" spans="1:5" hidden="1" x14ac:dyDescent="0.3">
      <c r="A1754">
        <v>34</v>
      </c>
      <c r="B1754">
        <v>270000</v>
      </c>
      <c r="C1754" t="s">
        <v>45</v>
      </c>
      <c r="D1754" t="s">
        <v>15</v>
      </c>
      <c r="E1754">
        <v>0.21352499999999999</v>
      </c>
    </row>
    <row r="1755" spans="1:5" hidden="1" x14ac:dyDescent="0.3">
      <c r="A1755">
        <v>34</v>
      </c>
      <c r="B1755">
        <v>270000</v>
      </c>
      <c r="C1755" t="s">
        <v>45</v>
      </c>
      <c r="D1755" t="s">
        <v>16</v>
      </c>
      <c r="E1755">
        <v>40332.822592999997</v>
      </c>
    </row>
    <row r="1756" spans="1:5" hidden="1" x14ac:dyDescent="0.3">
      <c r="A1756">
        <v>34</v>
      </c>
      <c r="B1756">
        <v>270000</v>
      </c>
      <c r="C1756" t="s">
        <v>45</v>
      </c>
      <c r="D1756" t="s">
        <v>17</v>
      </c>
      <c r="E1756">
        <v>0.36694500000000002</v>
      </c>
    </row>
    <row r="1757" spans="1:5" hidden="1" x14ac:dyDescent="0.3">
      <c r="A1757">
        <v>34</v>
      </c>
      <c r="B1757">
        <v>270000</v>
      </c>
      <c r="C1757" t="s">
        <v>45</v>
      </c>
      <c r="D1757" t="s">
        <v>18</v>
      </c>
      <c r="E1757">
        <v>88.831179000000006</v>
      </c>
    </row>
    <row r="1758" spans="1:5" hidden="1" x14ac:dyDescent="0.3">
      <c r="A1758">
        <v>34</v>
      </c>
      <c r="B1758">
        <v>270000</v>
      </c>
      <c r="C1758" t="s">
        <v>45</v>
      </c>
      <c r="D1758" t="s">
        <v>19</v>
      </c>
      <c r="E1758">
        <v>8833.3350040000005</v>
      </c>
    </row>
    <row r="1759" spans="1:5" hidden="1" x14ac:dyDescent="0.3">
      <c r="A1759">
        <v>34</v>
      </c>
      <c r="B1759">
        <v>270000</v>
      </c>
      <c r="C1759" t="s">
        <v>45</v>
      </c>
      <c r="D1759" t="s">
        <v>20</v>
      </c>
      <c r="E1759">
        <v>15166.669275</v>
      </c>
    </row>
    <row r="1760" spans="1:5" hidden="1" x14ac:dyDescent="0.3">
      <c r="A1760">
        <v>34</v>
      </c>
      <c r="B1760">
        <v>270000</v>
      </c>
      <c r="C1760" t="s">
        <v>45</v>
      </c>
      <c r="D1760" t="s">
        <v>21</v>
      </c>
      <c r="E1760">
        <v>9.5204999999999998E-2</v>
      </c>
    </row>
    <row r="1761" spans="1:5" hidden="1" x14ac:dyDescent="0.3">
      <c r="A1761">
        <v>34</v>
      </c>
      <c r="B1761">
        <v>270000</v>
      </c>
      <c r="C1761" t="s">
        <v>45</v>
      </c>
      <c r="D1761" t="s">
        <v>22</v>
      </c>
      <c r="E1761">
        <v>504.14500900000002</v>
      </c>
    </row>
    <row r="1762" spans="1:5" hidden="1" x14ac:dyDescent="0.3">
      <c r="A1762">
        <v>34</v>
      </c>
      <c r="B1762">
        <v>270000</v>
      </c>
      <c r="C1762" t="s">
        <v>45</v>
      </c>
      <c r="D1762" t="s">
        <v>23</v>
      </c>
      <c r="E1762">
        <v>4444.4476500000001</v>
      </c>
    </row>
    <row r="1763" spans="1:5" hidden="1" x14ac:dyDescent="0.3">
      <c r="A1763">
        <v>34</v>
      </c>
      <c r="B1763">
        <v>270000</v>
      </c>
      <c r="C1763" t="s">
        <v>45</v>
      </c>
      <c r="D1763" t="s">
        <v>24</v>
      </c>
      <c r="E1763">
        <v>0.22391900000000001</v>
      </c>
    </row>
    <row r="1764" spans="1:5" hidden="1" x14ac:dyDescent="0.3">
      <c r="A1764">
        <v>34</v>
      </c>
      <c r="B1764">
        <v>270000</v>
      </c>
      <c r="C1764" t="s">
        <v>45</v>
      </c>
      <c r="D1764" t="s">
        <v>25</v>
      </c>
      <c r="E1764">
        <v>2.1285660000000002</v>
      </c>
    </row>
    <row r="1765" spans="1:5" hidden="1" x14ac:dyDescent="0.3">
      <c r="A1765">
        <v>34</v>
      </c>
      <c r="B1765">
        <v>270000</v>
      </c>
      <c r="C1765" t="s">
        <v>46</v>
      </c>
      <c r="D1765" t="s">
        <v>26</v>
      </c>
      <c r="E1765">
        <v>0.12850200000000001</v>
      </c>
    </row>
    <row r="1766" spans="1:5" x14ac:dyDescent="0.3">
      <c r="A1766">
        <v>34</v>
      </c>
      <c r="B1766">
        <v>270000</v>
      </c>
      <c r="C1766" t="s">
        <v>46</v>
      </c>
      <c r="D1766" t="s">
        <v>6</v>
      </c>
      <c r="E1766">
        <v>54.986860999999998</v>
      </c>
    </row>
    <row r="1767" spans="1:5" hidden="1" x14ac:dyDescent="0.3">
      <c r="A1767">
        <v>34</v>
      </c>
      <c r="B1767">
        <v>270000</v>
      </c>
      <c r="C1767" t="s">
        <v>46</v>
      </c>
      <c r="D1767" t="s">
        <v>7</v>
      </c>
      <c r="E1767">
        <v>36555.556303999998</v>
      </c>
    </row>
    <row r="1768" spans="1:5" hidden="1" x14ac:dyDescent="0.3">
      <c r="A1768">
        <v>34</v>
      </c>
      <c r="B1768">
        <v>270000</v>
      </c>
      <c r="C1768" t="s">
        <v>46</v>
      </c>
      <c r="D1768" t="s">
        <v>8</v>
      </c>
      <c r="E1768">
        <v>194.44502</v>
      </c>
    </row>
    <row r="1769" spans="1:5" hidden="1" x14ac:dyDescent="0.3">
      <c r="A1769">
        <v>34</v>
      </c>
      <c r="B1769">
        <v>270000</v>
      </c>
      <c r="C1769" t="s">
        <v>46</v>
      </c>
      <c r="D1769" t="s">
        <v>9</v>
      </c>
      <c r="E1769">
        <v>34138.483953000003</v>
      </c>
    </row>
    <row r="1770" spans="1:5" hidden="1" x14ac:dyDescent="0.3">
      <c r="A1770">
        <v>34</v>
      </c>
      <c r="B1770">
        <v>270000</v>
      </c>
      <c r="C1770" t="s">
        <v>46</v>
      </c>
      <c r="D1770" t="s">
        <v>10</v>
      </c>
      <c r="E1770">
        <v>77249.963864999998</v>
      </c>
    </row>
    <row r="1771" spans="1:5" hidden="1" x14ac:dyDescent="0.3">
      <c r="A1771">
        <v>34</v>
      </c>
      <c r="B1771">
        <v>270000</v>
      </c>
      <c r="C1771" t="s">
        <v>46</v>
      </c>
      <c r="D1771" t="s">
        <v>11</v>
      </c>
      <c r="E1771">
        <v>28361.111810999999</v>
      </c>
    </row>
    <row r="1772" spans="1:5" hidden="1" x14ac:dyDescent="0.3">
      <c r="A1772">
        <v>34</v>
      </c>
      <c r="B1772">
        <v>270000</v>
      </c>
      <c r="C1772" t="s">
        <v>46</v>
      </c>
      <c r="D1772" t="s">
        <v>12</v>
      </c>
      <c r="E1772">
        <v>12555.556264999999</v>
      </c>
    </row>
    <row r="1773" spans="1:5" hidden="1" x14ac:dyDescent="0.3">
      <c r="A1773">
        <v>34</v>
      </c>
      <c r="B1773">
        <v>270000</v>
      </c>
      <c r="C1773" t="s">
        <v>46</v>
      </c>
      <c r="D1773" t="s">
        <v>13</v>
      </c>
      <c r="E1773">
        <v>14172.545211000001</v>
      </c>
    </row>
    <row r="1774" spans="1:5" hidden="1" x14ac:dyDescent="0.3">
      <c r="A1774">
        <v>34</v>
      </c>
      <c r="B1774">
        <v>270000</v>
      </c>
      <c r="C1774" t="s">
        <v>46</v>
      </c>
      <c r="D1774" t="s">
        <v>14</v>
      </c>
      <c r="E1774">
        <v>6388.8896379999996</v>
      </c>
    </row>
    <row r="1775" spans="1:5" hidden="1" x14ac:dyDescent="0.3">
      <c r="A1775">
        <v>34</v>
      </c>
      <c r="B1775">
        <v>270000</v>
      </c>
      <c r="C1775" t="s">
        <v>46</v>
      </c>
      <c r="D1775" t="s">
        <v>15</v>
      </c>
      <c r="E1775">
        <v>1.816948</v>
      </c>
    </row>
    <row r="1776" spans="1:5" hidden="1" x14ac:dyDescent="0.3">
      <c r="A1776">
        <v>34</v>
      </c>
      <c r="B1776">
        <v>270000</v>
      </c>
      <c r="C1776" t="s">
        <v>46</v>
      </c>
      <c r="D1776" t="s">
        <v>16</v>
      </c>
      <c r="E1776">
        <v>31515.348643000001</v>
      </c>
    </row>
    <row r="1777" spans="1:5" hidden="1" x14ac:dyDescent="0.3">
      <c r="A1777">
        <v>34</v>
      </c>
      <c r="B1777">
        <v>270000</v>
      </c>
      <c r="C1777" t="s">
        <v>46</v>
      </c>
      <c r="D1777" t="s">
        <v>17</v>
      </c>
      <c r="E1777">
        <v>55.554340000000003</v>
      </c>
    </row>
    <row r="1778" spans="1:5" hidden="1" x14ac:dyDescent="0.3">
      <c r="A1778">
        <v>34</v>
      </c>
      <c r="B1778">
        <v>270000</v>
      </c>
      <c r="C1778" t="s">
        <v>46</v>
      </c>
      <c r="D1778" t="s">
        <v>18</v>
      </c>
      <c r="E1778">
        <v>44.417479999999998</v>
      </c>
    </row>
    <row r="1779" spans="1:5" hidden="1" x14ac:dyDescent="0.3">
      <c r="A1779">
        <v>34</v>
      </c>
      <c r="B1779">
        <v>270000</v>
      </c>
      <c r="C1779" t="s">
        <v>46</v>
      </c>
      <c r="D1779" t="s">
        <v>19</v>
      </c>
      <c r="E1779">
        <v>4222.2230170000003</v>
      </c>
    </row>
    <row r="1780" spans="1:5" hidden="1" x14ac:dyDescent="0.3">
      <c r="A1780">
        <v>34</v>
      </c>
      <c r="B1780">
        <v>270000</v>
      </c>
      <c r="C1780" t="s">
        <v>46</v>
      </c>
      <c r="D1780" t="s">
        <v>20</v>
      </c>
      <c r="E1780">
        <v>6055.5563709999997</v>
      </c>
    </row>
    <row r="1781" spans="1:5" hidden="1" x14ac:dyDescent="0.3">
      <c r="A1781">
        <v>34</v>
      </c>
      <c r="B1781">
        <v>270000</v>
      </c>
      <c r="C1781" t="s">
        <v>46</v>
      </c>
      <c r="D1781" t="s">
        <v>21</v>
      </c>
      <c r="E1781">
        <v>8.2882999999999998E-2</v>
      </c>
    </row>
    <row r="1782" spans="1:5" hidden="1" x14ac:dyDescent="0.3">
      <c r="A1782">
        <v>34</v>
      </c>
      <c r="B1782">
        <v>270000</v>
      </c>
      <c r="C1782" t="s">
        <v>46</v>
      </c>
      <c r="D1782" t="s">
        <v>22</v>
      </c>
      <c r="E1782">
        <v>268.87857400000001</v>
      </c>
    </row>
    <row r="1783" spans="1:5" hidden="1" x14ac:dyDescent="0.3">
      <c r="A1783">
        <v>34</v>
      </c>
      <c r="B1783">
        <v>270000</v>
      </c>
      <c r="C1783" t="s">
        <v>46</v>
      </c>
      <c r="D1783" t="s">
        <v>23</v>
      </c>
      <c r="E1783">
        <v>1722.223101</v>
      </c>
    </row>
    <row r="1784" spans="1:5" hidden="1" x14ac:dyDescent="0.3">
      <c r="A1784">
        <v>34</v>
      </c>
      <c r="B1784">
        <v>270000</v>
      </c>
      <c r="C1784" t="s">
        <v>46</v>
      </c>
      <c r="D1784" t="s">
        <v>24</v>
      </c>
      <c r="E1784">
        <v>14942.233989</v>
      </c>
    </row>
    <row r="1785" spans="1:5" hidden="1" x14ac:dyDescent="0.3">
      <c r="A1785">
        <v>34</v>
      </c>
      <c r="B1785">
        <v>270000</v>
      </c>
      <c r="C1785" t="s">
        <v>46</v>
      </c>
      <c r="D1785" t="s">
        <v>25</v>
      </c>
      <c r="E1785">
        <v>1500.0007169999999</v>
      </c>
    </row>
    <row r="1786" spans="1:5" hidden="1" x14ac:dyDescent="0.3">
      <c r="A1786">
        <v>34</v>
      </c>
      <c r="B1786">
        <v>270000</v>
      </c>
      <c r="C1786" t="s">
        <v>46</v>
      </c>
      <c r="D1786" t="s">
        <v>26</v>
      </c>
      <c r="E1786">
        <v>0.14724300000000001</v>
      </c>
    </row>
    <row r="1787" spans="1:5" hidden="1" x14ac:dyDescent="0.3">
      <c r="A1787">
        <v>35</v>
      </c>
      <c r="B1787">
        <v>275000</v>
      </c>
      <c r="C1787" t="s">
        <v>45</v>
      </c>
      <c r="D1787" t="s">
        <v>6</v>
      </c>
      <c r="E1787">
        <v>0.44879599999999997</v>
      </c>
    </row>
    <row r="1788" spans="1:5" hidden="1" x14ac:dyDescent="0.3">
      <c r="A1788">
        <v>35</v>
      </c>
      <c r="B1788">
        <v>275000</v>
      </c>
      <c r="C1788" t="s">
        <v>45</v>
      </c>
      <c r="D1788" t="s">
        <v>7</v>
      </c>
      <c r="E1788">
        <v>52999.976079</v>
      </c>
    </row>
    <row r="1789" spans="1:5" hidden="1" x14ac:dyDescent="0.3">
      <c r="A1789">
        <v>35</v>
      </c>
      <c r="B1789">
        <v>275000</v>
      </c>
      <c r="C1789" t="s">
        <v>45</v>
      </c>
      <c r="D1789" t="s">
        <v>8</v>
      </c>
      <c r="E1789">
        <v>0.69214200000000003</v>
      </c>
    </row>
    <row r="1790" spans="1:5" hidden="1" x14ac:dyDescent="0.3">
      <c r="A1790">
        <v>35</v>
      </c>
      <c r="B1790">
        <v>275000</v>
      </c>
      <c r="C1790" t="s">
        <v>45</v>
      </c>
      <c r="D1790" t="s">
        <v>9</v>
      </c>
      <c r="E1790">
        <v>26193.932697</v>
      </c>
    </row>
    <row r="1791" spans="1:5" hidden="1" x14ac:dyDescent="0.3">
      <c r="A1791">
        <v>35</v>
      </c>
      <c r="B1791">
        <v>275000</v>
      </c>
      <c r="C1791" t="s">
        <v>45</v>
      </c>
      <c r="D1791" t="s">
        <v>10</v>
      </c>
      <c r="E1791">
        <v>0.493952</v>
      </c>
    </row>
    <row r="1792" spans="1:5" hidden="1" x14ac:dyDescent="0.3">
      <c r="A1792">
        <v>35</v>
      </c>
      <c r="B1792">
        <v>275000</v>
      </c>
      <c r="C1792" t="s">
        <v>45</v>
      </c>
      <c r="D1792" t="s">
        <v>11</v>
      </c>
      <c r="E1792">
        <v>34138.887149000002</v>
      </c>
    </row>
    <row r="1793" spans="1:5" hidden="1" x14ac:dyDescent="0.3">
      <c r="A1793">
        <v>35</v>
      </c>
      <c r="B1793">
        <v>275000</v>
      </c>
      <c r="C1793" t="s">
        <v>45</v>
      </c>
      <c r="D1793" t="s">
        <v>12</v>
      </c>
      <c r="E1793">
        <v>44388.816771999998</v>
      </c>
    </row>
    <row r="1794" spans="1:5" hidden="1" x14ac:dyDescent="0.3">
      <c r="A1794">
        <v>35</v>
      </c>
      <c r="B1794">
        <v>275000</v>
      </c>
      <c r="C1794" t="s">
        <v>45</v>
      </c>
      <c r="D1794" t="s">
        <v>13</v>
      </c>
      <c r="E1794">
        <v>35431.348019999998</v>
      </c>
    </row>
    <row r="1795" spans="1:5" hidden="1" x14ac:dyDescent="0.3">
      <c r="A1795">
        <v>35</v>
      </c>
      <c r="B1795">
        <v>275000</v>
      </c>
      <c r="C1795" t="s">
        <v>45</v>
      </c>
      <c r="D1795" t="s">
        <v>14</v>
      </c>
      <c r="E1795">
        <v>12472.222239999999</v>
      </c>
    </row>
    <row r="1796" spans="1:5" hidden="1" x14ac:dyDescent="0.3">
      <c r="A1796">
        <v>35</v>
      </c>
      <c r="B1796">
        <v>275000</v>
      </c>
      <c r="C1796" t="s">
        <v>45</v>
      </c>
      <c r="D1796" t="s">
        <v>15</v>
      </c>
      <c r="E1796">
        <v>0.26386199999999999</v>
      </c>
    </row>
    <row r="1797" spans="1:5" hidden="1" x14ac:dyDescent="0.3">
      <c r="A1797">
        <v>35</v>
      </c>
      <c r="B1797">
        <v>275000</v>
      </c>
      <c r="C1797" t="s">
        <v>45</v>
      </c>
      <c r="D1797" t="s">
        <v>16</v>
      </c>
      <c r="E1797">
        <v>40332.763068</v>
      </c>
    </row>
    <row r="1798" spans="1:5" hidden="1" x14ac:dyDescent="0.3">
      <c r="A1798">
        <v>35</v>
      </c>
      <c r="B1798">
        <v>275000</v>
      </c>
      <c r="C1798" t="s">
        <v>45</v>
      </c>
      <c r="D1798" t="s">
        <v>17</v>
      </c>
      <c r="E1798">
        <v>0.32470900000000003</v>
      </c>
    </row>
    <row r="1799" spans="1:5" hidden="1" x14ac:dyDescent="0.3">
      <c r="A1799">
        <v>35</v>
      </c>
      <c r="B1799">
        <v>275000</v>
      </c>
      <c r="C1799" t="s">
        <v>45</v>
      </c>
      <c r="D1799" t="s">
        <v>18</v>
      </c>
      <c r="E1799">
        <v>88.831029999999998</v>
      </c>
    </row>
    <row r="1800" spans="1:5" hidden="1" x14ac:dyDescent="0.3">
      <c r="A1800">
        <v>35</v>
      </c>
      <c r="B1800">
        <v>275000</v>
      </c>
      <c r="C1800" t="s">
        <v>45</v>
      </c>
      <c r="D1800" t="s">
        <v>19</v>
      </c>
      <c r="E1800">
        <v>8833.335094</v>
      </c>
    </row>
    <row r="1801" spans="1:5" hidden="1" x14ac:dyDescent="0.3">
      <c r="A1801">
        <v>35</v>
      </c>
      <c r="B1801">
        <v>275000</v>
      </c>
      <c r="C1801" t="s">
        <v>45</v>
      </c>
      <c r="D1801" t="s">
        <v>20</v>
      </c>
      <c r="E1801">
        <v>15166.669265</v>
      </c>
    </row>
    <row r="1802" spans="1:5" hidden="1" x14ac:dyDescent="0.3">
      <c r="A1802">
        <v>35</v>
      </c>
      <c r="B1802">
        <v>275000</v>
      </c>
      <c r="C1802" t="s">
        <v>45</v>
      </c>
      <c r="D1802" t="s">
        <v>21</v>
      </c>
      <c r="E1802">
        <v>0.118781</v>
      </c>
    </row>
    <row r="1803" spans="1:5" hidden="1" x14ac:dyDescent="0.3">
      <c r="A1803">
        <v>35</v>
      </c>
      <c r="B1803">
        <v>275000</v>
      </c>
      <c r="C1803" t="s">
        <v>45</v>
      </c>
      <c r="D1803" t="s">
        <v>22</v>
      </c>
      <c r="E1803">
        <v>504.14735300000001</v>
      </c>
    </row>
    <row r="1804" spans="1:5" hidden="1" x14ac:dyDescent="0.3">
      <c r="A1804">
        <v>35</v>
      </c>
      <c r="B1804">
        <v>275000</v>
      </c>
      <c r="C1804" t="s">
        <v>45</v>
      </c>
      <c r="D1804" t="s">
        <v>23</v>
      </c>
      <c r="E1804">
        <v>4444.4477230000002</v>
      </c>
    </row>
    <row r="1805" spans="1:5" hidden="1" x14ac:dyDescent="0.3">
      <c r="A1805">
        <v>35</v>
      </c>
      <c r="B1805">
        <v>275000</v>
      </c>
      <c r="C1805" t="s">
        <v>45</v>
      </c>
      <c r="D1805" t="s">
        <v>24</v>
      </c>
      <c r="E1805">
        <v>0.278007</v>
      </c>
    </row>
    <row r="1806" spans="1:5" hidden="1" x14ac:dyDescent="0.3">
      <c r="A1806">
        <v>35</v>
      </c>
      <c r="B1806">
        <v>275000</v>
      </c>
      <c r="C1806" t="s">
        <v>45</v>
      </c>
      <c r="D1806" t="s">
        <v>25</v>
      </c>
      <c r="E1806">
        <v>1.940442</v>
      </c>
    </row>
    <row r="1807" spans="1:5" hidden="1" x14ac:dyDescent="0.3">
      <c r="A1807">
        <v>35</v>
      </c>
      <c r="B1807">
        <v>275000</v>
      </c>
      <c r="C1807" t="s">
        <v>46</v>
      </c>
      <c r="D1807" t="s">
        <v>26</v>
      </c>
      <c r="E1807">
        <v>0.15298</v>
      </c>
    </row>
    <row r="1808" spans="1:5" x14ac:dyDescent="0.3">
      <c r="A1808">
        <v>35</v>
      </c>
      <c r="B1808">
        <v>275000</v>
      </c>
      <c r="C1808" t="s">
        <v>46</v>
      </c>
      <c r="D1808" t="s">
        <v>6</v>
      </c>
      <c r="E1808">
        <v>54.987130000000001</v>
      </c>
    </row>
    <row r="1809" spans="1:5" hidden="1" x14ac:dyDescent="0.3">
      <c r="A1809">
        <v>35</v>
      </c>
      <c r="B1809">
        <v>275000</v>
      </c>
      <c r="C1809" t="s">
        <v>46</v>
      </c>
      <c r="D1809" t="s">
        <v>7</v>
      </c>
      <c r="E1809">
        <v>36555.556604999998</v>
      </c>
    </row>
    <row r="1810" spans="1:5" hidden="1" x14ac:dyDescent="0.3">
      <c r="A1810">
        <v>35</v>
      </c>
      <c r="B1810">
        <v>275000</v>
      </c>
      <c r="C1810" t="s">
        <v>46</v>
      </c>
      <c r="D1810" t="s">
        <v>8</v>
      </c>
      <c r="E1810">
        <v>194.445143</v>
      </c>
    </row>
    <row r="1811" spans="1:5" hidden="1" x14ac:dyDescent="0.3">
      <c r="A1811">
        <v>35</v>
      </c>
      <c r="B1811">
        <v>275000</v>
      </c>
      <c r="C1811" t="s">
        <v>46</v>
      </c>
      <c r="D1811" t="s">
        <v>9</v>
      </c>
      <c r="E1811">
        <v>34138.484203</v>
      </c>
    </row>
    <row r="1812" spans="1:5" hidden="1" x14ac:dyDescent="0.3">
      <c r="A1812">
        <v>35</v>
      </c>
      <c r="B1812">
        <v>275000</v>
      </c>
      <c r="C1812" t="s">
        <v>46</v>
      </c>
      <c r="D1812" t="s">
        <v>10</v>
      </c>
      <c r="E1812">
        <v>77248.177127999996</v>
      </c>
    </row>
    <row r="1813" spans="1:5" hidden="1" x14ac:dyDescent="0.3">
      <c r="A1813">
        <v>35</v>
      </c>
      <c r="B1813">
        <v>275000</v>
      </c>
      <c r="C1813" t="s">
        <v>46</v>
      </c>
      <c r="D1813" t="s">
        <v>11</v>
      </c>
      <c r="E1813">
        <v>28361.112147</v>
      </c>
    </row>
    <row r="1814" spans="1:5" hidden="1" x14ac:dyDescent="0.3">
      <c r="A1814">
        <v>35</v>
      </c>
      <c r="B1814">
        <v>275000</v>
      </c>
      <c r="C1814" t="s">
        <v>46</v>
      </c>
      <c r="D1814" t="s">
        <v>12</v>
      </c>
      <c r="E1814">
        <v>12555.556602000001</v>
      </c>
    </row>
    <row r="1815" spans="1:5" hidden="1" x14ac:dyDescent="0.3">
      <c r="A1815">
        <v>35</v>
      </c>
      <c r="B1815">
        <v>275000</v>
      </c>
      <c r="C1815" t="s">
        <v>46</v>
      </c>
      <c r="D1815" t="s">
        <v>13</v>
      </c>
      <c r="E1815">
        <v>14172.545584</v>
      </c>
    </row>
    <row r="1816" spans="1:5" hidden="1" x14ac:dyDescent="0.3">
      <c r="A1816">
        <v>35</v>
      </c>
      <c r="B1816">
        <v>275000</v>
      </c>
      <c r="C1816" t="s">
        <v>46</v>
      </c>
      <c r="D1816" t="s">
        <v>14</v>
      </c>
      <c r="E1816">
        <v>6388.8899879999999</v>
      </c>
    </row>
    <row r="1817" spans="1:5" hidden="1" x14ac:dyDescent="0.3">
      <c r="A1817">
        <v>35</v>
      </c>
      <c r="B1817">
        <v>275000</v>
      </c>
      <c r="C1817" t="s">
        <v>46</v>
      </c>
      <c r="D1817" t="s">
        <v>15</v>
      </c>
      <c r="E1817">
        <v>10.326622</v>
      </c>
    </row>
    <row r="1818" spans="1:5" hidden="1" x14ac:dyDescent="0.3">
      <c r="A1818">
        <v>35</v>
      </c>
      <c r="B1818">
        <v>275000</v>
      </c>
      <c r="C1818" t="s">
        <v>46</v>
      </c>
      <c r="D1818" t="s">
        <v>16</v>
      </c>
      <c r="E1818">
        <v>31515.362563999999</v>
      </c>
    </row>
    <row r="1819" spans="1:5" hidden="1" x14ac:dyDescent="0.3">
      <c r="A1819">
        <v>35</v>
      </c>
      <c r="B1819">
        <v>275000</v>
      </c>
      <c r="C1819" t="s">
        <v>46</v>
      </c>
      <c r="D1819" t="s">
        <v>17</v>
      </c>
      <c r="E1819">
        <v>55.552954</v>
      </c>
    </row>
    <row r="1820" spans="1:5" hidden="1" x14ac:dyDescent="0.3">
      <c r="A1820">
        <v>35</v>
      </c>
      <c r="B1820">
        <v>275000</v>
      </c>
      <c r="C1820" t="s">
        <v>46</v>
      </c>
      <c r="D1820" t="s">
        <v>18</v>
      </c>
      <c r="E1820">
        <v>44.417803999999997</v>
      </c>
    </row>
    <row r="1821" spans="1:5" hidden="1" x14ac:dyDescent="0.3">
      <c r="A1821">
        <v>35</v>
      </c>
      <c r="B1821">
        <v>275000</v>
      </c>
      <c r="C1821" t="s">
        <v>46</v>
      </c>
      <c r="D1821" t="s">
        <v>19</v>
      </c>
      <c r="E1821">
        <v>4222.2233889999998</v>
      </c>
    </row>
    <row r="1822" spans="1:5" hidden="1" x14ac:dyDescent="0.3">
      <c r="A1822">
        <v>35</v>
      </c>
      <c r="B1822">
        <v>275000</v>
      </c>
      <c r="C1822" t="s">
        <v>46</v>
      </c>
      <c r="D1822" t="s">
        <v>20</v>
      </c>
      <c r="E1822">
        <v>6055.5567579999997</v>
      </c>
    </row>
    <row r="1823" spans="1:5" hidden="1" x14ac:dyDescent="0.3">
      <c r="A1823">
        <v>35</v>
      </c>
      <c r="B1823">
        <v>275000</v>
      </c>
      <c r="C1823" t="s">
        <v>46</v>
      </c>
      <c r="D1823" t="s">
        <v>21</v>
      </c>
      <c r="E1823">
        <v>0.14954000000000001</v>
      </c>
    </row>
    <row r="1824" spans="1:5" hidden="1" x14ac:dyDescent="0.3">
      <c r="A1824">
        <v>35</v>
      </c>
      <c r="B1824">
        <v>275000</v>
      </c>
      <c r="C1824" t="s">
        <v>46</v>
      </c>
      <c r="D1824" t="s">
        <v>22</v>
      </c>
      <c r="E1824">
        <v>268.87889300000001</v>
      </c>
    </row>
    <row r="1825" spans="1:5" hidden="1" x14ac:dyDescent="0.3">
      <c r="A1825">
        <v>35</v>
      </c>
      <c r="B1825">
        <v>275000</v>
      </c>
      <c r="C1825" t="s">
        <v>46</v>
      </c>
      <c r="D1825" t="s">
        <v>23</v>
      </c>
      <c r="E1825">
        <v>1722.223504</v>
      </c>
    </row>
    <row r="1826" spans="1:5" hidden="1" x14ac:dyDescent="0.3">
      <c r="A1826">
        <v>35</v>
      </c>
      <c r="B1826">
        <v>275000</v>
      </c>
      <c r="C1826" t="s">
        <v>46</v>
      </c>
      <c r="D1826" t="s">
        <v>24</v>
      </c>
      <c r="E1826">
        <v>19935.305566999999</v>
      </c>
    </row>
    <row r="1827" spans="1:5" hidden="1" x14ac:dyDescent="0.3">
      <c r="A1827">
        <v>35</v>
      </c>
      <c r="B1827">
        <v>275000</v>
      </c>
      <c r="C1827" t="s">
        <v>46</v>
      </c>
      <c r="D1827" t="s">
        <v>25</v>
      </c>
      <c r="E1827">
        <v>1500.001019</v>
      </c>
    </row>
    <row r="1828" spans="1:5" hidden="1" x14ac:dyDescent="0.3">
      <c r="A1828">
        <v>35</v>
      </c>
      <c r="B1828">
        <v>275000</v>
      </c>
      <c r="C1828" t="s">
        <v>46</v>
      </c>
      <c r="D1828" t="s">
        <v>26</v>
      </c>
      <c r="E1828">
        <v>0.28020899999999999</v>
      </c>
    </row>
    <row r="1829" spans="1:5" hidden="1" x14ac:dyDescent="0.3">
      <c r="A1829">
        <v>36</v>
      </c>
      <c r="B1829">
        <v>280000</v>
      </c>
      <c r="C1829" t="s">
        <v>45</v>
      </c>
      <c r="D1829" t="s">
        <v>6</v>
      </c>
      <c r="E1829">
        <v>0.92388800000000004</v>
      </c>
    </row>
    <row r="1830" spans="1:5" hidden="1" x14ac:dyDescent="0.3">
      <c r="A1830">
        <v>36</v>
      </c>
      <c r="B1830">
        <v>280000</v>
      </c>
      <c r="C1830" t="s">
        <v>45</v>
      </c>
      <c r="D1830" t="s">
        <v>7</v>
      </c>
      <c r="E1830">
        <v>52999.983785999997</v>
      </c>
    </row>
    <row r="1831" spans="1:5" hidden="1" x14ac:dyDescent="0.3">
      <c r="A1831">
        <v>36</v>
      </c>
      <c r="B1831">
        <v>280000</v>
      </c>
      <c r="C1831" t="s">
        <v>45</v>
      </c>
      <c r="D1831" t="s">
        <v>8</v>
      </c>
      <c r="E1831">
        <v>1.272573</v>
      </c>
    </row>
    <row r="1832" spans="1:5" hidden="1" x14ac:dyDescent="0.3">
      <c r="A1832">
        <v>36</v>
      </c>
      <c r="B1832">
        <v>280000</v>
      </c>
      <c r="C1832" t="s">
        <v>45</v>
      </c>
      <c r="D1832" t="s">
        <v>9</v>
      </c>
      <c r="E1832">
        <v>31190.602489000001</v>
      </c>
    </row>
    <row r="1833" spans="1:5" hidden="1" x14ac:dyDescent="0.3">
      <c r="A1833">
        <v>36</v>
      </c>
      <c r="B1833">
        <v>280000</v>
      </c>
      <c r="C1833" t="s">
        <v>45</v>
      </c>
      <c r="D1833" t="s">
        <v>10</v>
      </c>
      <c r="E1833">
        <v>0.79528900000000002</v>
      </c>
    </row>
    <row r="1834" spans="1:5" hidden="1" x14ac:dyDescent="0.3">
      <c r="A1834">
        <v>36</v>
      </c>
      <c r="B1834">
        <v>280000</v>
      </c>
      <c r="C1834" t="s">
        <v>45</v>
      </c>
      <c r="D1834" t="s">
        <v>11</v>
      </c>
      <c r="E1834">
        <v>34138.878644999997</v>
      </c>
    </row>
    <row r="1835" spans="1:5" hidden="1" x14ac:dyDescent="0.3">
      <c r="A1835">
        <v>36</v>
      </c>
      <c r="B1835">
        <v>280000</v>
      </c>
      <c r="C1835" t="s">
        <v>45</v>
      </c>
      <c r="D1835" t="s">
        <v>12</v>
      </c>
      <c r="E1835">
        <v>44388.786426999999</v>
      </c>
    </row>
    <row r="1836" spans="1:5" hidden="1" x14ac:dyDescent="0.3">
      <c r="A1836">
        <v>36</v>
      </c>
      <c r="B1836">
        <v>280000</v>
      </c>
      <c r="C1836" t="s">
        <v>45</v>
      </c>
      <c r="D1836" t="s">
        <v>13</v>
      </c>
      <c r="E1836">
        <v>35431.344963000003</v>
      </c>
    </row>
    <row r="1837" spans="1:5" hidden="1" x14ac:dyDescent="0.3">
      <c r="A1837">
        <v>36</v>
      </c>
      <c r="B1837">
        <v>280000</v>
      </c>
      <c r="C1837" t="s">
        <v>45</v>
      </c>
      <c r="D1837" t="s">
        <v>14</v>
      </c>
      <c r="E1837">
        <v>12472.219553999999</v>
      </c>
    </row>
    <row r="1838" spans="1:5" hidden="1" x14ac:dyDescent="0.3">
      <c r="A1838">
        <v>36</v>
      </c>
      <c r="B1838">
        <v>280000</v>
      </c>
      <c r="C1838" t="s">
        <v>45</v>
      </c>
      <c r="D1838" t="s">
        <v>15</v>
      </c>
      <c r="E1838">
        <v>0.43164000000000002</v>
      </c>
    </row>
    <row r="1839" spans="1:5" hidden="1" x14ac:dyDescent="0.3">
      <c r="A1839">
        <v>36</v>
      </c>
      <c r="B1839">
        <v>280000</v>
      </c>
      <c r="C1839" t="s">
        <v>45</v>
      </c>
      <c r="D1839" t="s">
        <v>16</v>
      </c>
      <c r="E1839">
        <v>40332.579636000002</v>
      </c>
    </row>
    <row r="1840" spans="1:5" hidden="1" x14ac:dyDescent="0.3">
      <c r="A1840">
        <v>36</v>
      </c>
      <c r="B1840">
        <v>280000</v>
      </c>
      <c r="C1840" t="s">
        <v>45</v>
      </c>
      <c r="D1840" t="s">
        <v>17</v>
      </c>
      <c r="E1840">
        <v>0.64488100000000004</v>
      </c>
    </row>
    <row r="1841" spans="1:5" hidden="1" x14ac:dyDescent="0.3">
      <c r="A1841">
        <v>36</v>
      </c>
      <c r="B1841">
        <v>280000</v>
      </c>
      <c r="C1841" t="s">
        <v>45</v>
      </c>
      <c r="D1841" t="s">
        <v>18</v>
      </c>
      <c r="E1841">
        <v>88.826582999999999</v>
      </c>
    </row>
    <row r="1842" spans="1:5" hidden="1" x14ac:dyDescent="0.3">
      <c r="A1842">
        <v>36</v>
      </c>
      <c r="B1842">
        <v>280000</v>
      </c>
      <c r="C1842" t="s">
        <v>45</v>
      </c>
      <c r="D1842" t="s">
        <v>19</v>
      </c>
      <c r="E1842">
        <v>8833.3330800000003</v>
      </c>
    </row>
    <row r="1843" spans="1:5" hidden="1" x14ac:dyDescent="0.3">
      <c r="A1843">
        <v>36</v>
      </c>
      <c r="B1843">
        <v>280000</v>
      </c>
      <c r="C1843" t="s">
        <v>45</v>
      </c>
      <c r="D1843" t="s">
        <v>20</v>
      </c>
      <c r="E1843">
        <v>15166.668011</v>
      </c>
    </row>
    <row r="1844" spans="1:5" hidden="1" x14ac:dyDescent="0.3">
      <c r="A1844">
        <v>36</v>
      </c>
      <c r="B1844">
        <v>280000</v>
      </c>
      <c r="C1844" t="s">
        <v>45</v>
      </c>
      <c r="D1844" t="s">
        <v>21</v>
      </c>
      <c r="E1844">
        <v>0.17502699999999999</v>
      </c>
    </row>
    <row r="1845" spans="1:5" hidden="1" x14ac:dyDescent="0.3">
      <c r="A1845">
        <v>36</v>
      </c>
      <c r="B1845">
        <v>280000</v>
      </c>
      <c r="C1845" t="s">
        <v>45</v>
      </c>
      <c r="D1845" t="s">
        <v>22</v>
      </c>
      <c r="E1845">
        <v>504.14291200000002</v>
      </c>
    </row>
    <row r="1846" spans="1:5" hidden="1" x14ac:dyDescent="0.3">
      <c r="A1846">
        <v>36</v>
      </c>
      <c r="B1846">
        <v>280000</v>
      </c>
      <c r="C1846" t="s">
        <v>45</v>
      </c>
      <c r="D1846" t="s">
        <v>23</v>
      </c>
      <c r="E1846">
        <v>4444.4467969999996</v>
      </c>
    </row>
    <row r="1847" spans="1:5" hidden="1" x14ac:dyDescent="0.3">
      <c r="A1847">
        <v>36</v>
      </c>
      <c r="B1847">
        <v>280000</v>
      </c>
      <c r="C1847" t="s">
        <v>45</v>
      </c>
      <c r="D1847" t="s">
        <v>24</v>
      </c>
      <c r="E1847">
        <v>0.45575300000000002</v>
      </c>
    </row>
    <row r="1848" spans="1:5" hidden="1" x14ac:dyDescent="0.3">
      <c r="A1848">
        <v>36</v>
      </c>
      <c r="B1848">
        <v>280000</v>
      </c>
      <c r="C1848" t="s">
        <v>45</v>
      </c>
      <c r="D1848" t="s">
        <v>25</v>
      </c>
      <c r="E1848">
        <v>3.323388</v>
      </c>
    </row>
    <row r="1849" spans="1:5" hidden="1" x14ac:dyDescent="0.3">
      <c r="A1849">
        <v>36</v>
      </c>
      <c r="B1849">
        <v>280000</v>
      </c>
      <c r="C1849" t="s">
        <v>46</v>
      </c>
      <c r="D1849" t="s">
        <v>26</v>
      </c>
      <c r="E1849">
        <v>0.24965799999999999</v>
      </c>
    </row>
    <row r="1850" spans="1:5" x14ac:dyDescent="0.3">
      <c r="A1850">
        <v>36</v>
      </c>
      <c r="B1850">
        <v>280000</v>
      </c>
      <c r="C1850" t="s">
        <v>46</v>
      </c>
      <c r="D1850" t="s">
        <v>6</v>
      </c>
      <c r="E1850">
        <v>54.989372000000003</v>
      </c>
    </row>
    <row r="1851" spans="1:5" hidden="1" x14ac:dyDescent="0.3">
      <c r="A1851">
        <v>36</v>
      </c>
      <c r="B1851">
        <v>280000</v>
      </c>
      <c r="C1851" t="s">
        <v>46</v>
      </c>
      <c r="D1851" t="s">
        <v>7</v>
      </c>
      <c r="E1851">
        <v>36555.558588</v>
      </c>
    </row>
    <row r="1852" spans="1:5" hidden="1" x14ac:dyDescent="0.3">
      <c r="A1852">
        <v>36</v>
      </c>
      <c r="B1852">
        <v>280000</v>
      </c>
      <c r="C1852" t="s">
        <v>46</v>
      </c>
      <c r="D1852" t="s">
        <v>8</v>
      </c>
      <c r="E1852">
        <v>194.44712699999999</v>
      </c>
    </row>
    <row r="1853" spans="1:5" hidden="1" x14ac:dyDescent="0.3">
      <c r="A1853">
        <v>36</v>
      </c>
      <c r="B1853">
        <v>280000</v>
      </c>
      <c r="C1853" t="s">
        <v>46</v>
      </c>
      <c r="D1853" t="s">
        <v>9</v>
      </c>
      <c r="E1853">
        <v>34138.486041999997</v>
      </c>
    </row>
    <row r="1854" spans="1:5" hidden="1" x14ac:dyDescent="0.3">
      <c r="A1854">
        <v>36</v>
      </c>
      <c r="B1854">
        <v>280000</v>
      </c>
      <c r="C1854" t="s">
        <v>46</v>
      </c>
      <c r="D1854" t="s">
        <v>10</v>
      </c>
      <c r="E1854">
        <v>77249.961387000003</v>
      </c>
    </row>
    <row r="1855" spans="1:5" hidden="1" x14ac:dyDescent="0.3">
      <c r="A1855">
        <v>36</v>
      </c>
      <c r="B1855">
        <v>280000</v>
      </c>
      <c r="C1855" t="s">
        <v>46</v>
      </c>
      <c r="D1855" t="s">
        <v>11</v>
      </c>
      <c r="E1855">
        <v>28361.114084000001</v>
      </c>
    </row>
    <row r="1856" spans="1:5" hidden="1" x14ac:dyDescent="0.3">
      <c r="A1856">
        <v>36</v>
      </c>
      <c r="B1856">
        <v>280000</v>
      </c>
      <c r="C1856" t="s">
        <v>46</v>
      </c>
      <c r="D1856" t="s">
        <v>12</v>
      </c>
      <c r="E1856">
        <v>12555.558594</v>
      </c>
    </row>
    <row r="1857" spans="1:5" hidden="1" x14ac:dyDescent="0.3">
      <c r="A1857">
        <v>36</v>
      </c>
      <c r="B1857">
        <v>280000</v>
      </c>
      <c r="C1857" t="s">
        <v>46</v>
      </c>
      <c r="D1857" t="s">
        <v>13</v>
      </c>
      <c r="E1857">
        <v>14172.547671</v>
      </c>
    </row>
    <row r="1858" spans="1:5" hidden="1" x14ac:dyDescent="0.3">
      <c r="A1858">
        <v>36</v>
      </c>
      <c r="B1858">
        <v>280000</v>
      </c>
      <c r="C1858" t="s">
        <v>46</v>
      </c>
      <c r="D1858" t="s">
        <v>14</v>
      </c>
      <c r="E1858">
        <v>6388.8920699999999</v>
      </c>
    </row>
    <row r="1859" spans="1:5" hidden="1" x14ac:dyDescent="0.3">
      <c r="A1859">
        <v>36</v>
      </c>
      <c r="B1859">
        <v>280000</v>
      </c>
      <c r="C1859" t="s">
        <v>46</v>
      </c>
      <c r="D1859" t="s">
        <v>15</v>
      </c>
      <c r="E1859">
        <v>6.3129249999999999</v>
      </c>
    </row>
    <row r="1860" spans="1:5" hidden="1" x14ac:dyDescent="0.3">
      <c r="A1860">
        <v>36</v>
      </c>
      <c r="B1860">
        <v>280000</v>
      </c>
      <c r="C1860" t="s">
        <v>46</v>
      </c>
      <c r="D1860" t="s">
        <v>16</v>
      </c>
      <c r="E1860">
        <v>31515.314525999998</v>
      </c>
    </row>
    <row r="1861" spans="1:5" hidden="1" x14ac:dyDescent="0.3">
      <c r="A1861">
        <v>36</v>
      </c>
      <c r="B1861">
        <v>280000</v>
      </c>
      <c r="C1861" t="s">
        <v>46</v>
      </c>
      <c r="D1861" t="s">
        <v>17</v>
      </c>
      <c r="E1861">
        <v>55.553116000000003</v>
      </c>
    </row>
    <row r="1862" spans="1:5" hidden="1" x14ac:dyDescent="0.3">
      <c r="A1862">
        <v>36</v>
      </c>
      <c r="B1862">
        <v>280000</v>
      </c>
      <c r="C1862" t="s">
        <v>46</v>
      </c>
      <c r="D1862" t="s">
        <v>18</v>
      </c>
      <c r="E1862">
        <v>44.420129000000003</v>
      </c>
    </row>
    <row r="1863" spans="1:5" hidden="1" x14ac:dyDescent="0.3">
      <c r="A1863">
        <v>36</v>
      </c>
      <c r="B1863">
        <v>280000</v>
      </c>
      <c r="C1863" t="s">
        <v>46</v>
      </c>
      <c r="D1863" t="s">
        <v>19</v>
      </c>
      <c r="E1863">
        <v>4222.2255439999999</v>
      </c>
    </row>
    <row r="1864" spans="1:5" hidden="1" x14ac:dyDescent="0.3">
      <c r="A1864">
        <v>36</v>
      </c>
      <c r="B1864">
        <v>280000</v>
      </c>
      <c r="C1864" t="s">
        <v>46</v>
      </c>
      <c r="D1864" t="s">
        <v>20</v>
      </c>
      <c r="E1864">
        <v>6055.5589440000003</v>
      </c>
    </row>
    <row r="1865" spans="1:5" hidden="1" x14ac:dyDescent="0.3">
      <c r="A1865">
        <v>36</v>
      </c>
      <c r="B1865">
        <v>280000</v>
      </c>
      <c r="C1865" t="s">
        <v>46</v>
      </c>
      <c r="D1865" t="s">
        <v>21</v>
      </c>
      <c r="E1865">
        <v>0.29880800000000002</v>
      </c>
    </row>
    <row r="1866" spans="1:5" hidden="1" x14ac:dyDescent="0.3">
      <c r="A1866">
        <v>36</v>
      </c>
      <c r="B1866">
        <v>280000</v>
      </c>
      <c r="C1866" t="s">
        <v>46</v>
      </c>
      <c r="D1866" t="s">
        <v>22</v>
      </c>
      <c r="E1866">
        <v>268.881146</v>
      </c>
    </row>
    <row r="1867" spans="1:5" hidden="1" x14ac:dyDescent="0.3">
      <c r="A1867">
        <v>36</v>
      </c>
      <c r="B1867">
        <v>280000</v>
      </c>
      <c r="C1867" t="s">
        <v>46</v>
      </c>
      <c r="D1867" t="s">
        <v>23</v>
      </c>
      <c r="E1867">
        <v>1722.225835</v>
      </c>
    </row>
    <row r="1868" spans="1:5" hidden="1" x14ac:dyDescent="0.3">
      <c r="A1868">
        <v>36</v>
      </c>
      <c r="B1868">
        <v>280000</v>
      </c>
      <c r="C1868" t="s">
        <v>46</v>
      </c>
      <c r="D1868" t="s">
        <v>24</v>
      </c>
      <c r="E1868">
        <v>24937.244686999999</v>
      </c>
    </row>
    <row r="1869" spans="1:5" hidden="1" x14ac:dyDescent="0.3">
      <c r="A1869">
        <v>36</v>
      </c>
      <c r="B1869">
        <v>280000</v>
      </c>
      <c r="C1869" t="s">
        <v>46</v>
      </c>
      <c r="D1869" t="s">
        <v>25</v>
      </c>
      <c r="E1869">
        <v>1500.0030770000001</v>
      </c>
    </row>
    <row r="1870" spans="1:5" hidden="1" x14ac:dyDescent="0.3">
      <c r="A1870">
        <v>36</v>
      </c>
      <c r="B1870">
        <v>280000</v>
      </c>
      <c r="C1870" t="s">
        <v>46</v>
      </c>
      <c r="D1870" t="s">
        <v>26</v>
      </c>
      <c r="E1870">
        <v>0.494946</v>
      </c>
    </row>
    <row r="1871" spans="1:5" hidden="1" x14ac:dyDescent="0.3">
      <c r="A1871">
        <v>37</v>
      </c>
      <c r="B1871">
        <v>285000</v>
      </c>
      <c r="C1871" t="s">
        <v>45</v>
      </c>
      <c r="D1871" t="s">
        <v>6</v>
      </c>
      <c r="E1871">
        <v>0.22839000000000001</v>
      </c>
    </row>
    <row r="1872" spans="1:5" hidden="1" x14ac:dyDescent="0.3">
      <c r="A1872">
        <v>37</v>
      </c>
      <c r="B1872">
        <v>285000</v>
      </c>
      <c r="C1872" t="s">
        <v>45</v>
      </c>
      <c r="D1872" t="s">
        <v>7</v>
      </c>
      <c r="E1872">
        <v>52999.998273999998</v>
      </c>
    </row>
    <row r="1873" spans="1:5" hidden="1" x14ac:dyDescent="0.3">
      <c r="A1873">
        <v>37</v>
      </c>
      <c r="B1873">
        <v>285000</v>
      </c>
      <c r="C1873" t="s">
        <v>45</v>
      </c>
      <c r="D1873" t="s">
        <v>8</v>
      </c>
      <c r="E1873">
        <v>0.54885899999999999</v>
      </c>
    </row>
    <row r="1874" spans="1:5" hidden="1" x14ac:dyDescent="0.3">
      <c r="A1874">
        <v>37</v>
      </c>
      <c r="B1874">
        <v>285000</v>
      </c>
      <c r="C1874" t="s">
        <v>45</v>
      </c>
      <c r="D1874" t="s">
        <v>9</v>
      </c>
      <c r="E1874">
        <v>36194.345610999997</v>
      </c>
    </row>
    <row r="1875" spans="1:5" hidden="1" x14ac:dyDescent="0.3">
      <c r="A1875">
        <v>37</v>
      </c>
      <c r="B1875">
        <v>285000</v>
      </c>
      <c r="C1875" t="s">
        <v>45</v>
      </c>
      <c r="D1875" t="s">
        <v>10</v>
      </c>
      <c r="E1875">
        <v>0.45624599999999998</v>
      </c>
    </row>
    <row r="1876" spans="1:5" hidden="1" x14ac:dyDescent="0.3">
      <c r="A1876">
        <v>37</v>
      </c>
      <c r="B1876">
        <v>285000</v>
      </c>
      <c r="C1876" t="s">
        <v>45</v>
      </c>
      <c r="D1876" t="s">
        <v>11</v>
      </c>
      <c r="E1876">
        <v>34138.888014999997</v>
      </c>
    </row>
    <row r="1877" spans="1:5" hidden="1" x14ac:dyDescent="0.3">
      <c r="A1877">
        <v>37</v>
      </c>
      <c r="B1877">
        <v>285000</v>
      </c>
      <c r="C1877" t="s">
        <v>45</v>
      </c>
      <c r="D1877" t="s">
        <v>12</v>
      </c>
      <c r="E1877">
        <v>44388.891402000001</v>
      </c>
    </row>
    <row r="1878" spans="1:5" hidden="1" x14ac:dyDescent="0.3">
      <c r="A1878">
        <v>37</v>
      </c>
      <c r="B1878">
        <v>285000</v>
      </c>
      <c r="C1878" t="s">
        <v>45</v>
      </c>
      <c r="D1878" t="s">
        <v>13</v>
      </c>
      <c r="E1878">
        <v>35431.345769</v>
      </c>
    </row>
    <row r="1879" spans="1:5" hidden="1" x14ac:dyDescent="0.3">
      <c r="A1879">
        <v>37</v>
      </c>
      <c r="B1879">
        <v>285000</v>
      </c>
      <c r="C1879" t="s">
        <v>45</v>
      </c>
      <c r="D1879" t="s">
        <v>14</v>
      </c>
      <c r="E1879">
        <v>12472.222111999999</v>
      </c>
    </row>
    <row r="1880" spans="1:5" hidden="1" x14ac:dyDescent="0.3">
      <c r="A1880">
        <v>37</v>
      </c>
      <c r="B1880">
        <v>285000</v>
      </c>
      <c r="C1880" t="s">
        <v>45</v>
      </c>
      <c r="D1880" t="s">
        <v>15</v>
      </c>
      <c r="E1880">
        <v>0.25592599999999999</v>
      </c>
    </row>
    <row r="1881" spans="1:5" hidden="1" x14ac:dyDescent="0.3">
      <c r="A1881">
        <v>37</v>
      </c>
      <c r="B1881">
        <v>285000</v>
      </c>
      <c r="C1881" t="s">
        <v>45</v>
      </c>
      <c r="D1881" t="s">
        <v>16</v>
      </c>
      <c r="E1881">
        <v>40333.001747000002</v>
      </c>
    </row>
    <row r="1882" spans="1:5" hidden="1" x14ac:dyDescent="0.3">
      <c r="A1882">
        <v>37</v>
      </c>
      <c r="B1882">
        <v>285000</v>
      </c>
      <c r="C1882" t="s">
        <v>45</v>
      </c>
      <c r="D1882" t="s">
        <v>17</v>
      </c>
      <c r="E1882">
        <v>0.24456900000000001</v>
      </c>
    </row>
    <row r="1883" spans="1:5" hidden="1" x14ac:dyDescent="0.3">
      <c r="A1883">
        <v>37</v>
      </c>
      <c r="B1883">
        <v>285000</v>
      </c>
      <c r="C1883" t="s">
        <v>45</v>
      </c>
      <c r="D1883" t="s">
        <v>18</v>
      </c>
      <c r="E1883">
        <v>88.832555999999997</v>
      </c>
    </row>
    <row r="1884" spans="1:5" hidden="1" x14ac:dyDescent="0.3">
      <c r="A1884">
        <v>37</v>
      </c>
      <c r="B1884">
        <v>285000</v>
      </c>
      <c r="C1884" t="s">
        <v>45</v>
      </c>
      <c r="D1884" t="s">
        <v>19</v>
      </c>
      <c r="E1884">
        <v>8833.3347439999998</v>
      </c>
    </row>
    <row r="1885" spans="1:5" hidden="1" x14ac:dyDescent="0.3">
      <c r="A1885">
        <v>37</v>
      </c>
      <c r="B1885">
        <v>285000</v>
      </c>
      <c r="C1885" t="s">
        <v>45</v>
      </c>
      <c r="D1885" t="s">
        <v>20</v>
      </c>
      <c r="E1885">
        <v>15166.668745000001</v>
      </c>
    </row>
    <row r="1886" spans="1:5" hidden="1" x14ac:dyDescent="0.3">
      <c r="A1886">
        <v>37</v>
      </c>
      <c r="B1886">
        <v>285000</v>
      </c>
      <c r="C1886" t="s">
        <v>45</v>
      </c>
      <c r="D1886" t="s">
        <v>21</v>
      </c>
      <c r="E1886">
        <v>0.108276</v>
      </c>
    </row>
    <row r="1887" spans="1:5" hidden="1" x14ac:dyDescent="0.3">
      <c r="A1887">
        <v>37</v>
      </c>
      <c r="B1887">
        <v>285000</v>
      </c>
      <c r="C1887" t="s">
        <v>45</v>
      </c>
      <c r="D1887" t="s">
        <v>22</v>
      </c>
      <c r="E1887">
        <v>504.14779199999998</v>
      </c>
    </row>
    <row r="1888" spans="1:5" hidden="1" x14ac:dyDescent="0.3">
      <c r="A1888">
        <v>37</v>
      </c>
      <c r="B1888">
        <v>285000</v>
      </c>
      <c r="C1888" t="s">
        <v>45</v>
      </c>
      <c r="D1888" t="s">
        <v>23</v>
      </c>
      <c r="E1888">
        <v>4444.4471830000002</v>
      </c>
    </row>
    <row r="1889" spans="1:5" hidden="1" x14ac:dyDescent="0.3">
      <c r="A1889">
        <v>37</v>
      </c>
      <c r="B1889">
        <v>285000</v>
      </c>
      <c r="C1889" t="s">
        <v>45</v>
      </c>
      <c r="D1889" t="s">
        <v>24</v>
      </c>
      <c r="E1889">
        <v>0.27038200000000001</v>
      </c>
    </row>
    <row r="1890" spans="1:5" hidden="1" x14ac:dyDescent="0.3">
      <c r="A1890">
        <v>37</v>
      </c>
      <c r="B1890">
        <v>285000</v>
      </c>
      <c r="C1890" t="s">
        <v>45</v>
      </c>
      <c r="D1890" t="s">
        <v>25</v>
      </c>
      <c r="E1890">
        <v>1.695827</v>
      </c>
    </row>
    <row r="1891" spans="1:5" hidden="1" x14ac:dyDescent="0.3">
      <c r="A1891">
        <v>37</v>
      </c>
      <c r="B1891">
        <v>285000</v>
      </c>
      <c r="C1891" t="s">
        <v>46</v>
      </c>
      <c r="D1891" t="s">
        <v>26</v>
      </c>
      <c r="E1891">
        <v>0.144508</v>
      </c>
    </row>
    <row r="1892" spans="1:5" x14ac:dyDescent="0.3">
      <c r="A1892">
        <v>37</v>
      </c>
      <c r="B1892">
        <v>285000</v>
      </c>
      <c r="C1892" t="s">
        <v>46</v>
      </c>
      <c r="D1892" t="s">
        <v>6</v>
      </c>
      <c r="E1892">
        <v>54.990890999999998</v>
      </c>
    </row>
    <row r="1893" spans="1:5" hidden="1" x14ac:dyDescent="0.3">
      <c r="A1893">
        <v>37</v>
      </c>
      <c r="B1893">
        <v>285000</v>
      </c>
      <c r="C1893" t="s">
        <v>46</v>
      </c>
      <c r="D1893" t="s">
        <v>7</v>
      </c>
      <c r="E1893">
        <v>36555.560104999997</v>
      </c>
    </row>
    <row r="1894" spans="1:5" hidden="1" x14ac:dyDescent="0.3">
      <c r="A1894">
        <v>37</v>
      </c>
      <c r="B1894">
        <v>285000</v>
      </c>
      <c r="C1894" t="s">
        <v>46</v>
      </c>
      <c r="D1894" t="s">
        <v>8</v>
      </c>
      <c r="E1894">
        <v>194.44862499999999</v>
      </c>
    </row>
    <row r="1895" spans="1:5" hidden="1" x14ac:dyDescent="0.3">
      <c r="A1895">
        <v>37</v>
      </c>
      <c r="B1895">
        <v>285000</v>
      </c>
      <c r="C1895" t="s">
        <v>46</v>
      </c>
      <c r="D1895" t="s">
        <v>9</v>
      </c>
      <c r="E1895">
        <v>34138.486920000003</v>
      </c>
    </row>
    <row r="1896" spans="1:5" hidden="1" x14ac:dyDescent="0.3">
      <c r="A1896">
        <v>37</v>
      </c>
      <c r="B1896">
        <v>285000</v>
      </c>
      <c r="C1896" t="s">
        <v>46</v>
      </c>
      <c r="D1896" t="s">
        <v>10</v>
      </c>
      <c r="E1896">
        <v>77244.493912999998</v>
      </c>
    </row>
    <row r="1897" spans="1:5" hidden="1" x14ac:dyDescent="0.3">
      <c r="A1897">
        <v>37</v>
      </c>
      <c r="B1897">
        <v>285000</v>
      </c>
      <c r="C1897" t="s">
        <v>46</v>
      </c>
      <c r="D1897" t="s">
        <v>11</v>
      </c>
      <c r="E1897">
        <v>28361.115307</v>
      </c>
    </row>
    <row r="1898" spans="1:5" hidden="1" x14ac:dyDescent="0.3">
      <c r="A1898">
        <v>37</v>
      </c>
      <c r="B1898">
        <v>285000</v>
      </c>
      <c r="C1898" t="s">
        <v>46</v>
      </c>
      <c r="D1898" t="s">
        <v>12</v>
      </c>
      <c r="E1898">
        <v>12555.559732</v>
      </c>
    </row>
    <row r="1899" spans="1:5" hidden="1" x14ac:dyDescent="0.3">
      <c r="A1899">
        <v>37</v>
      </c>
      <c r="B1899">
        <v>285000</v>
      </c>
      <c r="C1899" t="s">
        <v>46</v>
      </c>
      <c r="D1899" t="s">
        <v>13</v>
      </c>
      <c r="E1899">
        <v>14172.548930999999</v>
      </c>
    </row>
    <row r="1900" spans="1:5" hidden="1" x14ac:dyDescent="0.3">
      <c r="A1900">
        <v>37</v>
      </c>
      <c r="B1900">
        <v>285000</v>
      </c>
      <c r="C1900" t="s">
        <v>46</v>
      </c>
      <c r="D1900" t="s">
        <v>14</v>
      </c>
      <c r="E1900">
        <v>6388.893352</v>
      </c>
    </row>
    <row r="1901" spans="1:5" hidden="1" x14ac:dyDescent="0.3">
      <c r="A1901">
        <v>37</v>
      </c>
      <c r="B1901">
        <v>285000</v>
      </c>
      <c r="C1901" t="s">
        <v>46</v>
      </c>
      <c r="D1901" t="s">
        <v>15</v>
      </c>
      <c r="E1901">
        <v>5.1070039999999999</v>
      </c>
    </row>
    <row r="1902" spans="1:5" hidden="1" x14ac:dyDescent="0.3">
      <c r="A1902">
        <v>37</v>
      </c>
      <c r="B1902">
        <v>285000</v>
      </c>
      <c r="C1902" t="s">
        <v>46</v>
      </c>
      <c r="D1902" t="s">
        <v>16</v>
      </c>
      <c r="E1902">
        <v>31515.366496999999</v>
      </c>
    </row>
    <row r="1903" spans="1:5" hidden="1" x14ac:dyDescent="0.3">
      <c r="A1903">
        <v>37</v>
      </c>
      <c r="B1903">
        <v>285000</v>
      </c>
      <c r="C1903" t="s">
        <v>46</v>
      </c>
      <c r="D1903" t="s">
        <v>17</v>
      </c>
      <c r="E1903">
        <v>55.552844</v>
      </c>
    </row>
    <row r="1904" spans="1:5" hidden="1" x14ac:dyDescent="0.3">
      <c r="A1904">
        <v>37</v>
      </c>
      <c r="B1904">
        <v>285000</v>
      </c>
      <c r="C1904" t="s">
        <v>46</v>
      </c>
      <c r="D1904" t="s">
        <v>18</v>
      </c>
      <c r="E1904">
        <v>44.421616</v>
      </c>
    </row>
    <row r="1905" spans="1:5" hidden="1" x14ac:dyDescent="0.3">
      <c r="A1905">
        <v>37</v>
      </c>
      <c r="B1905">
        <v>285000</v>
      </c>
      <c r="C1905" t="s">
        <v>46</v>
      </c>
      <c r="D1905" t="s">
        <v>19</v>
      </c>
      <c r="E1905">
        <v>4222.2268919999997</v>
      </c>
    </row>
    <row r="1906" spans="1:5" hidden="1" x14ac:dyDescent="0.3">
      <c r="A1906">
        <v>37</v>
      </c>
      <c r="B1906">
        <v>285000</v>
      </c>
      <c r="C1906" t="s">
        <v>46</v>
      </c>
      <c r="D1906" t="s">
        <v>20</v>
      </c>
      <c r="E1906">
        <v>6055.5602680000002</v>
      </c>
    </row>
    <row r="1907" spans="1:5" hidden="1" x14ac:dyDescent="0.3">
      <c r="A1907">
        <v>37</v>
      </c>
      <c r="B1907">
        <v>285000</v>
      </c>
      <c r="C1907" t="s">
        <v>46</v>
      </c>
      <c r="D1907" t="s">
        <v>21</v>
      </c>
      <c r="E1907">
        <v>0.252133</v>
      </c>
    </row>
    <row r="1908" spans="1:5" hidden="1" x14ac:dyDescent="0.3">
      <c r="A1908">
        <v>37</v>
      </c>
      <c r="B1908">
        <v>285000</v>
      </c>
      <c r="C1908" t="s">
        <v>46</v>
      </c>
      <c r="D1908" t="s">
        <v>22</v>
      </c>
      <c r="E1908">
        <v>268.88259099999999</v>
      </c>
    </row>
    <row r="1909" spans="1:5" hidden="1" x14ac:dyDescent="0.3">
      <c r="A1909">
        <v>37</v>
      </c>
      <c r="B1909">
        <v>285000</v>
      </c>
      <c r="C1909" t="s">
        <v>46</v>
      </c>
      <c r="D1909" t="s">
        <v>23</v>
      </c>
      <c r="E1909">
        <v>1722.2271929999999</v>
      </c>
    </row>
    <row r="1910" spans="1:5" hidden="1" x14ac:dyDescent="0.3">
      <c r="A1910">
        <v>37</v>
      </c>
      <c r="B1910">
        <v>285000</v>
      </c>
      <c r="C1910" t="s">
        <v>46</v>
      </c>
      <c r="D1910" t="s">
        <v>24</v>
      </c>
      <c r="E1910">
        <v>29943.983949000001</v>
      </c>
    </row>
    <row r="1911" spans="1:5" hidden="1" x14ac:dyDescent="0.3">
      <c r="A1911">
        <v>37</v>
      </c>
      <c r="B1911">
        <v>285000</v>
      </c>
      <c r="C1911" t="s">
        <v>46</v>
      </c>
      <c r="D1911" t="s">
        <v>25</v>
      </c>
      <c r="E1911">
        <v>1500.0044270000001</v>
      </c>
    </row>
    <row r="1912" spans="1:5" hidden="1" x14ac:dyDescent="0.3">
      <c r="A1912">
        <v>37</v>
      </c>
      <c r="B1912">
        <v>285000</v>
      </c>
      <c r="C1912" t="s">
        <v>46</v>
      </c>
      <c r="D1912" t="s">
        <v>26</v>
      </c>
      <c r="E1912">
        <v>0.43184099999999997</v>
      </c>
    </row>
    <row r="1913" spans="1:5" hidden="1" x14ac:dyDescent="0.3">
      <c r="A1913">
        <v>38</v>
      </c>
      <c r="B1913">
        <v>290000</v>
      </c>
      <c r="C1913" t="s">
        <v>45</v>
      </c>
      <c r="D1913" t="s">
        <v>6</v>
      </c>
      <c r="E1913">
        <v>0.37628400000000001</v>
      </c>
    </row>
    <row r="1914" spans="1:5" hidden="1" x14ac:dyDescent="0.3">
      <c r="A1914">
        <v>38</v>
      </c>
      <c r="B1914">
        <v>290000</v>
      </c>
      <c r="C1914" t="s">
        <v>45</v>
      </c>
      <c r="D1914" t="s">
        <v>7</v>
      </c>
      <c r="E1914">
        <v>52999.944302999997</v>
      </c>
    </row>
    <row r="1915" spans="1:5" hidden="1" x14ac:dyDescent="0.3">
      <c r="A1915">
        <v>38</v>
      </c>
      <c r="B1915">
        <v>290000</v>
      </c>
      <c r="C1915" t="s">
        <v>45</v>
      </c>
      <c r="D1915" t="s">
        <v>8</v>
      </c>
      <c r="E1915">
        <v>0.40855599999999997</v>
      </c>
    </row>
    <row r="1916" spans="1:5" hidden="1" x14ac:dyDescent="0.3">
      <c r="A1916">
        <v>38</v>
      </c>
      <c r="B1916">
        <v>290000</v>
      </c>
      <c r="C1916" t="s">
        <v>45</v>
      </c>
      <c r="D1916" t="s">
        <v>9</v>
      </c>
      <c r="E1916">
        <v>41195.708959000003</v>
      </c>
    </row>
    <row r="1917" spans="1:5" hidden="1" x14ac:dyDescent="0.3">
      <c r="A1917">
        <v>38</v>
      </c>
      <c r="B1917">
        <v>290000</v>
      </c>
      <c r="C1917" t="s">
        <v>45</v>
      </c>
      <c r="D1917" t="s">
        <v>10</v>
      </c>
      <c r="E1917">
        <v>0.28640399999999999</v>
      </c>
    </row>
    <row r="1918" spans="1:5" hidden="1" x14ac:dyDescent="0.3">
      <c r="A1918">
        <v>38</v>
      </c>
      <c r="B1918">
        <v>290000</v>
      </c>
      <c r="C1918" t="s">
        <v>45</v>
      </c>
      <c r="D1918" t="s">
        <v>11</v>
      </c>
      <c r="E1918">
        <v>34138.887339000001</v>
      </c>
    </row>
    <row r="1919" spans="1:5" hidden="1" x14ac:dyDescent="0.3">
      <c r="A1919">
        <v>38</v>
      </c>
      <c r="B1919">
        <v>290000</v>
      </c>
      <c r="C1919" t="s">
        <v>45</v>
      </c>
      <c r="D1919" t="s">
        <v>12</v>
      </c>
      <c r="E1919">
        <v>44388.825553000002</v>
      </c>
    </row>
    <row r="1920" spans="1:5" hidden="1" x14ac:dyDescent="0.3">
      <c r="A1920">
        <v>38</v>
      </c>
      <c r="B1920">
        <v>290000</v>
      </c>
      <c r="C1920" t="s">
        <v>45</v>
      </c>
      <c r="D1920" t="s">
        <v>13</v>
      </c>
      <c r="E1920">
        <v>35431.34489</v>
      </c>
    </row>
    <row r="1921" spans="1:5" hidden="1" x14ac:dyDescent="0.3">
      <c r="A1921">
        <v>38</v>
      </c>
      <c r="B1921">
        <v>290000</v>
      </c>
      <c r="C1921" t="s">
        <v>45</v>
      </c>
      <c r="D1921" t="s">
        <v>14</v>
      </c>
      <c r="E1921">
        <v>12472.221944000001</v>
      </c>
    </row>
    <row r="1922" spans="1:5" hidden="1" x14ac:dyDescent="0.3">
      <c r="A1922">
        <v>38</v>
      </c>
      <c r="B1922">
        <v>290000</v>
      </c>
      <c r="C1922" t="s">
        <v>45</v>
      </c>
      <c r="D1922" t="s">
        <v>15</v>
      </c>
      <c r="E1922">
        <v>0.167848</v>
      </c>
    </row>
    <row r="1923" spans="1:5" hidden="1" x14ac:dyDescent="0.3">
      <c r="A1923">
        <v>38</v>
      </c>
      <c r="B1923">
        <v>290000</v>
      </c>
      <c r="C1923" t="s">
        <v>45</v>
      </c>
      <c r="D1923" t="s">
        <v>16</v>
      </c>
      <c r="E1923">
        <v>40332.997689999997</v>
      </c>
    </row>
    <row r="1924" spans="1:5" hidden="1" x14ac:dyDescent="0.3">
      <c r="A1924">
        <v>38</v>
      </c>
      <c r="B1924">
        <v>290000</v>
      </c>
      <c r="C1924" t="s">
        <v>45</v>
      </c>
      <c r="D1924" t="s">
        <v>17</v>
      </c>
      <c r="E1924">
        <v>0.192993</v>
      </c>
    </row>
    <row r="1925" spans="1:5" hidden="1" x14ac:dyDescent="0.3">
      <c r="A1925">
        <v>38</v>
      </c>
      <c r="B1925">
        <v>290000</v>
      </c>
      <c r="C1925" t="s">
        <v>45</v>
      </c>
      <c r="D1925" t="s">
        <v>18</v>
      </c>
      <c r="E1925">
        <v>88.830646000000002</v>
      </c>
    </row>
    <row r="1926" spans="1:5" hidden="1" x14ac:dyDescent="0.3">
      <c r="A1926">
        <v>38</v>
      </c>
      <c r="B1926">
        <v>290000</v>
      </c>
      <c r="C1926" t="s">
        <v>45</v>
      </c>
      <c r="D1926" t="s">
        <v>19</v>
      </c>
      <c r="E1926">
        <v>8833.3337960000008</v>
      </c>
    </row>
    <row r="1927" spans="1:5" hidden="1" x14ac:dyDescent="0.3">
      <c r="A1927">
        <v>38</v>
      </c>
      <c r="B1927">
        <v>290000</v>
      </c>
      <c r="C1927" t="s">
        <v>45</v>
      </c>
      <c r="D1927" t="s">
        <v>20</v>
      </c>
      <c r="E1927">
        <v>15166.667613</v>
      </c>
    </row>
    <row r="1928" spans="1:5" hidden="1" x14ac:dyDescent="0.3">
      <c r="A1928">
        <v>38</v>
      </c>
      <c r="B1928">
        <v>290000</v>
      </c>
      <c r="C1928" t="s">
        <v>45</v>
      </c>
      <c r="D1928" t="s">
        <v>21</v>
      </c>
      <c r="E1928">
        <v>6.0544000000000001E-2</v>
      </c>
    </row>
    <row r="1929" spans="1:5" hidden="1" x14ac:dyDescent="0.3">
      <c r="A1929">
        <v>38</v>
      </c>
      <c r="B1929">
        <v>290000</v>
      </c>
      <c r="C1929" t="s">
        <v>45</v>
      </c>
      <c r="D1929" t="s">
        <v>22</v>
      </c>
      <c r="E1929">
        <v>504.14602600000001</v>
      </c>
    </row>
    <row r="1930" spans="1:5" hidden="1" x14ac:dyDescent="0.3">
      <c r="A1930">
        <v>38</v>
      </c>
      <c r="B1930">
        <v>290000</v>
      </c>
      <c r="C1930" t="s">
        <v>45</v>
      </c>
      <c r="D1930" t="s">
        <v>23</v>
      </c>
      <c r="E1930">
        <v>4444.4457689999999</v>
      </c>
    </row>
    <row r="1931" spans="1:5" hidden="1" x14ac:dyDescent="0.3">
      <c r="A1931">
        <v>38</v>
      </c>
      <c r="B1931">
        <v>290000</v>
      </c>
      <c r="C1931" t="s">
        <v>45</v>
      </c>
      <c r="D1931" t="s">
        <v>24</v>
      </c>
      <c r="E1931">
        <v>0.177672</v>
      </c>
    </row>
    <row r="1932" spans="1:5" hidden="1" x14ac:dyDescent="0.3">
      <c r="A1932">
        <v>38</v>
      </c>
      <c r="B1932">
        <v>290000</v>
      </c>
      <c r="C1932" t="s">
        <v>45</v>
      </c>
      <c r="D1932" t="s">
        <v>25</v>
      </c>
      <c r="E1932">
        <v>0.92080200000000001</v>
      </c>
    </row>
    <row r="1933" spans="1:5" hidden="1" x14ac:dyDescent="0.3">
      <c r="A1933">
        <v>38</v>
      </c>
      <c r="B1933">
        <v>290000</v>
      </c>
      <c r="C1933" t="s">
        <v>46</v>
      </c>
      <c r="D1933" t="s">
        <v>26</v>
      </c>
      <c r="E1933">
        <v>9.5184000000000005E-2</v>
      </c>
    </row>
    <row r="1934" spans="1:5" x14ac:dyDescent="0.3">
      <c r="A1934">
        <v>38</v>
      </c>
      <c r="B1934">
        <v>290000</v>
      </c>
      <c r="C1934" t="s">
        <v>46</v>
      </c>
      <c r="D1934" t="s">
        <v>6</v>
      </c>
      <c r="E1934">
        <v>54.986761999999999</v>
      </c>
    </row>
    <row r="1935" spans="1:5" hidden="1" x14ac:dyDescent="0.3">
      <c r="A1935">
        <v>38</v>
      </c>
      <c r="B1935">
        <v>290000</v>
      </c>
      <c r="C1935" t="s">
        <v>46</v>
      </c>
      <c r="D1935" t="s">
        <v>7</v>
      </c>
      <c r="E1935">
        <v>36555.556346999998</v>
      </c>
    </row>
    <row r="1936" spans="1:5" hidden="1" x14ac:dyDescent="0.3">
      <c r="A1936">
        <v>38</v>
      </c>
      <c r="B1936">
        <v>290000</v>
      </c>
      <c r="C1936" t="s">
        <v>46</v>
      </c>
      <c r="D1936" t="s">
        <v>8</v>
      </c>
      <c r="E1936">
        <v>194.444941</v>
      </c>
    </row>
    <row r="1937" spans="1:5" hidden="1" x14ac:dyDescent="0.3">
      <c r="A1937">
        <v>38</v>
      </c>
      <c r="B1937">
        <v>290000</v>
      </c>
      <c r="C1937" t="s">
        <v>46</v>
      </c>
      <c r="D1937" t="s">
        <v>9</v>
      </c>
      <c r="E1937">
        <v>34138.484047999998</v>
      </c>
    </row>
    <row r="1938" spans="1:5" hidden="1" x14ac:dyDescent="0.3">
      <c r="A1938">
        <v>38</v>
      </c>
      <c r="B1938">
        <v>290000</v>
      </c>
      <c r="C1938" t="s">
        <v>46</v>
      </c>
      <c r="D1938" t="s">
        <v>10</v>
      </c>
      <c r="E1938">
        <v>77249.987901999993</v>
      </c>
    </row>
    <row r="1939" spans="1:5" hidden="1" x14ac:dyDescent="0.3">
      <c r="A1939">
        <v>38</v>
      </c>
      <c r="B1939">
        <v>290000</v>
      </c>
      <c r="C1939" t="s">
        <v>46</v>
      </c>
      <c r="D1939" t="s">
        <v>11</v>
      </c>
      <c r="E1939">
        <v>28361.111869</v>
      </c>
    </row>
    <row r="1940" spans="1:5" hidden="1" x14ac:dyDescent="0.3">
      <c r="A1940">
        <v>38</v>
      </c>
      <c r="B1940">
        <v>290000</v>
      </c>
      <c r="C1940" t="s">
        <v>46</v>
      </c>
      <c r="D1940" t="s">
        <v>12</v>
      </c>
      <c r="E1940">
        <v>12555.556307000001</v>
      </c>
    </row>
    <row r="1941" spans="1:5" hidden="1" x14ac:dyDescent="0.3">
      <c r="A1941">
        <v>38</v>
      </c>
      <c r="B1941">
        <v>290000</v>
      </c>
      <c r="C1941" t="s">
        <v>46</v>
      </c>
      <c r="D1941" t="s">
        <v>13</v>
      </c>
      <c r="E1941">
        <v>14172.545233999999</v>
      </c>
    </row>
    <row r="1942" spans="1:5" hidden="1" x14ac:dyDescent="0.3">
      <c r="A1942">
        <v>38</v>
      </c>
      <c r="B1942">
        <v>290000</v>
      </c>
      <c r="C1942" t="s">
        <v>46</v>
      </c>
      <c r="D1942" t="s">
        <v>14</v>
      </c>
      <c r="E1942">
        <v>6388.8896590000004</v>
      </c>
    </row>
    <row r="1943" spans="1:5" hidden="1" x14ac:dyDescent="0.3">
      <c r="A1943">
        <v>38</v>
      </c>
      <c r="B1943">
        <v>290000</v>
      </c>
      <c r="C1943" t="s">
        <v>46</v>
      </c>
      <c r="D1943" t="s">
        <v>15</v>
      </c>
      <c r="E1943">
        <v>2833.0487280000002</v>
      </c>
    </row>
    <row r="1944" spans="1:5" hidden="1" x14ac:dyDescent="0.3">
      <c r="A1944">
        <v>38</v>
      </c>
      <c r="B1944">
        <v>290000</v>
      </c>
      <c r="C1944" t="s">
        <v>46</v>
      </c>
      <c r="D1944" t="s">
        <v>16</v>
      </c>
      <c r="E1944">
        <v>31515.361905999998</v>
      </c>
    </row>
    <row r="1945" spans="1:5" hidden="1" x14ac:dyDescent="0.3">
      <c r="A1945">
        <v>38</v>
      </c>
      <c r="B1945">
        <v>290000</v>
      </c>
      <c r="C1945" t="s">
        <v>46</v>
      </c>
      <c r="D1945" t="s">
        <v>17</v>
      </c>
      <c r="E1945">
        <v>55.533835000000003</v>
      </c>
    </row>
    <row r="1946" spans="1:5" hidden="1" x14ac:dyDescent="0.3">
      <c r="A1946">
        <v>38</v>
      </c>
      <c r="B1946">
        <v>290000</v>
      </c>
      <c r="C1946" t="s">
        <v>46</v>
      </c>
      <c r="D1946" t="s">
        <v>18</v>
      </c>
      <c r="E1946">
        <v>44.417394000000002</v>
      </c>
    </row>
    <row r="1947" spans="1:5" hidden="1" x14ac:dyDescent="0.3">
      <c r="A1947">
        <v>38</v>
      </c>
      <c r="B1947">
        <v>290000</v>
      </c>
      <c r="C1947" t="s">
        <v>46</v>
      </c>
      <c r="D1947" t="s">
        <v>19</v>
      </c>
      <c r="E1947">
        <v>4222.2230179999997</v>
      </c>
    </row>
    <row r="1948" spans="1:5" hidden="1" x14ac:dyDescent="0.3">
      <c r="A1948">
        <v>38</v>
      </c>
      <c r="B1948">
        <v>290000</v>
      </c>
      <c r="C1948" t="s">
        <v>46</v>
      </c>
      <c r="D1948" t="s">
        <v>20</v>
      </c>
      <c r="E1948">
        <v>6055.5563679999996</v>
      </c>
    </row>
    <row r="1949" spans="1:5" hidden="1" x14ac:dyDescent="0.3">
      <c r="A1949">
        <v>38</v>
      </c>
      <c r="B1949">
        <v>290000</v>
      </c>
      <c r="C1949" t="s">
        <v>46</v>
      </c>
      <c r="D1949" t="s">
        <v>21</v>
      </c>
      <c r="E1949">
        <v>6.5554000000000001E-2</v>
      </c>
    </row>
    <row r="1950" spans="1:5" hidden="1" x14ac:dyDescent="0.3">
      <c r="A1950">
        <v>38</v>
      </c>
      <c r="B1950">
        <v>290000</v>
      </c>
      <c r="C1950" t="s">
        <v>46</v>
      </c>
      <c r="D1950" t="s">
        <v>22</v>
      </c>
      <c r="E1950">
        <v>268.87853899999999</v>
      </c>
    </row>
    <row r="1951" spans="1:5" hidden="1" x14ac:dyDescent="0.3">
      <c r="A1951">
        <v>38</v>
      </c>
      <c r="B1951">
        <v>290000</v>
      </c>
      <c r="C1951" t="s">
        <v>46</v>
      </c>
      <c r="D1951" t="s">
        <v>23</v>
      </c>
      <c r="E1951">
        <v>1722.22307</v>
      </c>
    </row>
    <row r="1952" spans="1:5" hidden="1" x14ac:dyDescent="0.3">
      <c r="A1952">
        <v>38</v>
      </c>
      <c r="B1952">
        <v>290000</v>
      </c>
      <c r="C1952" t="s">
        <v>46</v>
      </c>
      <c r="D1952" t="s">
        <v>24</v>
      </c>
      <c r="E1952">
        <v>32111.038177999999</v>
      </c>
    </row>
    <row r="1953" spans="1:5" hidden="1" x14ac:dyDescent="0.3">
      <c r="A1953">
        <v>38</v>
      </c>
      <c r="B1953">
        <v>290000</v>
      </c>
      <c r="C1953" t="s">
        <v>46</v>
      </c>
      <c r="D1953" t="s">
        <v>25</v>
      </c>
      <c r="E1953">
        <v>1500.000716</v>
      </c>
    </row>
    <row r="1954" spans="1:5" hidden="1" x14ac:dyDescent="0.3">
      <c r="A1954">
        <v>38</v>
      </c>
      <c r="B1954">
        <v>290000</v>
      </c>
      <c r="C1954" t="s">
        <v>46</v>
      </c>
      <c r="D1954" t="s">
        <v>26</v>
      </c>
      <c r="E1954">
        <v>0.110124</v>
      </c>
    </row>
    <row r="1955" spans="1:5" hidden="1" x14ac:dyDescent="0.3">
      <c r="A1955">
        <v>39</v>
      </c>
      <c r="B1955">
        <v>295000</v>
      </c>
      <c r="C1955" t="s">
        <v>45</v>
      </c>
      <c r="D1955" t="s">
        <v>6</v>
      </c>
      <c r="E1955">
        <v>0.34114</v>
      </c>
    </row>
    <row r="1956" spans="1:5" hidden="1" x14ac:dyDescent="0.3">
      <c r="A1956">
        <v>39</v>
      </c>
      <c r="B1956">
        <v>295000</v>
      </c>
      <c r="C1956" t="s">
        <v>45</v>
      </c>
      <c r="D1956" t="s">
        <v>7</v>
      </c>
      <c r="E1956">
        <v>52999.926003</v>
      </c>
    </row>
    <row r="1957" spans="1:5" hidden="1" x14ac:dyDescent="0.3">
      <c r="A1957">
        <v>39</v>
      </c>
      <c r="B1957">
        <v>295000</v>
      </c>
      <c r="C1957" t="s">
        <v>45</v>
      </c>
      <c r="D1957" t="s">
        <v>8</v>
      </c>
      <c r="E1957">
        <v>0.821044</v>
      </c>
    </row>
    <row r="1958" spans="1:5" hidden="1" x14ac:dyDescent="0.3">
      <c r="A1958">
        <v>39</v>
      </c>
      <c r="B1958">
        <v>295000</v>
      </c>
      <c r="C1958" t="s">
        <v>45</v>
      </c>
      <c r="D1958" t="s">
        <v>9</v>
      </c>
      <c r="E1958">
        <v>46192.941531999997</v>
      </c>
    </row>
    <row r="1959" spans="1:5" hidden="1" x14ac:dyDescent="0.3">
      <c r="A1959">
        <v>39</v>
      </c>
      <c r="B1959">
        <v>295000</v>
      </c>
      <c r="C1959" t="s">
        <v>45</v>
      </c>
      <c r="D1959" t="s">
        <v>10</v>
      </c>
      <c r="E1959">
        <v>0.65652500000000003</v>
      </c>
    </row>
    <row r="1960" spans="1:5" hidden="1" x14ac:dyDescent="0.3">
      <c r="A1960">
        <v>39</v>
      </c>
      <c r="B1960">
        <v>295000</v>
      </c>
      <c r="C1960" t="s">
        <v>45</v>
      </c>
      <c r="D1960" t="s">
        <v>11</v>
      </c>
      <c r="E1960">
        <v>34138.879717999997</v>
      </c>
    </row>
    <row r="1961" spans="1:5" hidden="1" x14ac:dyDescent="0.3">
      <c r="A1961">
        <v>39</v>
      </c>
      <c r="B1961">
        <v>295000</v>
      </c>
      <c r="C1961" t="s">
        <v>45</v>
      </c>
      <c r="D1961" t="s">
        <v>12</v>
      </c>
      <c r="E1961">
        <v>44388.753167000003</v>
      </c>
    </row>
    <row r="1962" spans="1:5" hidden="1" x14ac:dyDescent="0.3">
      <c r="A1962">
        <v>39</v>
      </c>
      <c r="B1962">
        <v>295000</v>
      </c>
      <c r="C1962" t="s">
        <v>45</v>
      </c>
      <c r="D1962" t="s">
        <v>13</v>
      </c>
      <c r="E1962">
        <v>35431.342151999997</v>
      </c>
    </row>
    <row r="1963" spans="1:5" hidden="1" x14ac:dyDescent="0.3">
      <c r="A1963">
        <v>39</v>
      </c>
      <c r="B1963">
        <v>295000</v>
      </c>
      <c r="C1963" t="s">
        <v>45</v>
      </c>
      <c r="D1963" t="s">
        <v>14</v>
      </c>
      <c r="E1963">
        <v>12472.222158</v>
      </c>
    </row>
    <row r="1964" spans="1:5" hidden="1" x14ac:dyDescent="0.3">
      <c r="A1964">
        <v>39</v>
      </c>
      <c r="B1964">
        <v>295000</v>
      </c>
      <c r="C1964" t="s">
        <v>45</v>
      </c>
      <c r="D1964" t="s">
        <v>15</v>
      </c>
      <c r="E1964">
        <v>0.38603900000000002</v>
      </c>
    </row>
    <row r="1965" spans="1:5" hidden="1" x14ac:dyDescent="0.3">
      <c r="A1965">
        <v>39</v>
      </c>
      <c r="B1965">
        <v>295000</v>
      </c>
      <c r="C1965" t="s">
        <v>45</v>
      </c>
      <c r="D1965" t="s">
        <v>16</v>
      </c>
      <c r="E1965">
        <v>40333.004183999998</v>
      </c>
    </row>
    <row r="1966" spans="1:5" hidden="1" x14ac:dyDescent="0.3">
      <c r="A1966">
        <v>39</v>
      </c>
      <c r="B1966">
        <v>295000</v>
      </c>
      <c r="C1966" t="s">
        <v>45</v>
      </c>
      <c r="D1966" t="s">
        <v>17</v>
      </c>
      <c r="E1966">
        <v>0.365423</v>
      </c>
    </row>
    <row r="1967" spans="1:5" hidden="1" x14ac:dyDescent="0.3">
      <c r="A1967">
        <v>39</v>
      </c>
      <c r="B1967">
        <v>295000</v>
      </c>
      <c r="C1967" t="s">
        <v>45</v>
      </c>
      <c r="D1967" t="s">
        <v>18</v>
      </c>
      <c r="E1967">
        <v>88.831084000000004</v>
      </c>
    </row>
    <row r="1968" spans="1:5" hidden="1" x14ac:dyDescent="0.3">
      <c r="A1968">
        <v>39</v>
      </c>
      <c r="B1968">
        <v>295000</v>
      </c>
      <c r="C1968" t="s">
        <v>45</v>
      </c>
      <c r="D1968" t="s">
        <v>19</v>
      </c>
      <c r="E1968">
        <v>8833.3352340000001</v>
      </c>
    </row>
    <row r="1969" spans="1:5" hidden="1" x14ac:dyDescent="0.3">
      <c r="A1969">
        <v>39</v>
      </c>
      <c r="B1969">
        <v>295000</v>
      </c>
      <c r="C1969" t="s">
        <v>45</v>
      </c>
      <c r="D1969" t="s">
        <v>20</v>
      </c>
      <c r="E1969">
        <v>15166.669492000001</v>
      </c>
    </row>
    <row r="1970" spans="1:5" hidden="1" x14ac:dyDescent="0.3">
      <c r="A1970">
        <v>39</v>
      </c>
      <c r="B1970">
        <v>295000</v>
      </c>
      <c r="C1970" t="s">
        <v>45</v>
      </c>
      <c r="D1970" t="s">
        <v>21</v>
      </c>
      <c r="E1970">
        <v>0.14791599999999999</v>
      </c>
    </row>
    <row r="1971" spans="1:5" hidden="1" x14ac:dyDescent="0.3">
      <c r="A1971">
        <v>39</v>
      </c>
      <c r="B1971">
        <v>295000</v>
      </c>
      <c r="C1971" t="s">
        <v>45</v>
      </c>
      <c r="D1971" t="s">
        <v>22</v>
      </c>
      <c r="E1971">
        <v>504.14736599999998</v>
      </c>
    </row>
    <row r="1972" spans="1:5" hidden="1" x14ac:dyDescent="0.3">
      <c r="A1972">
        <v>39</v>
      </c>
      <c r="B1972">
        <v>295000</v>
      </c>
      <c r="C1972" t="s">
        <v>45</v>
      </c>
      <c r="D1972" t="s">
        <v>23</v>
      </c>
      <c r="E1972">
        <v>4444.4481910000004</v>
      </c>
    </row>
    <row r="1973" spans="1:5" hidden="1" x14ac:dyDescent="0.3">
      <c r="A1973">
        <v>39</v>
      </c>
      <c r="B1973">
        <v>295000</v>
      </c>
      <c r="C1973" t="s">
        <v>45</v>
      </c>
      <c r="D1973" t="s">
        <v>24</v>
      </c>
      <c r="E1973">
        <v>0.40865299999999999</v>
      </c>
    </row>
    <row r="1974" spans="1:5" hidden="1" x14ac:dyDescent="0.3">
      <c r="A1974">
        <v>39</v>
      </c>
      <c r="B1974">
        <v>295000</v>
      </c>
      <c r="C1974" t="s">
        <v>45</v>
      </c>
      <c r="D1974" t="s">
        <v>25</v>
      </c>
      <c r="E1974">
        <v>2.2681840000000002</v>
      </c>
    </row>
    <row r="1975" spans="1:5" hidden="1" x14ac:dyDescent="0.3">
      <c r="A1975">
        <v>39</v>
      </c>
      <c r="B1975">
        <v>295000</v>
      </c>
      <c r="C1975" t="s">
        <v>46</v>
      </c>
      <c r="D1975" t="s">
        <v>26</v>
      </c>
      <c r="E1975">
        <v>0.21115900000000001</v>
      </c>
    </row>
    <row r="1976" spans="1:5" x14ac:dyDescent="0.3">
      <c r="A1976">
        <v>39</v>
      </c>
      <c r="B1976">
        <v>295000</v>
      </c>
      <c r="C1976" t="s">
        <v>46</v>
      </c>
      <c r="D1976" t="s">
        <v>6</v>
      </c>
      <c r="E1976">
        <v>54.986303999999997</v>
      </c>
    </row>
    <row r="1977" spans="1:5" hidden="1" x14ac:dyDescent="0.3">
      <c r="A1977">
        <v>39</v>
      </c>
      <c r="B1977">
        <v>295000</v>
      </c>
      <c r="C1977" t="s">
        <v>46</v>
      </c>
      <c r="D1977" t="s">
        <v>7</v>
      </c>
      <c r="E1977">
        <v>36555.555879</v>
      </c>
    </row>
    <row r="1978" spans="1:5" hidden="1" x14ac:dyDescent="0.3">
      <c r="A1978">
        <v>39</v>
      </c>
      <c r="B1978">
        <v>295000</v>
      </c>
      <c r="C1978" t="s">
        <v>46</v>
      </c>
      <c r="D1978" t="s">
        <v>8</v>
      </c>
      <c r="E1978">
        <v>194.44433599999999</v>
      </c>
    </row>
    <row r="1979" spans="1:5" hidden="1" x14ac:dyDescent="0.3">
      <c r="A1979">
        <v>39</v>
      </c>
      <c r="B1979">
        <v>295000</v>
      </c>
      <c r="C1979" t="s">
        <v>46</v>
      </c>
      <c r="D1979" t="s">
        <v>9</v>
      </c>
      <c r="E1979">
        <v>34138.483514</v>
      </c>
    </row>
    <row r="1980" spans="1:5" hidden="1" x14ac:dyDescent="0.3">
      <c r="A1980">
        <v>39</v>
      </c>
      <c r="B1980">
        <v>295000</v>
      </c>
      <c r="C1980" t="s">
        <v>46</v>
      </c>
      <c r="D1980" t="s">
        <v>10</v>
      </c>
      <c r="E1980">
        <v>77249.998086000007</v>
      </c>
    </row>
    <row r="1981" spans="1:5" hidden="1" x14ac:dyDescent="0.3">
      <c r="A1981">
        <v>39</v>
      </c>
      <c r="B1981">
        <v>295000</v>
      </c>
      <c r="C1981" t="s">
        <v>46</v>
      </c>
      <c r="D1981" t="s">
        <v>11</v>
      </c>
      <c r="E1981">
        <v>28361.111363</v>
      </c>
    </row>
    <row r="1982" spans="1:5" hidden="1" x14ac:dyDescent="0.3">
      <c r="A1982">
        <v>39</v>
      </c>
      <c r="B1982">
        <v>295000</v>
      </c>
      <c r="C1982" t="s">
        <v>46</v>
      </c>
      <c r="D1982" t="s">
        <v>12</v>
      </c>
      <c r="E1982">
        <v>12555.555784</v>
      </c>
    </row>
    <row r="1983" spans="1:5" hidden="1" x14ac:dyDescent="0.3">
      <c r="A1983">
        <v>39</v>
      </c>
      <c r="B1983">
        <v>295000</v>
      </c>
      <c r="C1983" t="s">
        <v>46</v>
      </c>
      <c r="D1983" t="s">
        <v>13</v>
      </c>
      <c r="E1983">
        <v>14172.544742</v>
      </c>
    </row>
    <row r="1984" spans="1:5" hidden="1" x14ac:dyDescent="0.3">
      <c r="A1984">
        <v>39</v>
      </c>
      <c r="B1984">
        <v>295000</v>
      </c>
      <c r="C1984" t="s">
        <v>46</v>
      </c>
      <c r="D1984" t="s">
        <v>14</v>
      </c>
      <c r="E1984">
        <v>6388.8891439999998</v>
      </c>
    </row>
    <row r="1985" spans="1:5" hidden="1" x14ac:dyDescent="0.3">
      <c r="A1985">
        <v>39</v>
      </c>
      <c r="B1985">
        <v>295000</v>
      </c>
      <c r="C1985" t="s">
        <v>46</v>
      </c>
      <c r="D1985" t="s">
        <v>15</v>
      </c>
      <c r="E1985">
        <v>7833.6007719999998</v>
      </c>
    </row>
    <row r="1986" spans="1:5" hidden="1" x14ac:dyDescent="0.3">
      <c r="A1986">
        <v>39</v>
      </c>
      <c r="B1986">
        <v>295000</v>
      </c>
      <c r="C1986" t="s">
        <v>46</v>
      </c>
      <c r="D1986" t="s">
        <v>16</v>
      </c>
      <c r="E1986">
        <v>31515.361489999999</v>
      </c>
    </row>
    <row r="1987" spans="1:5" hidden="1" x14ac:dyDescent="0.3">
      <c r="A1987">
        <v>39</v>
      </c>
      <c r="B1987">
        <v>295000</v>
      </c>
      <c r="C1987" t="s">
        <v>46</v>
      </c>
      <c r="D1987" t="s">
        <v>17</v>
      </c>
      <c r="E1987">
        <v>55.264743000000003</v>
      </c>
    </row>
    <row r="1988" spans="1:5" hidden="1" x14ac:dyDescent="0.3">
      <c r="A1988">
        <v>39</v>
      </c>
      <c r="B1988">
        <v>295000</v>
      </c>
      <c r="C1988" t="s">
        <v>46</v>
      </c>
      <c r="D1988" t="s">
        <v>18</v>
      </c>
      <c r="E1988">
        <v>44.416958000000001</v>
      </c>
    </row>
    <row r="1989" spans="1:5" hidden="1" x14ac:dyDescent="0.3">
      <c r="A1989">
        <v>39</v>
      </c>
      <c r="B1989">
        <v>295000</v>
      </c>
      <c r="C1989" t="s">
        <v>46</v>
      </c>
      <c r="D1989" t="s">
        <v>19</v>
      </c>
      <c r="E1989">
        <v>4222.2225239999998</v>
      </c>
    </row>
    <row r="1990" spans="1:5" hidden="1" x14ac:dyDescent="0.3">
      <c r="A1990">
        <v>39</v>
      </c>
      <c r="B1990">
        <v>295000</v>
      </c>
      <c r="C1990" t="s">
        <v>46</v>
      </c>
      <c r="D1990" t="s">
        <v>20</v>
      </c>
      <c r="E1990">
        <v>6055.5558840000003</v>
      </c>
    </row>
    <row r="1991" spans="1:5" hidden="1" x14ac:dyDescent="0.3">
      <c r="A1991">
        <v>39</v>
      </c>
      <c r="B1991">
        <v>295000</v>
      </c>
      <c r="C1991" t="s">
        <v>46</v>
      </c>
      <c r="D1991" t="s">
        <v>21</v>
      </c>
      <c r="E1991">
        <v>0.104648</v>
      </c>
    </row>
    <row r="1992" spans="1:5" hidden="1" x14ac:dyDescent="0.3">
      <c r="A1992">
        <v>39</v>
      </c>
      <c r="B1992">
        <v>295000</v>
      </c>
      <c r="C1992" t="s">
        <v>46</v>
      </c>
      <c r="D1992" t="s">
        <v>22</v>
      </c>
      <c r="E1992">
        <v>268.87805400000002</v>
      </c>
    </row>
    <row r="1993" spans="1:5" hidden="1" x14ac:dyDescent="0.3">
      <c r="A1993">
        <v>39</v>
      </c>
      <c r="B1993">
        <v>295000</v>
      </c>
      <c r="C1993" t="s">
        <v>46</v>
      </c>
      <c r="D1993" t="s">
        <v>23</v>
      </c>
      <c r="E1993">
        <v>1722.222612</v>
      </c>
    </row>
    <row r="1994" spans="1:5" hidden="1" x14ac:dyDescent="0.3">
      <c r="A1994">
        <v>39</v>
      </c>
      <c r="B1994">
        <v>295000</v>
      </c>
      <c r="C1994" t="s">
        <v>46</v>
      </c>
      <c r="D1994" t="s">
        <v>24</v>
      </c>
      <c r="E1994">
        <v>32110.637638</v>
      </c>
    </row>
    <row r="1995" spans="1:5" hidden="1" x14ac:dyDescent="0.3">
      <c r="A1995">
        <v>39</v>
      </c>
      <c r="B1995">
        <v>295000</v>
      </c>
      <c r="C1995" t="s">
        <v>46</v>
      </c>
      <c r="D1995" t="s">
        <v>25</v>
      </c>
      <c r="E1995">
        <v>1500.000164</v>
      </c>
    </row>
    <row r="1996" spans="1:5" hidden="1" x14ac:dyDescent="0.3">
      <c r="A1996">
        <v>39</v>
      </c>
      <c r="B1996">
        <v>295000</v>
      </c>
      <c r="C1996" t="s">
        <v>46</v>
      </c>
      <c r="D1996" t="s">
        <v>26</v>
      </c>
      <c r="E1996">
        <v>0.17785500000000001</v>
      </c>
    </row>
    <row r="1997" spans="1:5" hidden="1" x14ac:dyDescent="0.3">
      <c r="A1997">
        <v>40</v>
      </c>
      <c r="B1997">
        <v>300000</v>
      </c>
      <c r="C1997" t="s">
        <v>45</v>
      </c>
      <c r="D1997" t="s">
        <v>6</v>
      </c>
      <c r="E1997">
        <v>0.47214299999999998</v>
      </c>
    </row>
    <row r="1998" spans="1:5" hidden="1" x14ac:dyDescent="0.3">
      <c r="A1998">
        <v>40</v>
      </c>
      <c r="B1998">
        <v>300000</v>
      </c>
      <c r="C1998" t="s">
        <v>45</v>
      </c>
      <c r="D1998" t="s">
        <v>7</v>
      </c>
      <c r="E1998">
        <v>53000.000126999999</v>
      </c>
    </row>
    <row r="1999" spans="1:5" hidden="1" x14ac:dyDescent="0.3">
      <c r="A1999">
        <v>40</v>
      </c>
      <c r="B1999">
        <v>300000</v>
      </c>
      <c r="C1999" t="s">
        <v>45</v>
      </c>
      <c r="D1999" t="s">
        <v>8</v>
      </c>
      <c r="E1999">
        <v>0.59633800000000003</v>
      </c>
    </row>
    <row r="2000" spans="1:5" hidden="1" x14ac:dyDescent="0.3">
      <c r="A2000">
        <v>40</v>
      </c>
      <c r="B2000">
        <v>300000</v>
      </c>
      <c r="C2000" t="s">
        <v>45</v>
      </c>
      <c r="D2000" t="s">
        <v>9</v>
      </c>
      <c r="E2000">
        <v>51194.808508000002</v>
      </c>
    </row>
    <row r="2001" spans="1:5" hidden="1" x14ac:dyDescent="0.3">
      <c r="A2001">
        <v>40</v>
      </c>
      <c r="B2001">
        <v>300000</v>
      </c>
      <c r="C2001" t="s">
        <v>45</v>
      </c>
      <c r="D2001" t="s">
        <v>10</v>
      </c>
      <c r="E2001">
        <v>0.42292099999999999</v>
      </c>
    </row>
    <row r="2002" spans="1:5" hidden="1" x14ac:dyDescent="0.3">
      <c r="A2002">
        <v>40</v>
      </c>
      <c r="B2002">
        <v>300000</v>
      </c>
      <c r="C2002" t="s">
        <v>45</v>
      </c>
      <c r="D2002" t="s">
        <v>11</v>
      </c>
      <c r="E2002">
        <v>34138.879308000003</v>
      </c>
    </row>
    <row r="2003" spans="1:5" hidden="1" x14ac:dyDescent="0.3">
      <c r="A2003">
        <v>40</v>
      </c>
      <c r="B2003">
        <v>300000</v>
      </c>
      <c r="C2003" t="s">
        <v>45</v>
      </c>
      <c r="D2003" t="s">
        <v>12</v>
      </c>
      <c r="E2003">
        <v>44388.879150000001</v>
      </c>
    </row>
    <row r="2004" spans="1:5" hidden="1" x14ac:dyDescent="0.3">
      <c r="A2004">
        <v>40</v>
      </c>
      <c r="B2004">
        <v>300000</v>
      </c>
      <c r="C2004" t="s">
        <v>45</v>
      </c>
      <c r="D2004" t="s">
        <v>13</v>
      </c>
      <c r="E2004">
        <v>35431.337019999999</v>
      </c>
    </row>
    <row r="2005" spans="1:5" hidden="1" x14ac:dyDescent="0.3">
      <c r="A2005">
        <v>40</v>
      </c>
      <c r="B2005">
        <v>300000</v>
      </c>
      <c r="C2005" t="s">
        <v>45</v>
      </c>
      <c r="D2005" t="s">
        <v>14</v>
      </c>
      <c r="E2005">
        <v>12472.220216</v>
      </c>
    </row>
    <row r="2006" spans="1:5" hidden="1" x14ac:dyDescent="0.3">
      <c r="A2006">
        <v>40</v>
      </c>
      <c r="B2006">
        <v>300000</v>
      </c>
      <c r="C2006" t="s">
        <v>45</v>
      </c>
      <c r="D2006" t="s">
        <v>15</v>
      </c>
      <c r="E2006">
        <v>0.308284</v>
      </c>
    </row>
    <row r="2007" spans="1:5" hidden="1" x14ac:dyDescent="0.3">
      <c r="A2007">
        <v>40</v>
      </c>
      <c r="B2007">
        <v>300000</v>
      </c>
      <c r="C2007" t="s">
        <v>45</v>
      </c>
      <c r="D2007" t="s">
        <v>16</v>
      </c>
      <c r="E2007">
        <v>40332.676495</v>
      </c>
    </row>
    <row r="2008" spans="1:5" hidden="1" x14ac:dyDescent="0.3">
      <c r="A2008">
        <v>40</v>
      </c>
      <c r="B2008">
        <v>300000</v>
      </c>
      <c r="C2008" t="s">
        <v>45</v>
      </c>
      <c r="D2008" t="s">
        <v>17</v>
      </c>
      <c r="E2008">
        <v>0.21235599999999999</v>
      </c>
    </row>
    <row r="2009" spans="1:5" hidden="1" x14ac:dyDescent="0.3">
      <c r="A2009">
        <v>40</v>
      </c>
      <c r="B2009">
        <v>300000</v>
      </c>
      <c r="C2009" t="s">
        <v>45</v>
      </c>
      <c r="D2009" t="s">
        <v>18</v>
      </c>
      <c r="E2009">
        <v>88.827976000000007</v>
      </c>
    </row>
    <row r="2010" spans="1:5" hidden="1" x14ac:dyDescent="0.3">
      <c r="A2010">
        <v>40</v>
      </c>
      <c r="B2010">
        <v>300000</v>
      </c>
      <c r="C2010" t="s">
        <v>45</v>
      </c>
      <c r="D2010" t="s">
        <v>19</v>
      </c>
      <c r="E2010">
        <v>8833.3324260000009</v>
      </c>
    </row>
    <row r="2011" spans="1:5" hidden="1" x14ac:dyDescent="0.3">
      <c r="A2011">
        <v>40</v>
      </c>
      <c r="B2011">
        <v>300000</v>
      </c>
      <c r="C2011" t="s">
        <v>45</v>
      </c>
      <c r="D2011" t="s">
        <v>20</v>
      </c>
      <c r="E2011">
        <v>15166.666594</v>
      </c>
    </row>
    <row r="2012" spans="1:5" hidden="1" x14ac:dyDescent="0.3">
      <c r="A2012">
        <v>40</v>
      </c>
      <c r="B2012">
        <v>300000</v>
      </c>
      <c r="C2012" t="s">
        <v>45</v>
      </c>
      <c r="D2012" t="s">
        <v>21</v>
      </c>
      <c r="E2012">
        <v>0.116267</v>
      </c>
    </row>
    <row r="2013" spans="1:5" hidden="1" x14ac:dyDescent="0.3">
      <c r="A2013">
        <v>40</v>
      </c>
      <c r="B2013">
        <v>300000</v>
      </c>
      <c r="C2013" t="s">
        <v>45</v>
      </c>
      <c r="D2013" t="s">
        <v>22</v>
      </c>
      <c r="E2013">
        <v>504.144699</v>
      </c>
    </row>
    <row r="2014" spans="1:5" hidden="1" x14ac:dyDescent="0.3">
      <c r="A2014">
        <v>40</v>
      </c>
      <c r="B2014">
        <v>300000</v>
      </c>
      <c r="C2014" t="s">
        <v>45</v>
      </c>
      <c r="D2014" t="s">
        <v>23</v>
      </c>
      <c r="E2014">
        <v>4444.4448499999999</v>
      </c>
    </row>
    <row r="2015" spans="1:5" hidden="1" x14ac:dyDescent="0.3">
      <c r="A2015">
        <v>40</v>
      </c>
      <c r="B2015">
        <v>300000</v>
      </c>
      <c r="C2015" t="s">
        <v>45</v>
      </c>
      <c r="D2015" t="s">
        <v>24</v>
      </c>
      <c r="E2015">
        <v>0.331401</v>
      </c>
    </row>
    <row r="2016" spans="1:5" hidden="1" x14ac:dyDescent="0.3">
      <c r="A2016">
        <v>40</v>
      </c>
      <c r="B2016">
        <v>300000</v>
      </c>
      <c r="C2016" t="s">
        <v>45</v>
      </c>
      <c r="D2016" t="s">
        <v>25</v>
      </c>
      <c r="E2016">
        <v>1.205152</v>
      </c>
    </row>
    <row r="2017" spans="1:5" hidden="1" x14ac:dyDescent="0.3">
      <c r="A2017">
        <v>40</v>
      </c>
      <c r="B2017">
        <v>300000</v>
      </c>
      <c r="C2017" t="s">
        <v>46</v>
      </c>
      <c r="D2017" t="s">
        <v>26</v>
      </c>
      <c r="E2017">
        <v>0.15068400000000001</v>
      </c>
    </row>
    <row r="2018" spans="1:5" x14ac:dyDescent="0.3">
      <c r="A2018">
        <v>40</v>
      </c>
      <c r="B2018">
        <v>300000</v>
      </c>
      <c r="C2018" t="s">
        <v>46</v>
      </c>
      <c r="D2018" t="s">
        <v>6</v>
      </c>
      <c r="E2018">
        <v>54.986711999999997</v>
      </c>
    </row>
    <row r="2019" spans="1:5" hidden="1" x14ac:dyDescent="0.3">
      <c r="A2019">
        <v>40</v>
      </c>
      <c r="B2019">
        <v>300000</v>
      </c>
      <c r="C2019" t="s">
        <v>46</v>
      </c>
      <c r="D2019" t="s">
        <v>7</v>
      </c>
      <c r="E2019">
        <v>36555.556192999997</v>
      </c>
    </row>
    <row r="2020" spans="1:5" hidden="1" x14ac:dyDescent="0.3">
      <c r="A2020">
        <v>40</v>
      </c>
      <c r="B2020">
        <v>300000</v>
      </c>
      <c r="C2020" t="s">
        <v>46</v>
      </c>
      <c r="D2020" t="s">
        <v>8</v>
      </c>
      <c r="E2020">
        <v>194.44488100000001</v>
      </c>
    </row>
    <row r="2021" spans="1:5" hidden="1" x14ac:dyDescent="0.3">
      <c r="A2021">
        <v>40</v>
      </c>
      <c r="B2021">
        <v>300000</v>
      </c>
      <c r="C2021" t="s">
        <v>46</v>
      </c>
      <c r="D2021" t="s">
        <v>9</v>
      </c>
      <c r="E2021">
        <v>34138.483896999998</v>
      </c>
    </row>
    <row r="2022" spans="1:5" hidden="1" x14ac:dyDescent="0.3">
      <c r="A2022">
        <v>40</v>
      </c>
      <c r="B2022">
        <v>300000</v>
      </c>
      <c r="C2022" t="s">
        <v>46</v>
      </c>
      <c r="D2022" t="s">
        <v>10</v>
      </c>
      <c r="E2022">
        <v>77249.999752999996</v>
      </c>
    </row>
    <row r="2023" spans="1:5" hidden="1" x14ac:dyDescent="0.3">
      <c r="A2023">
        <v>40</v>
      </c>
      <c r="B2023">
        <v>300000</v>
      </c>
      <c r="C2023" t="s">
        <v>46</v>
      </c>
      <c r="D2023" t="s">
        <v>11</v>
      </c>
      <c r="E2023">
        <v>28361.111724999999</v>
      </c>
    </row>
    <row r="2024" spans="1:5" hidden="1" x14ac:dyDescent="0.3">
      <c r="A2024">
        <v>40</v>
      </c>
      <c r="B2024">
        <v>300000</v>
      </c>
      <c r="C2024" t="s">
        <v>46</v>
      </c>
      <c r="D2024" t="s">
        <v>12</v>
      </c>
      <c r="E2024">
        <v>12555.556173000001</v>
      </c>
    </row>
    <row r="2025" spans="1:5" hidden="1" x14ac:dyDescent="0.3">
      <c r="A2025">
        <v>40</v>
      </c>
      <c r="B2025">
        <v>300000</v>
      </c>
      <c r="C2025" t="s">
        <v>46</v>
      </c>
      <c r="D2025" t="s">
        <v>13</v>
      </c>
      <c r="E2025">
        <v>14172.545099000001</v>
      </c>
    </row>
    <row r="2026" spans="1:5" hidden="1" x14ac:dyDescent="0.3">
      <c r="A2026">
        <v>40</v>
      </c>
      <c r="B2026">
        <v>300000</v>
      </c>
      <c r="C2026" t="s">
        <v>46</v>
      </c>
      <c r="D2026" t="s">
        <v>14</v>
      </c>
      <c r="E2026">
        <v>6388.889529</v>
      </c>
    </row>
    <row r="2027" spans="1:5" hidden="1" x14ac:dyDescent="0.3">
      <c r="A2027">
        <v>40</v>
      </c>
      <c r="B2027">
        <v>300000</v>
      </c>
      <c r="C2027" t="s">
        <v>46</v>
      </c>
      <c r="D2027" t="s">
        <v>15</v>
      </c>
      <c r="E2027">
        <v>12887.540825</v>
      </c>
    </row>
    <row r="2028" spans="1:5" hidden="1" x14ac:dyDescent="0.3">
      <c r="A2028">
        <v>40</v>
      </c>
      <c r="B2028">
        <v>300000</v>
      </c>
      <c r="C2028" t="s">
        <v>46</v>
      </c>
      <c r="D2028" t="s">
        <v>16</v>
      </c>
      <c r="E2028">
        <v>31515.361793</v>
      </c>
    </row>
    <row r="2029" spans="1:5" hidden="1" x14ac:dyDescent="0.3">
      <c r="A2029">
        <v>40</v>
      </c>
      <c r="B2029">
        <v>300000</v>
      </c>
      <c r="C2029" t="s">
        <v>46</v>
      </c>
      <c r="D2029" t="s">
        <v>17</v>
      </c>
      <c r="E2029">
        <v>1.040392</v>
      </c>
    </row>
    <row r="2030" spans="1:5" hidden="1" x14ac:dyDescent="0.3">
      <c r="A2030">
        <v>40</v>
      </c>
      <c r="B2030">
        <v>300000</v>
      </c>
      <c r="C2030" t="s">
        <v>46</v>
      </c>
      <c r="D2030" t="s">
        <v>18</v>
      </c>
      <c r="E2030">
        <v>44.417323000000003</v>
      </c>
    </row>
    <row r="2031" spans="1:5" hidden="1" x14ac:dyDescent="0.3">
      <c r="A2031">
        <v>40</v>
      </c>
      <c r="B2031">
        <v>300000</v>
      </c>
      <c r="C2031" t="s">
        <v>46</v>
      </c>
      <c r="D2031" t="s">
        <v>19</v>
      </c>
      <c r="E2031">
        <v>4222.2228889999997</v>
      </c>
    </row>
    <row r="2032" spans="1:5" hidden="1" x14ac:dyDescent="0.3">
      <c r="A2032">
        <v>40</v>
      </c>
      <c r="B2032">
        <v>300000</v>
      </c>
      <c r="C2032" t="s">
        <v>46</v>
      </c>
      <c r="D2032" t="s">
        <v>20</v>
      </c>
      <c r="E2032">
        <v>6055.556235</v>
      </c>
    </row>
    <row r="2033" spans="1:5" hidden="1" x14ac:dyDescent="0.3">
      <c r="A2033">
        <v>40</v>
      </c>
      <c r="B2033">
        <v>300000</v>
      </c>
      <c r="C2033" t="s">
        <v>46</v>
      </c>
      <c r="D2033" t="s">
        <v>21</v>
      </c>
      <c r="E2033">
        <v>5.1830000000000001E-2</v>
      </c>
    </row>
    <row r="2034" spans="1:5" hidden="1" x14ac:dyDescent="0.3">
      <c r="A2034">
        <v>40</v>
      </c>
      <c r="B2034">
        <v>300000</v>
      </c>
      <c r="C2034" t="s">
        <v>46</v>
      </c>
      <c r="D2034" t="s">
        <v>22</v>
      </c>
      <c r="E2034">
        <v>268.87843099999998</v>
      </c>
    </row>
    <row r="2035" spans="1:5" hidden="1" x14ac:dyDescent="0.3">
      <c r="A2035">
        <v>40</v>
      </c>
      <c r="B2035">
        <v>300000</v>
      </c>
      <c r="C2035" t="s">
        <v>46</v>
      </c>
      <c r="D2035" t="s">
        <v>23</v>
      </c>
      <c r="E2035">
        <v>1722.2229380000001</v>
      </c>
    </row>
    <row r="2036" spans="1:5" hidden="1" x14ac:dyDescent="0.3">
      <c r="A2036">
        <v>40</v>
      </c>
      <c r="B2036">
        <v>300000</v>
      </c>
      <c r="C2036" t="s">
        <v>46</v>
      </c>
      <c r="D2036" t="s">
        <v>24</v>
      </c>
      <c r="E2036">
        <v>32111.0622</v>
      </c>
    </row>
    <row r="2037" spans="1:5" hidden="1" x14ac:dyDescent="0.3">
      <c r="A2037">
        <v>40</v>
      </c>
      <c r="B2037">
        <v>300000</v>
      </c>
      <c r="C2037" t="s">
        <v>46</v>
      </c>
      <c r="D2037" t="s">
        <v>25</v>
      </c>
      <c r="E2037">
        <v>1500.000593</v>
      </c>
    </row>
    <row r="2038" spans="1:5" hidden="1" x14ac:dyDescent="0.3">
      <c r="A2038">
        <v>40</v>
      </c>
      <c r="B2038">
        <v>300000</v>
      </c>
      <c r="C2038" t="s">
        <v>46</v>
      </c>
      <c r="D2038" t="s">
        <v>26</v>
      </c>
      <c r="E2038">
        <v>8.7932999999999997E-2</v>
      </c>
    </row>
    <row r="2039" spans="1:5" hidden="1" x14ac:dyDescent="0.3">
      <c r="A2039">
        <v>41</v>
      </c>
      <c r="B2039">
        <v>305000</v>
      </c>
      <c r="C2039" t="s">
        <v>45</v>
      </c>
      <c r="D2039" t="s">
        <v>6</v>
      </c>
      <c r="E2039">
        <v>3.5707999999999997E-2</v>
      </c>
    </row>
    <row r="2040" spans="1:5" hidden="1" x14ac:dyDescent="0.3">
      <c r="A2040">
        <v>41</v>
      </c>
      <c r="B2040">
        <v>305000</v>
      </c>
      <c r="C2040" t="s">
        <v>45</v>
      </c>
      <c r="D2040" t="s">
        <v>7</v>
      </c>
      <c r="E2040">
        <v>52999.992588000001</v>
      </c>
    </row>
    <row r="2041" spans="1:5" hidden="1" x14ac:dyDescent="0.3">
      <c r="A2041">
        <v>41</v>
      </c>
      <c r="B2041">
        <v>305000</v>
      </c>
      <c r="C2041" t="s">
        <v>45</v>
      </c>
      <c r="D2041" t="s">
        <v>8</v>
      </c>
      <c r="E2041">
        <v>4.4225E-2</v>
      </c>
    </row>
    <row r="2042" spans="1:5" hidden="1" x14ac:dyDescent="0.3">
      <c r="A2042">
        <v>41</v>
      </c>
      <c r="B2042">
        <v>305000</v>
      </c>
      <c r="C2042" t="s">
        <v>45</v>
      </c>
      <c r="D2042" t="s">
        <v>9</v>
      </c>
      <c r="E2042">
        <v>56197.839615999997</v>
      </c>
    </row>
    <row r="2043" spans="1:5" hidden="1" x14ac:dyDescent="0.3">
      <c r="A2043">
        <v>41</v>
      </c>
      <c r="B2043">
        <v>305000</v>
      </c>
      <c r="C2043" t="s">
        <v>45</v>
      </c>
      <c r="D2043" t="s">
        <v>10</v>
      </c>
      <c r="E2043">
        <v>5.1527000000000003E-2</v>
      </c>
    </row>
    <row r="2044" spans="1:5" hidden="1" x14ac:dyDescent="0.3">
      <c r="A2044">
        <v>41</v>
      </c>
      <c r="B2044">
        <v>305000</v>
      </c>
      <c r="C2044" t="s">
        <v>45</v>
      </c>
      <c r="D2044" t="s">
        <v>11</v>
      </c>
      <c r="E2044">
        <v>34138.888671000001</v>
      </c>
    </row>
    <row r="2045" spans="1:5" hidden="1" x14ac:dyDescent="0.3">
      <c r="A2045">
        <v>41</v>
      </c>
      <c r="B2045">
        <v>305000</v>
      </c>
      <c r="C2045" t="s">
        <v>45</v>
      </c>
      <c r="D2045" t="s">
        <v>12</v>
      </c>
      <c r="E2045">
        <v>44388.889103000001</v>
      </c>
    </row>
    <row r="2046" spans="1:5" hidden="1" x14ac:dyDescent="0.3">
      <c r="A2046">
        <v>41</v>
      </c>
      <c r="B2046">
        <v>305000</v>
      </c>
      <c r="C2046" t="s">
        <v>45</v>
      </c>
      <c r="D2046" t="s">
        <v>13</v>
      </c>
      <c r="E2046">
        <v>35431.344538999998</v>
      </c>
    </row>
    <row r="2047" spans="1:5" hidden="1" x14ac:dyDescent="0.3">
      <c r="A2047">
        <v>41</v>
      </c>
      <c r="B2047">
        <v>305000</v>
      </c>
      <c r="C2047" t="s">
        <v>45</v>
      </c>
      <c r="D2047" t="s">
        <v>14</v>
      </c>
      <c r="E2047">
        <v>12472.222285</v>
      </c>
    </row>
    <row r="2048" spans="1:5" hidden="1" x14ac:dyDescent="0.3">
      <c r="A2048">
        <v>41</v>
      </c>
      <c r="B2048">
        <v>305000</v>
      </c>
      <c r="C2048" t="s">
        <v>45</v>
      </c>
      <c r="D2048" t="s">
        <v>15</v>
      </c>
      <c r="E2048">
        <v>3.4102E-2</v>
      </c>
    </row>
    <row r="2049" spans="1:5" hidden="1" x14ac:dyDescent="0.3">
      <c r="A2049">
        <v>41</v>
      </c>
      <c r="B2049">
        <v>305000</v>
      </c>
      <c r="C2049" t="s">
        <v>45</v>
      </c>
      <c r="D2049" t="s">
        <v>16</v>
      </c>
      <c r="E2049">
        <v>40333.000201000003</v>
      </c>
    </row>
    <row r="2050" spans="1:5" hidden="1" x14ac:dyDescent="0.3">
      <c r="A2050">
        <v>41</v>
      </c>
      <c r="B2050">
        <v>305000</v>
      </c>
      <c r="C2050" t="s">
        <v>45</v>
      </c>
      <c r="D2050" t="s">
        <v>17</v>
      </c>
      <c r="E2050">
        <v>2.1153000000000002E-2</v>
      </c>
    </row>
    <row r="2051" spans="1:5" hidden="1" x14ac:dyDescent="0.3">
      <c r="A2051">
        <v>41</v>
      </c>
      <c r="B2051">
        <v>305000</v>
      </c>
      <c r="C2051" t="s">
        <v>45</v>
      </c>
      <c r="D2051" t="s">
        <v>18</v>
      </c>
      <c r="E2051">
        <v>88.833274000000003</v>
      </c>
    </row>
    <row r="2052" spans="1:5" hidden="1" x14ac:dyDescent="0.3">
      <c r="A2052">
        <v>41</v>
      </c>
      <c r="B2052">
        <v>305000</v>
      </c>
      <c r="C2052" t="s">
        <v>45</v>
      </c>
      <c r="D2052" t="s">
        <v>19</v>
      </c>
      <c r="E2052">
        <v>8833.3335320000006</v>
      </c>
    </row>
    <row r="2053" spans="1:5" hidden="1" x14ac:dyDescent="0.3">
      <c r="A2053">
        <v>41</v>
      </c>
      <c r="B2053">
        <v>305000</v>
      </c>
      <c r="C2053" t="s">
        <v>45</v>
      </c>
      <c r="D2053" t="s">
        <v>20</v>
      </c>
      <c r="E2053">
        <v>15166.66692</v>
      </c>
    </row>
    <row r="2054" spans="1:5" hidden="1" x14ac:dyDescent="0.3">
      <c r="A2054">
        <v>41</v>
      </c>
      <c r="B2054">
        <v>305000</v>
      </c>
      <c r="C2054" t="s">
        <v>45</v>
      </c>
      <c r="D2054" t="s">
        <v>21</v>
      </c>
      <c r="E2054">
        <v>1.2198000000000001E-2</v>
      </c>
    </row>
    <row r="2055" spans="1:5" hidden="1" x14ac:dyDescent="0.3">
      <c r="A2055">
        <v>41</v>
      </c>
      <c r="B2055">
        <v>305000</v>
      </c>
      <c r="C2055" t="s">
        <v>45</v>
      </c>
      <c r="D2055" t="s">
        <v>22</v>
      </c>
      <c r="E2055">
        <v>504.147355</v>
      </c>
    </row>
    <row r="2056" spans="1:5" hidden="1" x14ac:dyDescent="0.3">
      <c r="A2056">
        <v>41</v>
      </c>
      <c r="B2056">
        <v>305000</v>
      </c>
      <c r="C2056" t="s">
        <v>45</v>
      </c>
      <c r="D2056" t="s">
        <v>23</v>
      </c>
      <c r="E2056">
        <v>4444.4447730000002</v>
      </c>
    </row>
    <row r="2057" spans="1:5" hidden="1" x14ac:dyDescent="0.3">
      <c r="A2057">
        <v>41</v>
      </c>
      <c r="B2057">
        <v>305000</v>
      </c>
      <c r="C2057" t="s">
        <v>45</v>
      </c>
      <c r="D2057" t="s">
        <v>24</v>
      </c>
      <c r="E2057">
        <v>3.6327999999999999E-2</v>
      </c>
    </row>
    <row r="2058" spans="1:5" hidden="1" x14ac:dyDescent="0.3">
      <c r="A2058">
        <v>41</v>
      </c>
      <c r="B2058">
        <v>305000</v>
      </c>
      <c r="C2058" t="s">
        <v>45</v>
      </c>
      <c r="D2058" t="s">
        <v>25</v>
      </c>
      <c r="E2058">
        <v>0.15299699999999999</v>
      </c>
    </row>
    <row r="2059" spans="1:5" hidden="1" x14ac:dyDescent="0.3">
      <c r="A2059">
        <v>41</v>
      </c>
      <c r="B2059">
        <v>305000</v>
      </c>
      <c r="C2059" t="s">
        <v>46</v>
      </c>
      <c r="D2059" t="s">
        <v>26</v>
      </c>
      <c r="E2059">
        <v>1.8053E-2</v>
      </c>
    </row>
    <row r="2060" spans="1:5" x14ac:dyDescent="0.3">
      <c r="A2060">
        <v>41</v>
      </c>
      <c r="B2060">
        <v>305000</v>
      </c>
      <c r="C2060" t="s">
        <v>46</v>
      </c>
      <c r="D2060" t="s">
        <v>6</v>
      </c>
      <c r="E2060">
        <v>54.988996</v>
      </c>
    </row>
    <row r="2061" spans="1:5" hidden="1" x14ac:dyDescent="0.3">
      <c r="A2061">
        <v>41</v>
      </c>
      <c r="B2061">
        <v>305000</v>
      </c>
      <c r="C2061" t="s">
        <v>46</v>
      </c>
      <c r="D2061" t="s">
        <v>7</v>
      </c>
      <c r="E2061">
        <v>36555.558643999997</v>
      </c>
    </row>
    <row r="2062" spans="1:5" hidden="1" x14ac:dyDescent="0.3">
      <c r="A2062">
        <v>41</v>
      </c>
      <c r="B2062">
        <v>305000</v>
      </c>
      <c r="C2062" t="s">
        <v>46</v>
      </c>
      <c r="D2062" t="s">
        <v>8</v>
      </c>
      <c r="E2062">
        <v>194.44600199999999</v>
      </c>
    </row>
    <row r="2063" spans="1:5" hidden="1" x14ac:dyDescent="0.3">
      <c r="A2063">
        <v>41</v>
      </c>
      <c r="B2063">
        <v>305000</v>
      </c>
      <c r="C2063" t="s">
        <v>46</v>
      </c>
      <c r="D2063" t="s">
        <v>9</v>
      </c>
      <c r="E2063">
        <v>34138.485699999997</v>
      </c>
    </row>
    <row r="2064" spans="1:5" hidden="1" x14ac:dyDescent="0.3">
      <c r="A2064">
        <v>41</v>
      </c>
      <c r="B2064">
        <v>305000</v>
      </c>
      <c r="C2064" t="s">
        <v>46</v>
      </c>
      <c r="D2064" t="s">
        <v>10</v>
      </c>
      <c r="E2064">
        <v>77249.927802000006</v>
      </c>
    </row>
    <row r="2065" spans="1:5" hidden="1" x14ac:dyDescent="0.3">
      <c r="A2065">
        <v>41</v>
      </c>
      <c r="B2065">
        <v>305000</v>
      </c>
      <c r="C2065" t="s">
        <v>46</v>
      </c>
      <c r="D2065" t="s">
        <v>11</v>
      </c>
      <c r="E2065">
        <v>28361.113859000001</v>
      </c>
    </row>
    <row r="2066" spans="1:5" hidden="1" x14ac:dyDescent="0.3">
      <c r="A2066">
        <v>41</v>
      </c>
      <c r="B2066">
        <v>305000</v>
      </c>
      <c r="C2066" t="s">
        <v>46</v>
      </c>
      <c r="D2066" t="s">
        <v>12</v>
      </c>
      <c r="E2066">
        <v>12555.558192</v>
      </c>
    </row>
    <row r="2067" spans="1:5" hidden="1" x14ac:dyDescent="0.3">
      <c r="A2067">
        <v>41</v>
      </c>
      <c r="B2067">
        <v>305000</v>
      </c>
      <c r="C2067" t="s">
        <v>46</v>
      </c>
      <c r="D2067" t="s">
        <v>13</v>
      </c>
      <c r="E2067">
        <v>14172.547411</v>
      </c>
    </row>
    <row r="2068" spans="1:5" hidden="1" x14ac:dyDescent="0.3">
      <c r="A2068">
        <v>41</v>
      </c>
      <c r="B2068">
        <v>305000</v>
      </c>
      <c r="C2068" t="s">
        <v>46</v>
      </c>
      <c r="D2068" t="s">
        <v>14</v>
      </c>
      <c r="E2068">
        <v>6388.8916849999996</v>
      </c>
    </row>
    <row r="2069" spans="1:5" hidden="1" x14ac:dyDescent="0.3">
      <c r="A2069">
        <v>41</v>
      </c>
      <c r="B2069">
        <v>305000</v>
      </c>
      <c r="C2069" t="s">
        <v>46</v>
      </c>
      <c r="D2069" t="s">
        <v>15</v>
      </c>
      <c r="E2069">
        <v>17888.059945000001</v>
      </c>
    </row>
    <row r="2070" spans="1:5" hidden="1" x14ac:dyDescent="0.3">
      <c r="A2070">
        <v>41</v>
      </c>
      <c r="B2070">
        <v>305000</v>
      </c>
      <c r="C2070" t="s">
        <v>46</v>
      </c>
      <c r="D2070" t="s">
        <v>16</v>
      </c>
      <c r="E2070">
        <v>31515.364581000002</v>
      </c>
    </row>
    <row r="2071" spans="1:5" hidden="1" x14ac:dyDescent="0.3">
      <c r="A2071">
        <v>41</v>
      </c>
      <c r="B2071">
        <v>305000</v>
      </c>
      <c r="C2071" t="s">
        <v>46</v>
      </c>
      <c r="D2071" t="s">
        <v>17</v>
      </c>
      <c r="E2071">
        <v>0.115333</v>
      </c>
    </row>
    <row r="2072" spans="1:5" hidden="1" x14ac:dyDescent="0.3">
      <c r="A2072">
        <v>41</v>
      </c>
      <c r="B2072">
        <v>305000</v>
      </c>
      <c r="C2072" t="s">
        <v>46</v>
      </c>
      <c r="D2072" t="s">
        <v>18</v>
      </c>
      <c r="E2072">
        <v>44.419935000000002</v>
      </c>
    </row>
    <row r="2073" spans="1:5" hidden="1" x14ac:dyDescent="0.3">
      <c r="A2073">
        <v>41</v>
      </c>
      <c r="B2073">
        <v>305000</v>
      </c>
      <c r="C2073" t="s">
        <v>46</v>
      </c>
      <c r="D2073" t="s">
        <v>19</v>
      </c>
      <c r="E2073">
        <v>4222.2252289999997</v>
      </c>
    </row>
    <row r="2074" spans="1:5" hidden="1" x14ac:dyDescent="0.3">
      <c r="A2074">
        <v>41</v>
      </c>
      <c r="B2074">
        <v>305000</v>
      </c>
      <c r="C2074" t="s">
        <v>46</v>
      </c>
      <c r="D2074" t="s">
        <v>20</v>
      </c>
      <c r="E2074">
        <v>6055.5586590000003</v>
      </c>
    </row>
    <row r="2075" spans="1:5" hidden="1" x14ac:dyDescent="0.3">
      <c r="A2075">
        <v>41</v>
      </c>
      <c r="B2075">
        <v>305000</v>
      </c>
      <c r="C2075" t="s">
        <v>46</v>
      </c>
      <c r="D2075" t="s">
        <v>21</v>
      </c>
      <c r="E2075">
        <v>0.34139000000000003</v>
      </c>
    </row>
    <row r="2076" spans="1:5" hidden="1" x14ac:dyDescent="0.3">
      <c r="A2076">
        <v>41</v>
      </c>
      <c r="B2076">
        <v>305000</v>
      </c>
      <c r="C2076" t="s">
        <v>46</v>
      </c>
      <c r="D2076" t="s">
        <v>22</v>
      </c>
      <c r="E2076">
        <v>268.88096300000001</v>
      </c>
    </row>
    <row r="2077" spans="1:5" hidden="1" x14ac:dyDescent="0.3">
      <c r="A2077">
        <v>41</v>
      </c>
      <c r="B2077">
        <v>305000</v>
      </c>
      <c r="C2077" t="s">
        <v>46</v>
      </c>
      <c r="D2077" t="s">
        <v>23</v>
      </c>
      <c r="E2077">
        <v>1722.225643</v>
      </c>
    </row>
    <row r="2078" spans="1:5" hidden="1" x14ac:dyDescent="0.3">
      <c r="A2078">
        <v>41</v>
      </c>
      <c r="B2078">
        <v>305000</v>
      </c>
      <c r="C2078" t="s">
        <v>46</v>
      </c>
      <c r="D2078" t="s">
        <v>24</v>
      </c>
      <c r="E2078">
        <v>32110.629454999998</v>
      </c>
    </row>
    <row r="2079" spans="1:5" hidden="1" x14ac:dyDescent="0.3">
      <c r="A2079">
        <v>41</v>
      </c>
      <c r="B2079">
        <v>305000</v>
      </c>
      <c r="C2079" t="s">
        <v>46</v>
      </c>
      <c r="D2079" t="s">
        <v>25</v>
      </c>
      <c r="E2079">
        <v>1500.002481</v>
      </c>
    </row>
    <row r="2080" spans="1:5" hidden="1" x14ac:dyDescent="0.3">
      <c r="A2080">
        <v>41</v>
      </c>
      <c r="B2080">
        <v>305000</v>
      </c>
      <c r="C2080" t="s">
        <v>46</v>
      </c>
      <c r="D2080" t="s">
        <v>26</v>
      </c>
      <c r="E2080">
        <v>0.74685100000000004</v>
      </c>
    </row>
    <row r="2081" spans="1:5" hidden="1" x14ac:dyDescent="0.3">
      <c r="A2081">
        <v>42</v>
      </c>
      <c r="B2081">
        <v>310000</v>
      </c>
      <c r="C2081" t="s">
        <v>45</v>
      </c>
      <c r="D2081" t="s">
        <v>6</v>
      </c>
      <c r="E2081">
        <v>0.29818</v>
      </c>
    </row>
    <row r="2082" spans="1:5" hidden="1" x14ac:dyDescent="0.3">
      <c r="A2082">
        <v>42</v>
      </c>
      <c r="B2082">
        <v>310000</v>
      </c>
      <c r="C2082" t="s">
        <v>45</v>
      </c>
      <c r="D2082" t="s">
        <v>7</v>
      </c>
      <c r="E2082">
        <v>52999.988731999998</v>
      </c>
    </row>
    <row r="2083" spans="1:5" hidden="1" x14ac:dyDescent="0.3">
      <c r="A2083">
        <v>42</v>
      </c>
      <c r="B2083">
        <v>310000</v>
      </c>
      <c r="C2083" t="s">
        <v>45</v>
      </c>
      <c r="D2083" t="s">
        <v>8</v>
      </c>
      <c r="E2083">
        <v>0.243254</v>
      </c>
    </row>
    <row r="2084" spans="1:5" hidden="1" x14ac:dyDescent="0.3">
      <c r="A2084">
        <v>42</v>
      </c>
      <c r="B2084">
        <v>310000</v>
      </c>
      <c r="C2084" t="s">
        <v>45</v>
      </c>
      <c r="D2084" t="s">
        <v>9</v>
      </c>
      <c r="E2084">
        <v>61195.801652000002</v>
      </c>
    </row>
    <row r="2085" spans="1:5" hidden="1" x14ac:dyDescent="0.3">
      <c r="A2085">
        <v>42</v>
      </c>
      <c r="B2085">
        <v>310000</v>
      </c>
      <c r="C2085" t="s">
        <v>45</v>
      </c>
      <c r="D2085" t="s">
        <v>10</v>
      </c>
      <c r="E2085">
        <v>0.30090800000000001</v>
      </c>
    </row>
    <row r="2086" spans="1:5" hidden="1" x14ac:dyDescent="0.3">
      <c r="A2086">
        <v>42</v>
      </c>
      <c r="B2086">
        <v>310000</v>
      </c>
      <c r="C2086" t="s">
        <v>45</v>
      </c>
      <c r="D2086" t="s">
        <v>11</v>
      </c>
      <c r="E2086">
        <v>34138.886209999997</v>
      </c>
    </row>
    <row r="2087" spans="1:5" hidden="1" x14ac:dyDescent="0.3">
      <c r="A2087">
        <v>42</v>
      </c>
      <c r="B2087">
        <v>310000</v>
      </c>
      <c r="C2087" t="s">
        <v>45</v>
      </c>
      <c r="D2087" t="s">
        <v>12</v>
      </c>
      <c r="E2087">
        <v>44388.889364000002</v>
      </c>
    </row>
    <row r="2088" spans="1:5" hidden="1" x14ac:dyDescent="0.3">
      <c r="A2088">
        <v>42</v>
      </c>
      <c r="B2088">
        <v>310000</v>
      </c>
      <c r="C2088" t="s">
        <v>45</v>
      </c>
      <c r="D2088" t="s">
        <v>13</v>
      </c>
      <c r="E2088">
        <v>35431.343912999997</v>
      </c>
    </row>
    <row r="2089" spans="1:5" hidden="1" x14ac:dyDescent="0.3">
      <c r="A2089">
        <v>42</v>
      </c>
      <c r="B2089">
        <v>310000</v>
      </c>
      <c r="C2089" t="s">
        <v>45</v>
      </c>
      <c r="D2089" t="s">
        <v>14</v>
      </c>
      <c r="E2089">
        <v>12472.221159999999</v>
      </c>
    </row>
    <row r="2090" spans="1:5" hidden="1" x14ac:dyDescent="0.3">
      <c r="A2090">
        <v>42</v>
      </c>
      <c r="B2090">
        <v>310000</v>
      </c>
      <c r="C2090" t="s">
        <v>45</v>
      </c>
      <c r="D2090" t="s">
        <v>15</v>
      </c>
      <c r="E2090">
        <v>0.19031000000000001</v>
      </c>
    </row>
    <row r="2091" spans="1:5" hidden="1" x14ac:dyDescent="0.3">
      <c r="A2091">
        <v>42</v>
      </c>
      <c r="B2091">
        <v>310000</v>
      </c>
      <c r="C2091" t="s">
        <v>45</v>
      </c>
      <c r="D2091" t="s">
        <v>16</v>
      </c>
      <c r="E2091">
        <v>40332.982171000003</v>
      </c>
    </row>
    <row r="2092" spans="1:5" hidden="1" x14ac:dyDescent="0.3">
      <c r="A2092">
        <v>42</v>
      </c>
      <c r="B2092">
        <v>310000</v>
      </c>
      <c r="C2092" t="s">
        <v>45</v>
      </c>
      <c r="D2092" t="s">
        <v>17</v>
      </c>
      <c r="E2092">
        <v>0.10670499999999999</v>
      </c>
    </row>
    <row r="2093" spans="1:5" hidden="1" x14ac:dyDescent="0.3">
      <c r="A2093">
        <v>42</v>
      </c>
      <c r="B2093">
        <v>310000</v>
      </c>
      <c r="C2093" t="s">
        <v>45</v>
      </c>
      <c r="D2093" t="s">
        <v>18</v>
      </c>
      <c r="E2093">
        <v>88.831041999999997</v>
      </c>
    </row>
    <row r="2094" spans="1:5" hidden="1" x14ac:dyDescent="0.3">
      <c r="A2094">
        <v>42</v>
      </c>
      <c r="B2094">
        <v>310000</v>
      </c>
      <c r="C2094" t="s">
        <v>45</v>
      </c>
      <c r="D2094" t="s">
        <v>19</v>
      </c>
      <c r="E2094">
        <v>8833.3330850000002</v>
      </c>
    </row>
    <row r="2095" spans="1:5" hidden="1" x14ac:dyDescent="0.3">
      <c r="A2095">
        <v>42</v>
      </c>
      <c r="B2095">
        <v>310000</v>
      </c>
      <c r="C2095" t="s">
        <v>45</v>
      </c>
      <c r="D2095" t="s">
        <v>20</v>
      </c>
      <c r="E2095">
        <v>15166.666831</v>
      </c>
    </row>
    <row r="2096" spans="1:5" hidden="1" x14ac:dyDescent="0.3">
      <c r="A2096">
        <v>42</v>
      </c>
      <c r="B2096">
        <v>310000</v>
      </c>
      <c r="C2096" t="s">
        <v>45</v>
      </c>
      <c r="D2096" t="s">
        <v>21</v>
      </c>
      <c r="E2096">
        <v>6.5310000000000007E-2</v>
      </c>
    </row>
    <row r="2097" spans="1:5" hidden="1" x14ac:dyDescent="0.3">
      <c r="A2097">
        <v>42</v>
      </c>
      <c r="B2097">
        <v>310000</v>
      </c>
      <c r="C2097" t="s">
        <v>45</v>
      </c>
      <c r="D2097" t="s">
        <v>22</v>
      </c>
      <c r="E2097">
        <v>504.14621599999998</v>
      </c>
    </row>
    <row r="2098" spans="1:5" hidden="1" x14ac:dyDescent="0.3">
      <c r="A2098">
        <v>42</v>
      </c>
      <c r="B2098">
        <v>310000</v>
      </c>
      <c r="C2098" t="s">
        <v>45</v>
      </c>
      <c r="D2098" t="s">
        <v>23</v>
      </c>
      <c r="E2098">
        <v>4444.4450290000004</v>
      </c>
    </row>
    <row r="2099" spans="1:5" hidden="1" x14ac:dyDescent="0.3">
      <c r="A2099">
        <v>42</v>
      </c>
      <c r="B2099">
        <v>310000</v>
      </c>
      <c r="C2099" t="s">
        <v>45</v>
      </c>
      <c r="D2099" t="s">
        <v>24</v>
      </c>
      <c r="E2099">
        <v>0.20300399999999999</v>
      </c>
    </row>
    <row r="2100" spans="1:5" hidden="1" x14ac:dyDescent="0.3">
      <c r="A2100">
        <v>42</v>
      </c>
      <c r="B2100">
        <v>310000</v>
      </c>
      <c r="C2100" t="s">
        <v>45</v>
      </c>
      <c r="D2100" t="s">
        <v>25</v>
      </c>
      <c r="E2100">
        <v>0.99279499999999998</v>
      </c>
    </row>
    <row r="2101" spans="1:5" hidden="1" x14ac:dyDescent="0.3">
      <c r="A2101">
        <v>42</v>
      </c>
      <c r="B2101">
        <v>310000</v>
      </c>
      <c r="C2101" t="s">
        <v>46</v>
      </c>
      <c r="D2101" t="s">
        <v>26</v>
      </c>
      <c r="E2101">
        <v>9.0216000000000005E-2</v>
      </c>
    </row>
    <row r="2102" spans="1:5" x14ac:dyDescent="0.3">
      <c r="A2102">
        <v>42</v>
      </c>
      <c r="B2102">
        <v>310000</v>
      </c>
      <c r="C2102" t="s">
        <v>46</v>
      </c>
      <c r="D2102" t="s">
        <v>6</v>
      </c>
      <c r="E2102">
        <v>54.987285999999997</v>
      </c>
    </row>
    <row r="2103" spans="1:5" hidden="1" x14ac:dyDescent="0.3">
      <c r="A2103">
        <v>42</v>
      </c>
      <c r="B2103">
        <v>310000</v>
      </c>
      <c r="C2103" t="s">
        <v>46</v>
      </c>
      <c r="D2103" t="s">
        <v>7</v>
      </c>
      <c r="E2103">
        <v>36555.556900000003</v>
      </c>
    </row>
    <row r="2104" spans="1:5" hidden="1" x14ac:dyDescent="0.3">
      <c r="A2104">
        <v>42</v>
      </c>
      <c r="B2104">
        <v>310000</v>
      </c>
      <c r="C2104" t="s">
        <v>46</v>
      </c>
      <c r="D2104" t="s">
        <v>8</v>
      </c>
      <c r="E2104">
        <v>194.444931</v>
      </c>
    </row>
    <row r="2105" spans="1:5" hidden="1" x14ac:dyDescent="0.3">
      <c r="A2105">
        <v>42</v>
      </c>
      <c r="B2105">
        <v>310000</v>
      </c>
      <c r="C2105" t="s">
        <v>46</v>
      </c>
      <c r="D2105" t="s">
        <v>9</v>
      </c>
      <c r="E2105">
        <v>34138.484364999997</v>
      </c>
    </row>
    <row r="2106" spans="1:5" hidden="1" x14ac:dyDescent="0.3">
      <c r="A2106">
        <v>42</v>
      </c>
      <c r="B2106">
        <v>310000</v>
      </c>
      <c r="C2106" t="s">
        <v>46</v>
      </c>
      <c r="D2106" t="s">
        <v>10</v>
      </c>
      <c r="E2106">
        <v>77249.949858000007</v>
      </c>
    </row>
    <row r="2107" spans="1:5" hidden="1" x14ac:dyDescent="0.3">
      <c r="A2107">
        <v>42</v>
      </c>
      <c r="B2107">
        <v>310000</v>
      </c>
      <c r="C2107" t="s">
        <v>46</v>
      </c>
      <c r="D2107" t="s">
        <v>11</v>
      </c>
      <c r="E2107">
        <v>28361.112342</v>
      </c>
    </row>
    <row r="2108" spans="1:5" hidden="1" x14ac:dyDescent="0.3">
      <c r="A2108">
        <v>42</v>
      </c>
      <c r="B2108">
        <v>310000</v>
      </c>
      <c r="C2108" t="s">
        <v>46</v>
      </c>
      <c r="D2108" t="s">
        <v>12</v>
      </c>
      <c r="E2108">
        <v>12555.556785000001</v>
      </c>
    </row>
    <row r="2109" spans="1:5" hidden="1" x14ac:dyDescent="0.3">
      <c r="A2109">
        <v>42</v>
      </c>
      <c r="B2109">
        <v>310000</v>
      </c>
      <c r="C2109" t="s">
        <v>46</v>
      </c>
      <c r="D2109" t="s">
        <v>13</v>
      </c>
      <c r="E2109">
        <v>14172.545806</v>
      </c>
    </row>
    <row r="2110" spans="1:5" hidden="1" x14ac:dyDescent="0.3">
      <c r="A2110">
        <v>42</v>
      </c>
      <c r="B2110">
        <v>310000</v>
      </c>
      <c r="C2110" t="s">
        <v>46</v>
      </c>
      <c r="D2110" t="s">
        <v>14</v>
      </c>
      <c r="E2110">
        <v>6388.8902230000003</v>
      </c>
    </row>
    <row r="2111" spans="1:5" hidden="1" x14ac:dyDescent="0.3">
      <c r="A2111">
        <v>42</v>
      </c>
      <c r="B2111">
        <v>310000</v>
      </c>
      <c r="C2111" t="s">
        <v>46</v>
      </c>
      <c r="D2111" t="s">
        <v>15</v>
      </c>
      <c r="E2111">
        <v>22888.310672</v>
      </c>
    </row>
    <row r="2112" spans="1:5" hidden="1" x14ac:dyDescent="0.3">
      <c r="A2112">
        <v>42</v>
      </c>
      <c r="B2112">
        <v>310000</v>
      </c>
      <c r="C2112" t="s">
        <v>46</v>
      </c>
      <c r="D2112" t="s">
        <v>16</v>
      </c>
      <c r="E2112">
        <v>31515.362625000002</v>
      </c>
    </row>
    <row r="2113" spans="1:5" hidden="1" x14ac:dyDescent="0.3">
      <c r="A2113">
        <v>42</v>
      </c>
      <c r="B2113">
        <v>310000</v>
      </c>
      <c r="C2113" t="s">
        <v>46</v>
      </c>
      <c r="D2113" t="s">
        <v>17</v>
      </c>
      <c r="E2113">
        <v>6.8461999999999995E-2</v>
      </c>
    </row>
    <row r="2114" spans="1:5" hidden="1" x14ac:dyDescent="0.3">
      <c r="A2114">
        <v>42</v>
      </c>
      <c r="B2114">
        <v>310000</v>
      </c>
      <c r="C2114" t="s">
        <v>46</v>
      </c>
      <c r="D2114" t="s">
        <v>18</v>
      </c>
      <c r="E2114">
        <v>44.418050000000001</v>
      </c>
    </row>
    <row r="2115" spans="1:5" hidden="1" x14ac:dyDescent="0.3">
      <c r="A2115">
        <v>42</v>
      </c>
      <c r="B2115">
        <v>310000</v>
      </c>
      <c r="C2115" t="s">
        <v>46</v>
      </c>
      <c r="D2115" t="s">
        <v>19</v>
      </c>
      <c r="E2115">
        <v>4222.2236549999998</v>
      </c>
    </row>
    <row r="2116" spans="1:5" hidden="1" x14ac:dyDescent="0.3">
      <c r="A2116">
        <v>42</v>
      </c>
      <c r="B2116">
        <v>310000</v>
      </c>
      <c r="C2116" t="s">
        <v>46</v>
      </c>
      <c r="D2116" t="s">
        <v>20</v>
      </c>
      <c r="E2116">
        <v>6055.5570049999997</v>
      </c>
    </row>
    <row r="2117" spans="1:5" hidden="1" x14ac:dyDescent="0.3">
      <c r="A2117">
        <v>42</v>
      </c>
      <c r="B2117">
        <v>310000</v>
      </c>
      <c r="C2117" t="s">
        <v>46</v>
      </c>
      <c r="D2117" t="s">
        <v>21</v>
      </c>
      <c r="E2117">
        <v>0.13708600000000001</v>
      </c>
    </row>
    <row r="2118" spans="1:5" hidden="1" x14ac:dyDescent="0.3">
      <c r="A2118">
        <v>42</v>
      </c>
      <c r="B2118">
        <v>310000</v>
      </c>
      <c r="C2118" t="s">
        <v>46</v>
      </c>
      <c r="D2118" t="s">
        <v>22</v>
      </c>
      <c r="E2118">
        <v>268.87917499999998</v>
      </c>
    </row>
    <row r="2119" spans="1:5" hidden="1" x14ac:dyDescent="0.3">
      <c r="A2119">
        <v>42</v>
      </c>
      <c r="B2119">
        <v>310000</v>
      </c>
      <c r="C2119" t="s">
        <v>46</v>
      </c>
      <c r="D2119" t="s">
        <v>23</v>
      </c>
      <c r="E2119">
        <v>1722.223812</v>
      </c>
    </row>
    <row r="2120" spans="1:5" hidden="1" x14ac:dyDescent="0.3">
      <c r="A2120">
        <v>42</v>
      </c>
      <c r="B2120">
        <v>310000</v>
      </c>
      <c r="C2120" t="s">
        <v>46</v>
      </c>
      <c r="D2120" t="s">
        <v>24</v>
      </c>
      <c r="E2120">
        <v>32111.102544000001</v>
      </c>
    </row>
    <row r="2121" spans="1:5" hidden="1" x14ac:dyDescent="0.3">
      <c r="A2121">
        <v>42</v>
      </c>
      <c r="B2121">
        <v>310000</v>
      </c>
      <c r="C2121" t="s">
        <v>46</v>
      </c>
      <c r="D2121" t="s">
        <v>25</v>
      </c>
      <c r="E2121">
        <v>1500.001158</v>
      </c>
    </row>
    <row r="2122" spans="1:5" hidden="1" x14ac:dyDescent="0.3">
      <c r="A2122">
        <v>42</v>
      </c>
      <c r="B2122">
        <v>310000</v>
      </c>
      <c r="C2122" t="s">
        <v>46</v>
      </c>
      <c r="D2122" t="s">
        <v>26</v>
      </c>
      <c r="E2122">
        <v>0.227468</v>
      </c>
    </row>
    <row r="2123" spans="1:5" hidden="1" x14ac:dyDescent="0.3">
      <c r="A2123">
        <v>43</v>
      </c>
      <c r="B2123">
        <v>315000</v>
      </c>
      <c r="C2123" t="s">
        <v>45</v>
      </c>
      <c r="D2123" t="s">
        <v>6</v>
      </c>
      <c r="E2123">
        <v>0.212645</v>
      </c>
    </row>
    <row r="2124" spans="1:5" hidden="1" x14ac:dyDescent="0.3">
      <c r="A2124">
        <v>43</v>
      </c>
      <c r="B2124">
        <v>315000</v>
      </c>
      <c r="C2124" t="s">
        <v>45</v>
      </c>
      <c r="D2124" t="s">
        <v>7</v>
      </c>
      <c r="E2124">
        <v>52999.992416000001</v>
      </c>
    </row>
    <row r="2125" spans="1:5" hidden="1" x14ac:dyDescent="0.3">
      <c r="A2125">
        <v>43</v>
      </c>
      <c r="B2125">
        <v>315000</v>
      </c>
      <c r="C2125" t="s">
        <v>45</v>
      </c>
      <c r="D2125" t="s">
        <v>8</v>
      </c>
      <c r="E2125">
        <v>0.32764700000000002</v>
      </c>
    </row>
    <row r="2126" spans="1:5" hidden="1" x14ac:dyDescent="0.3">
      <c r="A2126">
        <v>43</v>
      </c>
      <c r="B2126">
        <v>315000</v>
      </c>
      <c r="C2126" t="s">
        <v>45</v>
      </c>
      <c r="D2126" t="s">
        <v>9</v>
      </c>
      <c r="E2126">
        <v>66196.299471000006</v>
      </c>
    </row>
    <row r="2127" spans="1:5" hidden="1" x14ac:dyDescent="0.3">
      <c r="A2127">
        <v>43</v>
      </c>
      <c r="B2127">
        <v>315000</v>
      </c>
      <c r="C2127" t="s">
        <v>45</v>
      </c>
      <c r="D2127" t="s">
        <v>10</v>
      </c>
      <c r="E2127">
        <v>0.16728199999999999</v>
      </c>
    </row>
    <row r="2128" spans="1:5" hidden="1" x14ac:dyDescent="0.3">
      <c r="A2128">
        <v>43</v>
      </c>
      <c r="B2128">
        <v>315000</v>
      </c>
      <c r="C2128" t="s">
        <v>45</v>
      </c>
      <c r="D2128" t="s">
        <v>11</v>
      </c>
      <c r="E2128">
        <v>34138.888334000003</v>
      </c>
    </row>
    <row r="2129" spans="1:5" hidden="1" x14ac:dyDescent="0.3">
      <c r="A2129">
        <v>43</v>
      </c>
      <c r="B2129">
        <v>315000</v>
      </c>
      <c r="C2129" t="s">
        <v>45</v>
      </c>
      <c r="D2129" t="s">
        <v>12</v>
      </c>
      <c r="E2129">
        <v>44388.888069000001</v>
      </c>
    </row>
    <row r="2130" spans="1:5" hidden="1" x14ac:dyDescent="0.3">
      <c r="A2130">
        <v>43</v>
      </c>
      <c r="B2130">
        <v>315000</v>
      </c>
      <c r="C2130" t="s">
        <v>45</v>
      </c>
      <c r="D2130" t="s">
        <v>13</v>
      </c>
      <c r="E2130">
        <v>35431.345044000002</v>
      </c>
    </row>
    <row r="2131" spans="1:5" hidden="1" x14ac:dyDescent="0.3">
      <c r="A2131">
        <v>43</v>
      </c>
      <c r="B2131">
        <v>315000</v>
      </c>
      <c r="C2131" t="s">
        <v>45</v>
      </c>
      <c r="D2131" t="s">
        <v>14</v>
      </c>
      <c r="E2131">
        <v>12472.222368999999</v>
      </c>
    </row>
    <row r="2132" spans="1:5" hidden="1" x14ac:dyDescent="0.3">
      <c r="A2132">
        <v>43</v>
      </c>
      <c r="B2132">
        <v>315000</v>
      </c>
      <c r="C2132" t="s">
        <v>45</v>
      </c>
      <c r="D2132" t="s">
        <v>15</v>
      </c>
      <c r="E2132">
        <v>0.113384</v>
      </c>
    </row>
    <row r="2133" spans="1:5" hidden="1" x14ac:dyDescent="0.3">
      <c r="A2133">
        <v>43</v>
      </c>
      <c r="B2133">
        <v>315000</v>
      </c>
      <c r="C2133" t="s">
        <v>45</v>
      </c>
      <c r="D2133" t="s">
        <v>16</v>
      </c>
      <c r="E2133">
        <v>40332.980108999996</v>
      </c>
    </row>
    <row r="2134" spans="1:5" hidden="1" x14ac:dyDescent="0.3">
      <c r="A2134">
        <v>43</v>
      </c>
      <c r="B2134">
        <v>315000</v>
      </c>
      <c r="C2134" t="s">
        <v>45</v>
      </c>
      <c r="D2134" t="s">
        <v>17</v>
      </c>
      <c r="E2134">
        <v>0.15243799999999999</v>
      </c>
    </row>
    <row r="2135" spans="1:5" hidden="1" x14ac:dyDescent="0.3">
      <c r="A2135">
        <v>43</v>
      </c>
      <c r="B2135">
        <v>315000</v>
      </c>
      <c r="C2135" t="s">
        <v>45</v>
      </c>
      <c r="D2135" t="s">
        <v>18</v>
      </c>
      <c r="E2135">
        <v>88.831698000000003</v>
      </c>
    </row>
    <row r="2136" spans="1:5" hidden="1" x14ac:dyDescent="0.3">
      <c r="A2136">
        <v>43</v>
      </c>
      <c r="B2136">
        <v>315000</v>
      </c>
      <c r="C2136" t="s">
        <v>45</v>
      </c>
      <c r="D2136" t="s">
        <v>19</v>
      </c>
      <c r="E2136">
        <v>8833.3339840000008</v>
      </c>
    </row>
    <row r="2137" spans="1:5" hidden="1" x14ac:dyDescent="0.3">
      <c r="A2137">
        <v>43</v>
      </c>
      <c r="B2137">
        <v>315000</v>
      </c>
      <c r="C2137" t="s">
        <v>45</v>
      </c>
      <c r="D2137" t="s">
        <v>20</v>
      </c>
      <c r="E2137">
        <v>15166.667557000001</v>
      </c>
    </row>
    <row r="2138" spans="1:5" hidden="1" x14ac:dyDescent="0.3">
      <c r="A2138">
        <v>43</v>
      </c>
      <c r="B2138">
        <v>315000</v>
      </c>
      <c r="C2138" t="s">
        <v>45</v>
      </c>
      <c r="D2138" t="s">
        <v>21</v>
      </c>
      <c r="E2138">
        <v>4.3138000000000003E-2</v>
      </c>
    </row>
    <row r="2139" spans="1:5" hidden="1" x14ac:dyDescent="0.3">
      <c r="A2139">
        <v>43</v>
      </c>
      <c r="B2139">
        <v>315000</v>
      </c>
      <c r="C2139" t="s">
        <v>45</v>
      </c>
      <c r="D2139" t="s">
        <v>22</v>
      </c>
      <c r="E2139">
        <v>504.14714199999997</v>
      </c>
    </row>
    <row r="2140" spans="1:5" hidden="1" x14ac:dyDescent="0.3">
      <c r="A2140">
        <v>43</v>
      </c>
      <c r="B2140">
        <v>315000</v>
      </c>
      <c r="C2140" t="s">
        <v>45</v>
      </c>
      <c r="D2140" t="s">
        <v>23</v>
      </c>
      <c r="E2140">
        <v>4444.4455669999998</v>
      </c>
    </row>
    <row r="2141" spans="1:5" hidden="1" x14ac:dyDescent="0.3">
      <c r="A2141">
        <v>43</v>
      </c>
      <c r="B2141">
        <v>315000</v>
      </c>
      <c r="C2141" t="s">
        <v>45</v>
      </c>
      <c r="D2141" t="s">
        <v>24</v>
      </c>
      <c r="E2141">
        <v>0.12131400000000001</v>
      </c>
    </row>
    <row r="2142" spans="1:5" hidden="1" x14ac:dyDescent="0.3">
      <c r="A2142">
        <v>43</v>
      </c>
      <c r="B2142">
        <v>315000</v>
      </c>
      <c r="C2142" t="s">
        <v>45</v>
      </c>
      <c r="D2142" t="s">
        <v>25</v>
      </c>
      <c r="E2142">
        <v>0.79576999999999998</v>
      </c>
    </row>
    <row r="2143" spans="1:5" hidden="1" x14ac:dyDescent="0.3">
      <c r="A2143">
        <v>43</v>
      </c>
      <c r="B2143">
        <v>315000</v>
      </c>
      <c r="C2143" t="s">
        <v>46</v>
      </c>
      <c r="D2143" t="s">
        <v>26</v>
      </c>
      <c r="E2143">
        <v>5.6411000000000003E-2</v>
      </c>
    </row>
    <row r="2144" spans="1:5" x14ac:dyDescent="0.3">
      <c r="A2144">
        <v>43</v>
      </c>
      <c r="B2144">
        <v>315000</v>
      </c>
      <c r="C2144" t="s">
        <v>46</v>
      </c>
      <c r="D2144" t="s">
        <v>6</v>
      </c>
      <c r="E2144">
        <v>54.990656999999999</v>
      </c>
    </row>
    <row r="2145" spans="1:5" hidden="1" x14ac:dyDescent="0.3">
      <c r="A2145">
        <v>43</v>
      </c>
      <c r="B2145">
        <v>315000</v>
      </c>
      <c r="C2145" t="s">
        <v>46</v>
      </c>
      <c r="D2145" t="s">
        <v>7</v>
      </c>
      <c r="E2145">
        <v>36555.559831999999</v>
      </c>
    </row>
    <row r="2146" spans="1:5" hidden="1" x14ac:dyDescent="0.3">
      <c r="A2146">
        <v>43</v>
      </c>
      <c r="B2146">
        <v>315000</v>
      </c>
      <c r="C2146" t="s">
        <v>46</v>
      </c>
      <c r="D2146" t="s">
        <v>8</v>
      </c>
      <c r="E2146">
        <v>194.448227</v>
      </c>
    </row>
    <row r="2147" spans="1:5" hidden="1" x14ac:dyDescent="0.3">
      <c r="A2147">
        <v>43</v>
      </c>
      <c r="B2147">
        <v>315000</v>
      </c>
      <c r="C2147" t="s">
        <v>46</v>
      </c>
      <c r="D2147" t="s">
        <v>9</v>
      </c>
      <c r="E2147">
        <v>34138.486996</v>
      </c>
    </row>
    <row r="2148" spans="1:5" hidden="1" x14ac:dyDescent="0.3">
      <c r="A2148">
        <v>43</v>
      </c>
      <c r="B2148">
        <v>315000</v>
      </c>
      <c r="C2148" t="s">
        <v>46</v>
      </c>
      <c r="D2148" t="s">
        <v>10</v>
      </c>
      <c r="E2148">
        <v>77249.836165000001</v>
      </c>
    </row>
    <row r="2149" spans="1:5" hidden="1" x14ac:dyDescent="0.3">
      <c r="A2149">
        <v>43</v>
      </c>
      <c r="B2149">
        <v>315000</v>
      </c>
      <c r="C2149" t="s">
        <v>46</v>
      </c>
      <c r="D2149" t="s">
        <v>11</v>
      </c>
      <c r="E2149">
        <v>28361.115138000001</v>
      </c>
    </row>
    <row r="2150" spans="1:5" hidden="1" x14ac:dyDescent="0.3">
      <c r="A2150">
        <v>43</v>
      </c>
      <c r="B2150">
        <v>315000</v>
      </c>
      <c r="C2150" t="s">
        <v>46</v>
      </c>
      <c r="D2150" t="s">
        <v>12</v>
      </c>
      <c r="E2150">
        <v>12555.559584000001</v>
      </c>
    </row>
    <row r="2151" spans="1:5" hidden="1" x14ac:dyDescent="0.3">
      <c r="A2151">
        <v>43</v>
      </c>
      <c r="B2151">
        <v>315000</v>
      </c>
      <c r="C2151" t="s">
        <v>46</v>
      </c>
      <c r="D2151" t="s">
        <v>13</v>
      </c>
      <c r="E2151">
        <v>14172.548728</v>
      </c>
    </row>
    <row r="2152" spans="1:5" hidden="1" x14ac:dyDescent="0.3">
      <c r="A2152">
        <v>43</v>
      </c>
      <c r="B2152">
        <v>315000</v>
      </c>
      <c r="C2152" t="s">
        <v>46</v>
      </c>
      <c r="D2152" t="s">
        <v>14</v>
      </c>
      <c r="E2152">
        <v>6388.8931160000002</v>
      </c>
    </row>
    <row r="2153" spans="1:5" hidden="1" x14ac:dyDescent="0.3">
      <c r="A2153">
        <v>43</v>
      </c>
      <c r="B2153">
        <v>315000</v>
      </c>
      <c r="C2153" t="s">
        <v>46</v>
      </c>
      <c r="D2153" t="s">
        <v>15</v>
      </c>
      <c r="E2153">
        <v>27887.322821999998</v>
      </c>
    </row>
    <row r="2154" spans="1:5" hidden="1" x14ac:dyDescent="0.3">
      <c r="A2154">
        <v>43</v>
      </c>
      <c r="B2154">
        <v>315000</v>
      </c>
      <c r="C2154" t="s">
        <v>46</v>
      </c>
      <c r="D2154" t="s">
        <v>16</v>
      </c>
      <c r="E2154">
        <v>31515.365728000001</v>
      </c>
    </row>
    <row r="2155" spans="1:5" hidden="1" x14ac:dyDescent="0.3">
      <c r="A2155">
        <v>43</v>
      </c>
      <c r="B2155">
        <v>315000</v>
      </c>
      <c r="C2155" t="s">
        <v>46</v>
      </c>
      <c r="D2155" t="s">
        <v>17</v>
      </c>
      <c r="E2155">
        <v>0.74861100000000003</v>
      </c>
    </row>
    <row r="2156" spans="1:5" hidden="1" x14ac:dyDescent="0.3">
      <c r="A2156">
        <v>43</v>
      </c>
      <c r="B2156">
        <v>315000</v>
      </c>
      <c r="C2156" t="s">
        <v>46</v>
      </c>
      <c r="D2156" t="s">
        <v>18</v>
      </c>
      <c r="E2156">
        <v>44.421429000000003</v>
      </c>
    </row>
    <row r="2157" spans="1:5" hidden="1" x14ac:dyDescent="0.3">
      <c r="A2157">
        <v>43</v>
      </c>
      <c r="B2157">
        <v>315000</v>
      </c>
      <c r="C2157" t="s">
        <v>46</v>
      </c>
      <c r="D2157" t="s">
        <v>19</v>
      </c>
      <c r="E2157">
        <v>4222.2266289999998</v>
      </c>
    </row>
    <row r="2158" spans="1:5" hidden="1" x14ac:dyDescent="0.3">
      <c r="A2158">
        <v>43</v>
      </c>
      <c r="B2158">
        <v>315000</v>
      </c>
      <c r="C2158" t="s">
        <v>46</v>
      </c>
      <c r="D2158" t="s">
        <v>20</v>
      </c>
      <c r="E2158">
        <v>6055.5600210000002</v>
      </c>
    </row>
    <row r="2159" spans="1:5" hidden="1" x14ac:dyDescent="0.3">
      <c r="A2159">
        <v>43</v>
      </c>
      <c r="B2159">
        <v>315000</v>
      </c>
      <c r="C2159" t="s">
        <v>46</v>
      </c>
      <c r="D2159" t="s">
        <v>21</v>
      </c>
      <c r="E2159">
        <v>0.31352600000000003</v>
      </c>
    </row>
    <row r="2160" spans="1:5" hidden="1" x14ac:dyDescent="0.3">
      <c r="A2160">
        <v>43</v>
      </c>
      <c r="B2160">
        <v>315000</v>
      </c>
      <c r="C2160" t="s">
        <v>46</v>
      </c>
      <c r="D2160" t="s">
        <v>22</v>
      </c>
      <c r="E2160">
        <v>268.88239600000003</v>
      </c>
    </row>
    <row r="2161" spans="1:5" hidden="1" x14ac:dyDescent="0.3">
      <c r="A2161">
        <v>43</v>
      </c>
      <c r="B2161">
        <v>315000</v>
      </c>
      <c r="C2161" t="s">
        <v>46</v>
      </c>
      <c r="D2161" t="s">
        <v>23</v>
      </c>
      <c r="E2161">
        <v>1722.226944</v>
      </c>
    </row>
    <row r="2162" spans="1:5" hidden="1" x14ac:dyDescent="0.3">
      <c r="A2162">
        <v>43</v>
      </c>
      <c r="B2162">
        <v>315000</v>
      </c>
      <c r="C2162" t="s">
        <v>46</v>
      </c>
      <c r="D2162" t="s">
        <v>24</v>
      </c>
      <c r="E2162">
        <v>32111.094208999999</v>
      </c>
    </row>
    <row r="2163" spans="1:5" hidden="1" x14ac:dyDescent="0.3">
      <c r="A2163">
        <v>43</v>
      </c>
      <c r="B2163">
        <v>315000</v>
      </c>
      <c r="C2163" t="s">
        <v>46</v>
      </c>
      <c r="D2163" t="s">
        <v>25</v>
      </c>
      <c r="E2163">
        <v>1500.0040180000001</v>
      </c>
    </row>
    <row r="2164" spans="1:5" hidden="1" x14ac:dyDescent="0.3">
      <c r="A2164">
        <v>43</v>
      </c>
      <c r="B2164">
        <v>315000</v>
      </c>
      <c r="C2164" t="s">
        <v>46</v>
      </c>
      <c r="D2164" t="s">
        <v>26</v>
      </c>
      <c r="E2164">
        <v>0.50774900000000001</v>
      </c>
    </row>
    <row r="2165" spans="1:5" hidden="1" x14ac:dyDescent="0.3">
      <c r="A2165">
        <v>44</v>
      </c>
      <c r="B2165">
        <v>320000</v>
      </c>
      <c r="C2165" t="s">
        <v>45</v>
      </c>
      <c r="D2165" t="s">
        <v>6</v>
      </c>
      <c r="E2165">
        <v>1.5429E-2</v>
      </c>
    </row>
    <row r="2166" spans="1:5" hidden="1" x14ac:dyDescent="0.3">
      <c r="A2166">
        <v>44</v>
      </c>
      <c r="B2166">
        <v>320000</v>
      </c>
      <c r="C2166" t="s">
        <v>45</v>
      </c>
      <c r="D2166" t="s">
        <v>7</v>
      </c>
      <c r="E2166">
        <v>52999.999925999997</v>
      </c>
    </row>
    <row r="2167" spans="1:5" hidden="1" x14ac:dyDescent="0.3">
      <c r="A2167">
        <v>44</v>
      </c>
      <c r="B2167">
        <v>320000</v>
      </c>
      <c r="C2167" t="s">
        <v>45</v>
      </c>
      <c r="D2167" t="s">
        <v>8</v>
      </c>
      <c r="E2167">
        <v>3.3737000000000003E-2</v>
      </c>
    </row>
    <row r="2168" spans="1:5" hidden="1" x14ac:dyDescent="0.3">
      <c r="A2168">
        <v>44</v>
      </c>
      <c r="B2168">
        <v>320000</v>
      </c>
      <c r="C2168" t="s">
        <v>45</v>
      </c>
      <c r="D2168" t="s">
        <v>9</v>
      </c>
      <c r="E2168">
        <v>71198.021561000001</v>
      </c>
    </row>
    <row r="2169" spans="1:5" hidden="1" x14ac:dyDescent="0.3">
      <c r="A2169">
        <v>44</v>
      </c>
      <c r="B2169">
        <v>320000</v>
      </c>
      <c r="C2169" t="s">
        <v>45</v>
      </c>
      <c r="D2169" t="s">
        <v>10</v>
      </c>
      <c r="E2169">
        <v>2.2919999999999999E-2</v>
      </c>
    </row>
    <row r="2170" spans="1:5" hidden="1" x14ac:dyDescent="0.3">
      <c r="A2170">
        <v>44</v>
      </c>
      <c r="B2170">
        <v>320000</v>
      </c>
      <c r="C2170" t="s">
        <v>45</v>
      </c>
      <c r="D2170" t="s">
        <v>11</v>
      </c>
      <c r="E2170">
        <v>34138.888645999999</v>
      </c>
    </row>
    <row r="2171" spans="1:5" hidden="1" x14ac:dyDescent="0.3">
      <c r="A2171">
        <v>44</v>
      </c>
      <c r="B2171">
        <v>320000</v>
      </c>
      <c r="C2171" t="s">
        <v>45</v>
      </c>
      <c r="D2171" t="s">
        <v>12</v>
      </c>
      <c r="E2171">
        <v>44388.888396000002</v>
      </c>
    </row>
    <row r="2172" spans="1:5" hidden="1" x14ac:dyDescent="0.3">
      <c r="A2172">
        <v>44</v>
      </c>
      <c r="B2172">
        <v>320000</v>
      </c>
      <c r="C2172" t="s">
        <v>45</v>
      </c>
      <c r="D2172" t="s">
        <v>13</v>
      </c>
      <c r="E2172">
        <v>35431.344340000003</v>
      </c>
    </row>
    <row r="2173" spans="1:5" hidden="1" x14ac:dyDescent="0.3">
      <c r="A2173">
        <v>44</v>
      </c>
      <c r="B2173">
        <v>320000</v>
      </c>
      <c r="C2173" t="s">
        <v>45</v>
      </c>
      <c r="D2173" t="s">
        <v>14</v>
      </c>
      <c r="E2173">
        <v>12472.222072</v>
      </c>
    </row>
    <row r="2174" spans="1:5" hidden="1" x14ac:dyDescent="0.3">
      <c r="A2174">
        <v>44</v>
      </c>
      <c r="B2174">
        <v>320000</v>
      </c>
      <c r="C2174" t="s">
        <v>45</v>
      </c>
      <c r="D2174" t="s">
        <v>15</v>
      </c>
      <c r="E2174">
        <v>1.4751E-2</v>
      </c>
    </row>
    <row r="2175" spans="1:5" hidden="1" x14ac:dyDescent="0.3">
      <c r="A2175">
        <v>44</v>
      </c>
      <c r="B2175">
        <v>320000</v>
      </c>
      <c r="C2175" t="s">
        <v>45</v>
      </c>
      <c r="D2175" t="s">
        <v>16</v>
      </c>
      <c r="E2175">
        <v>40332.999959000001</v>
      </c>
    </row>
    <row r="2176" spans="1:5" hidden="1" x14ac:dyDescent="0.3">
      <c r="A2176">
        <v>44</v>
      </c>
      <c r="B2176">
        <v>320000</v>
      </c>
      <c r="C2176" t="s">
        <v>45</v>
      </c>
      <c r="D2176" t="s">
        <v>17</v>
      </c>
      <c r="E2176">
        <v>1.5107000000000001E-2</v>
      </c>
    </row>
    <row r="2177" spans="1:5" hidden="1" x14ac:dyDescent="0.3">
      <c r="A2177">
        <v>44</v>
      </c>
      <c r="B2177">
        <v>320000</v>
      </c>
      <c r="C2177" t="s">
        <v>45</v>
      </c>
      <c r="D2177" t="s">
        <v>18</v>
      </c>
      <c r="E2177">
        <v>88.832887999999997</v>
      </c>
    </row>
    <row r="2178" spans="1:5" hidden="1" x14ac:dyDescent="0.3">
      <c r="A2178">
        <v>44</v>
      </c>
      <c r="B2178">
        <v>320000</v>
      </c>
      <c r="C2178" t="s">
        <v>45</v>
      </c>
      <c r="D2178" t="s">
        <v>19</v>
      </c>
      <c r="E2178">
        <v>8833.3332489999993</v>
      </c>
    </row>
    <row r="2179" spans="1:5" hidden="1" x14ac:dyDescent="0.3">
      <c r="A2179">
        <v>44</v>
      </c>
      <c r="B2179">
        <v>320000</v>
      </c>
      <c r="C2179" t="s">
        <v>45</v>
      </c>
      <c r="D2179" t="s">
        <v>20</v>
      </c>
      <c r="E2179">
        <v>15166.666609</v>
      </c>
    </row>
    <row r="2180" spans="1:5" hidden="1" x14ac:dyDescent="0.3">
      <c r="A2180">
        <v>44</v>
      </c>
      <c r="B2180">
        <v>320000</v>
      </c>
      <c r="C2180" t="s">
        <v>45</v>
      </c>
      <c r="D2180" t="s">
        <v>21</v>
      </c>
      <c r="E2180">
        <v>4.9870000000000001E-3</v>
      </c>
    </row>
    <row r="2181" spans="1:5" hidden="1" x14ac:dyDescent="0.3">
      <c r="A2181">
        <v>44</v>
      </c>
      <c r="B2181">
        <v>320000</v>
      </c>
      <c r="C2181" t="s">
        <v>45</v>
      </c>
      <c r="D2181" t="s">
        <v>22</v>
      </c>
      <c r="E2181">
        <v>504.147065</v>
      </c>
    </row>
    <row r="2182" spans="1:5" hidden="1" x14ac:dyDescent="0.3">
      <c r="A2182">
        <v>44</v>
      </c>
      <c r="B2182">
        <v>320000</v>
      </c>
      <c r="C2182" t="s">
        <v>45</v>
      </c>
      <c r="D2182" t="s">
        <v>23</v>
      </c>
      <c r="E2182">
        <v>4444.4444210000001</v>
      </c>
    </row>
    <row r="2183" spans="1:5" hidden="1" x14ac:dyDescent="0.3">
      <c r="A2183">
        <v>44</v>
      </c>
      <c r="B2183">
        <v>320000</v>
      </c>
      <c r="C2183" t="s">
        <v>45</v>
      </c>
      <c r="D2183" t="s">
        <v>24</v>
      </c>
      <c r="E2183">
        <v>1.5767E-2</v>
      </c>
    </row>
    <row r="2184" spans="1:5" hidden="1" x14ac:dyDescent="0.3">
      <c r="A2184">
        <v>44</v>
      </c>
      <c r="B2184">
        <v>320000</v>
      </c>
      <c r="C2184" t="s">
        <v>45</v>
      </c>
      <c r="D2184" t="s">
        <v>25</v>
      </c>
      <c r="E2184">
        <v>8.1250000000000003E-2</v>
      </c>
    </row>
    <row r="2185" spans="1:5" hidden="1" x14ac:dyDescent="0.3">
      <c r="A2185">
        <v>44</v>
      </c>
      <c r="B2185">
        <v>320000</v>
      </c>
      <c r="C2185" t="s">
        <v>46</v>
      </c>
      <c r="D2185" t="s">
        <v>26</v>
      </c>
      <c r="E2185">
        <v>7.4920000000000004E-3</v>
      </c>
    </row>
    <row r="2186" spans="1:5" x14ac:dyDescent="0.3">
      <c r="A2186">
        <v>44</v>
      </c>
      <c r="B2186">
        <v>320000</v>
      </c>
      <c r="C2186" t="s">
        <v>46</v>
      </c>
      <c r="D2186" t="s">
        <v>6</v>
      </c>
      <c r="E2186">
        <v>54.988953000000002</v>
      </c>
    </row>
    <row r="2187" spans="1:5" hidden="1" x14ac:dyDescent="0.3">
      <c r="A2187">
        <v>44</v>
      </c>
      <c r="B2187">
        <v>320000</v>
      </c>
      <c r="C2187" t="s">
        <v>46</v>
      </c>
      <c r="D2187" t="s">
        <v>7</v>
      </c>
      <c r="E2187">
        <v>36555.558403000003</v>
      </c>
    </row>
    <row r="2188" spans="1:5" hidden="1" x14ac:dyDescent="0.3">
      <c r="A2188">
        <v>44</v>
      </c>
      <c r="B2188">
        <v>320000</v>
      </c>
      <c r="C2188" t="s">
        <v>46</v>
      </c>
      <c r="D2188" t="s">
        <v>8</v>
      </c>
      <c r="E2188">
        <v>194.44713400000001</v>
      </c>
    </row>
    <row r="2189" spans="1:5" hidden="1" x14ac:dyDescent="0.3">
      <c r="A2189">
        <v>44</v>
      </c>
      <c r="B2189">
        <v>320000</v>
      </c>
      <c r="C2189" t="s">
        <v>46</v>
      </c>
      <c r="D2189" t="s">
        <v>9</v>
      </c>
      <c r="E2189">
        <v>34138.486097000001</v>
      </c>
    </row>
    <row r="2190" spans="1:5" hidden="1" x14ac:dyDescent="0.3">
      <c r="A2190">
        <v>44</v>
      </c>
      <c r="B2190">
        <v>320000</v>
      </c>
      <c r="C2190" t="s">
        <v>46</v>
      </c>
      <c r="D2190" t="s">
        <v>10</v>
      </c>
      <c r="E2190">
        <v>77249.985211000007</v>
      </c>
    </row>
    <row r="2191" spans="1:5" hidden="1" x14ac:dyDescent="0.3">
      <c r="A2191">
        <v>44</v>
      </c>
      <c r="B2191">
        <v>320000</v>
      </c>
      <c r="C2191" t="s">
        <v>46</v>
      </c>
      <c r="D2191" t="s">
        <v>11</v>
      </c>
      <c r="E2191">
        <v>28361.113926000002</v>
      </c>
    </row>
    <row r="2192" spans="1:5" hidden="1" x14ac:dyDescent="0.3">
      <c r="A2192">
        <v>44</v>
      </c>
      <c r="B2192">
        <v>320000</v>
      </c>
      <c r="C2192" t="s">
        <v>46</v>
      </c>
      <c r="D2192" t="s">
        <v>12</v>
      </c>
      <c r="E2192">
        <v>12555.558370000001</v>
      </c>
    </row>
    <row r="2193" spans="1:5" hidden="1" x14ac:dyDescent="0.3">
      <c r="A2193">
        <v>44</v>
      </c>
      <c r="B2193">
        <v>320000</v>
      </c>
      <c r="C2193" t="s">
        <v>46</v>
      </c>
      <c r="D2193" t="s">
        <v>13</v>
      </c>
      <c r="E2193">
        <v>14172.5473</v>
      </c>
    </row>
    <row r="2194" spans="1:5" hidden="1" x14ac:dyDescent="0.3">
      <c r="A2194">
        <v>44</v>
      </c>
      <c r="B2194">
        <v>320000</v>
      </c>
      <c r="C2194" t="s">
        <v>46</v>
      </c>
      <c r="D2194" t="s">
        <v>14</v>
      </c>
      <c r="E2194">
        <v>6388.8917339999998</v>
      </c>
    </row>
    <row r="2195" spans="1:5" hidden="1" x14ac:dyDescent="0.3">
      <c r="A2195">
        <v>44</v>
      </c>
      <c r="B2195">
        <v>320000</v>
      </c>
      <c r="C2195" t="s">
        <v>46</v>
      </c>
      <c r="D2195" t="s">
        <v>15</v>
      </c>
      <c r="E2195">
        <v>30638.825955</v>
      </c>
    </row>
    <row r="2196" spans="1:5" hidden="1" x14ac:dyDescent="0.3">
      <c r="A2196">
        <v>44</v>
      </c>
      <c r="B2196">
        <v>320000</v>
      </c>
      <c r="C2196" t="s">
        <v>46</v>
      </c>
      <c r="D2196" t="s">
        <v>16</v>
      </c>
      <c r="E2196">
        <v>31515.364018</v>
      </c>
    </row>
    <row r="2197" spans="1:5" hidden="1" x14ac:dyDescent="0.3">
      <c r="A2197">
        <v>44</v>
      </c>
      <c r="B2197">
        <v>320000</v>
      </c>
      <c r="C2197" t="s">
        <v>46</v>
      </c>
      <c r="D2197" t="s">
        <v>17</v>
      </c>
      <c r="E2197">
        <v>55.558011999999998</v>
      </c>
    </row>
    <row r="2198" spans="1:5" hidden="1" x14ac:dyDescent="0.3">
      <c r="A2198">
        <v>44</v>
      </c>
      <c r="B2198">
        <v>320000</v>
      </c>
      <c r="C2198" t="s">
        <v>46</v>
      </c>
      <c r="D2198" t="s">
        <v>18</v>
      </c>
      <c r="E2198">
        <v>44.419567000000001</v>
      </c>
    </row>
    <row r="2199" spans="1:5" hidden="1" x14ac:dyDescent="0.3">
      <c r="A2199">
        <v>44</v>
      </c>
      <c r="B2199">
        <v>320000</v>
      </c>
      <c r="C2199" t="s">
        <v>46</v>
      </c>
      <c r="D2199" t="s">
        <v>19</v>
      </c>
      <c r="E2199">
        <v>4222.2250990000002</v>
      </c>
    </row>
    <row r="2200" spans="1:5" hidden="1" x14ac:dyDescent="0.3">
      <c r="A2200">
        <v>44</v>
      </c>
      <c r="B2200">
        <v>320000</v>
      </c>
      <c r="C2200" t="s">
        <v>46</v>
      </c>
      <c r="D2200" t="s">
        <v>20</v>
      </c>
      <c r="E2200">
        <v>6055.5584440000002</v>
      </c>
    </row>
    <row r="2201" spans="1:5" hidden="1" x14ac:dyDescent="0.3">
      <c r="A2201">
        <v>44</v>
      </c>
      <c r="B2201">
        <v>320000</v>
      </c>
      <c r="C2201" t="s">
        <v>46</v>
      </c>
      <c r="D2201" t="s">
        <v>21</v>
      </c>
      <c r="E2201">
        <v>0.35615599999999997</v>
      </c>
    </row>
    <row r="2202" spans="1:5" hidden="1" x14ac:dyDescent="0.3">
      <c r="A2202">
        <v>44</v>
      </c>
      <c r="B2202">
        <v>320000</v>
      </c>
      <c r="C2202" t="s">
        <v>46</v>
      </c>
      <c r="D2202" t="s">
        <v>22</v>
      </c>
      <c r="E2202">
        <v>268.88064400000002</v>
      </c>
    </row>
    <row r="2203" spans="1:5" hidden="1" x14ac:dyDescent="0.3">
      <c r="A2203">
        <v>44</v>
      </c>
      <c r="B2203">
        <v>320000</v>
      </c>
      <c r="C2203" t="s">
        <v>46</v>
      </c>
      <c r="D2203" t="s">
        <v>23</v>
      </c>
      <c r="E2203">
        <v>1722.2251630000001</v>
      </c>
    </row>
    <row r="2204" spans="1:5" hidden="1" x14ac:dyDescent="0.3">
      <c r="A2204">
        <v>44</v>
      </c>
      <c r="B2204">
        <v>320000</v>
      </c>
      <c r="C2204" t="s">
        <v>46</v>
      </c>
      <c r="D2204" t="s">
        <v>24</v>
      </c>
      <c r="E2204">
        <v>32111.113433999999</v>
      </c>
    </row>
    <row r="2205" spans="1:5" hidden="1" x14ac:dyDescent="0.3">
      <c r="A2205">
        <v>44</v>
      </c>
      <c r="B2205">
        <v>320000</v>
      </c>
      <c r="C2205" t="s">
        <v>46</v>
      </c>
      <c r="D2205" t="s">
        <v>25</v>
      </c>
      <c r="E2205">
        <v>1500.002794</v>
      </c>
    </row>
    <row r="2206" spans="1:5" hidden="1" x14ac:dyDescent="0.3">
      <c r="A2206">
        <v>44</v>
      </c>
      <c r="B2206">
        <v>320000</v>
      </c>
      <c r="C2206" t="s">
        <v>46</v>
      </c>
      <c r="D2206" t="s">
        <v>26</v>
      </c>
      <c r="E2206">
        <v>2193.9598230000001</v>
      </c>
    </row>
    <row r="2207" spans="1:5" hidden="1" x14ac:dyDescent="0.3">
      <c r="A2207">
        <v>45</v>
      </c>
      <c r="B2207">
        <v>325000</v>
      </c>
      <c r="C2207" t="s">
        <v>45</v>
      </c>
      <c r="D2207" t="s">
        <v>6</v>
      </c>
      <c r="E2207">
        <v>0.29272300000000001</v>
      </c>
    </row>
    <row r="2208" spans="1:5" hidden="1" x14ac:dyDescent="0.3">
      <c r="A2208">
        <v>45</v>
      </c>
      <c r="B2208">
        <v>325000</v>
      </c>
      <c r="C2208" t="s">
        <v>45</v>
      </c>
      <c r="D2208" t="s">
        <v>7</v>
      </c>
      <c r="E2208">
        <v>52999.999208000001</v>
      </c>
    </row>
    <row r="2209" spans="1:5" hidden="1" x14ac:dyDescent="0.3">
      <c r="A2209">
        <v>45</v>
      </c>
      <c r="B2209">
        <v>325000</v>
      </c>
      <c r="C2209" t="s">
        <v>45</v>
      </c>
      <c r="D2209" t="s">
        <v>8</v>
      </c>
      <c r="E2209">
        <v>0.60206899999999997</v>
      </c>
    </row>
    <row r="2210" spans="1:5" hidden="1" x14ac:dyDescent="0.3">
      <c r="A2210">
        <v>45</v>
      </c>
      <c r="B2210">
        <v>325000</v>
      </c>
      <c r="C2210" t="s">
        <v>45</v>
      </c>
      <c r="D2210" t="s">
        <v>9</v>
      </c>
      <c r="E2210">
        <v>76194.243358000007</v>
      </c>
    </row>
    <row r="2211" spans="1:5" hidden="1" x14ac:dyDescent="0.3">
      <c r="A2211">
        <v>45</v>
      </c>
      <c r="B2211">
        <v>325000</v>
      </c>
      <c r="C2211" t="s">
        <v>45</v>
      </c>
      <c r="D2211" t="s">
        <v>10</v>
      </c>
      <c r="E2211">
        <v>0.38988400000000001</v>
      </c>
    </row>
    <row r="2212" spans="1:5" hidden="1" x14ac:dyDescent="0.3">
      <c r="A2212">
        <v>45</v>
      </c>
      <c r="B2212">
        <v>325000</v>
      </c>
      <c r="C2212" t="s">
        <v>45</v>
      </c>
      <c r="D2212" t="s">
        <v>11</v>
      </c>
      <c r="E2212">
        <v>34138.884907</v>
      </c>
    </row>
    <row r="2213" spans="1:5" hidden="1" x14ac:dyDescent="0.3">
      <c r="A2213">
        <v>45</v>
      </c>
      <c r="B2213">
        <v>325000</v>
      </c>
      <c r="C2213" t="s">
        <v>45</v>
      </c>
      <c r="D2213" t="s">
        <v>12</v>
      </c>
      <c r="E2213">
        <v>44388.886770999998</v>
      </c>
    </row>
    <row r="2214" spans="1:5" hidden="1" x14ac:dyDescent="0.3">
      <c r="A2214">
        <v>45</v>
      </c>
      <c r="B2214">
        <v>325000</v>
      </c>
      <c r="C2214" t="s">
        <v>45</v>
      </c>
      <c r="D2214" t="s">
        <v>13</v>
      </c>
      <c r="E2214">
        <v>35431.343395999997</v>
      </c>
    </row>
    <row r="2215" spans="1:5" hidden="1" x14ac:dyDescent="0.3">
      <c r="A2215">
        <v>45</v>
      </c>
      <c r="B2215">
        <v>325000</v>
      </c>
      <c r="C2215" t="s">
        <v>45</v>
      </c>
      <c r="D2215" t="s">
        <v>14</v>
      </c>
      <c r="E2215">
        <v>12472.220386000001</v>
      </c>
    </row>
    <row r="2216" spans="1:5" hidden="1" x14ac:dyDescent="0.3">
      <c r="A2216">
        <v>45</v>
      </c>
      <c r="B2216">
        <v>325000</v>
      </c>
      <c r="C2216" t="s">
        <v>45</v>
      </c>
      <c r="D2216" t="s">
        <v>15</v>
      </c>
      <c r="E2216">
        <v>0.272345</v>
      </c>
    </row>
    <row r="2217" spans="1:5" hidden="1" x14ac:dyDescent="0.3">
      <c r="A2217">
        <v>45</v>
      </c>
      <c r="B2217">
        <v>325000</v>
      </c>
      <c r="C2217" t="s">
        <v>45</v>
      </c>
      <c r="D2217" t="s">
        <v>16</v>
      </c>
      <c r="E2217">
        <v>40332.963427000002</v>
      </c>
    </row>
    <row r="2218" spans="1:5" hidden="1" x14ac:dyDescent="0.3">
      <c r="A2218">
        <v>45</v>
      </c>
      <c r="B2218">
        <v>325000</v>
      </c>
      <c r="C2218" t="s">
        <v>45</v>
      </c>
      <c r="D2218" t="s">
        <v>17</v>
      </c>
      <c r="E2218">
        <v>0.25900699999999999</v>
      </c>
    </row>
    <row r="2219" spans="1:5" hidden="1" x14ac:dyDescent="0.3">
      <c r="A2219">
        <v>45</v>
      </c>
      <c r="B2219">
        <v>325000</v>
      </c>
      <c r="C2219" t="s">
        <v>45</v>
      </c>
      <c r="D2219" t="s">
        <v>18</v>
      </c>
      <c r="E2219">
        <v>88.829740999999999</v>
      </c>
    </row>
    <row r="2220" spans="1:5" hidden="1" x14ac:dyDescent="0.3">
      <c r="A2220">
        <v>45</v>
      </c>
      <c r="B2220">
        <v>325000</v>
      </c>
      <c r="C2220" t="s">
        <v>45</v>
      </c>
      <c r="D2220" t="s">
        <v>19</v>
      </c>
      <c r="E2220">
        <v>8833.3328459999993</v>
      </c>
    </row>
    <row r="2221" spans="1:5" hidden="1" x14ac:dyDescent="0.3">
      <c r="A2221">
        <v>45</v>
      </c>
      <c r="B2221">
        <v>325000</v>
      </c>
      <c r="C2221" t="s">
        <v>45</v>
      </c>
      <c r="D2221" t="s">
        <v>20</v>
      </c>
      <c r="E2221">
        <v>15166.666621</v>
      </c>
    </row>
    <row r="2222" spans="1:5" hidden="1" x14ac:dyDescent="0.3">
      <c r="A2222">
        <v>45</v>
      </c>
      <c r="B2222">
        <v>325000</v>
      </c>
      <c r="C2222" t="s">
        <v>45</v>
      </c>
      <c r="D2222" t="s">
        <v>21</v>
      </c>
      <c r="E2222">
        <v>0.102897</v>
      </c>
    </row>
    <row r="2223" spans="1:5" hidden="1" x14ac:dyDescent="0.3">
      <c r="A2223">
        <v>45</v>
      </c>
      <c r="B2223">
        <v>325000</v>
      </c>
      <c r="C2223" t="s">
        <v>45</v>
      </c>
      <c r="D2223" t="s">
        <v>22</v>
      </c>
      <c r="E2223">
        <v>504.14525900000001</v>
      </c>
    </row>
    <row r="2224" spans="1:5" hidden="1" x14ac:dyDescent="0.3">
      <c r="A2224">
        <v>45</v>
      </c>
      <c r="B2224">
        <v>325000</v>
      </c>
      <c r="C2224" t="s">
        <v>45</v>
      </c>
      <c r="D2224" t="s">
        <v>23</v>
      </c>
      <c r="E2224">
        <v>4444.4450589999997</v>
      </c>
    </row>
    <row r="2225" spans="1:5" hidden="1" x14ac:dyDescent="0.3">
      <c r="A2225">
        <v>45</v>
      </c>
      <c r="B2225">
        <v>325000</v>
      </c>
      <c r="C2225" t="s">
        <v>45</v>
      </c>
      <c r="D2225" t="s">
        <v>24</v>
      </c>
      <c r="E2225">
        <v>0.29159200000000002</v>
      </c>
    </row>
    <row r="2226" spans="1:5" hidden="1" x14ac:dyDescent="0.3">
      <c r="A2226">
        <v>45</v>
      </c>
      <c r="B2226">
        <v>325000</v>
      </c>
      <c r="C2226" t="s">
        <v>45</v>
      </c>
      <c r="D2226" t="s">
        <v>25</v>
      </c>
      <c r="E2226">
        <v>1.724709</v>
      </c>
    </row>
    <row r="2227" spans="1:5" hidden="1" x14ac:dyDescent="0.3">
      <c r="A2227">
        <v>45</v>
      </c>
      <c r="B2227">
        <v>325000</v>
      </c>
      <c r="C2227" t="s">
        <v>46</v>
      </c>
      <c r="D2227" t="s">
        <v>26</v>
      </c>
      <c r="E2227">
        <v>0.135628</v>
      </c>
    </row>
    <row r="2228" spans="1:5" x14ac:dyDescent="0.3">
      <c r="A2228">
        <v>45</v>
      </c>
      <c r="B2228">
        <v>325000</v>
      </c>
      <c r="C2228" t="s">
        <v>46</v>
      </c>
      <c r="D2228" t="s">
        <v>6</v>
      </c>
      <c r="E2228">
        <v>54.986913000000001</v>
      </c>
    </row>
    <row r="2229" spans="1:5" hidden="1" x14ac:dyDescent="0.3">
      <c r="A2229">
        <v>45</v>
      </c>
      <c r="B2229">
        <v>325000</v>
      </c>
      <c r="C2229" t="s">
        <v>46</v>
      </c>
      <c r="D2229" t="s">
        <v>7</v>
      </c>
      <c r="E2229">
        <v>36555.556349999999</v>
      </c>
    </row>
    <row r="2230" spans="1:5" hidden="1" x14ac:dyDescent="0.3">
      <c r="A2230">
        <v>45</v>
      </c>
      <c r="B2230">
        <v>325000</v>
      </c>
      <c r="C2230" t="s">
        <v>46</v>
      </c>
      <c r="D2230" t="s">
        <v>8</v>
      </c>
      <c r="E2230">
        <v>194.445097</v>
      </c>
    </row>
    <row r="2231" spans="1:5" hidden="1" x14ac:dyDescent="0.3">
      <c r="A2231">
        <v>45</v>
      </c>
      <c r="B2231">
        <v>325000</v>
      </c>
      <c r="C2231" t="s">
        <v>46</v>
      </c>
      <c r="D2231" t="s">
        <v>9</v>
      </c>
      <c r="E2231">
        <v>34138.484040000003</v>
      </c>
    </row>
    <row r="2232" spans="1:5" hidden="1" x14ac:dyDescent="0.3">
      <c r="A2232">
        <v>45</v>
      </c>
      <c r="B2232">
        <v>325000</v>
      </c>
      <c r="C2232" t="s">
        <v>46</v>
      </c>
      <c r="D2232" t="s">
        <v>10</v>
      </c>
      <c r="E2232">
        <v>77250.000058999998</v>
      </c>
    </row>
    <row r="2233" spans="1:5" hidden="1" x14ac:dyDescent="0.3">
      <c r="A2233">
        <v>45</v>
      </c>
      <c r="B2233">
        <v>325000</v>
      </c>
      <c r="C2233" t="s">
        <v>46</v>
      </c>
      <c r="D2233" t="s">
        <v>11</v>
      </c>
      <c r="E2233">
        <v>28361.111859000001</v>
      </c>
    </row>
    <row r="2234" spans="1:5" hidden="1" x14ac:dyDescent="0.3">
      <c r="A2234">
        <v>45</v>
      </c>
      <c r="B2234">
        <v>325000</v>
      </c>
      <c r="C2234" t="s">
        <v>46</v>
      </c>
      <c r="D2234" t="s">
        <v>12</v>
      </c>
      <c r="E2234">
        <v>12555.556285999999</v>
      </c>
    </row>
    <row r="2235" spans="1:5" hidden="1" x14ac:dyDescent="0.3">
      <c r="A2235">
        <v>45</v>
      </c>
      <c r="B2235">
        <v>325000</v>
      </c>
      <c r="C2235" t="s">
        <v>46</v>
      </c>
      <c r="D2235" t="s">
        <v>13</v>
      </c>
      <c r="E2235">
        <v>14172.545219</v>
      </c>
    </row>
    <row r="2236" spans="1:5" hidden="1" x14ac:dyDescent="0.3">
      <c r="A2236">
        <v>45</v>
      </c>
      <c r="B2236">
        <v>325000</v>
      </c>
      <c r="C2236" t="s">
        <v>46</v>
      </c>
      <c r="D2236" t="s">
        <v>14</v>
      </c>
      <c r="E2236">
        <v>6388.8896450000002</v>
      </c>
    </row>
    <row r="2237" spans="1:5" hidden="1" x14ac:dyDescent="0.3">
      <c r="A2237">
        <v>45</v>
      </c>
      <c r="B2237">
        <v>325000</v>
      </c>
      <c r="C2237" t="s">
        <v>46</v>
      </c>
      <c r="D2237" t="s">
        <v>15</v>
      </c>
      <c r="E2237">
        <v>30638.889812000001</v>
      </c>
    </row>
    <row r="2238" spans="1:5" hidden="1" x14ac:dyDescent="0.3">
      <c r="A2238">
        <v>45</v>
      </c>
      <c r="B2238">
        <v>325000</v>
      </c>
      <c r="C2238" t="s">
        <v>46</v>
      </c>
      <c r="D2238" t="s">
        <v>16</v>
      </c>
      <c r="E2238">
        <v>31515.361966</v>
      </c>
    </row>
    <row r="2239" spans="1:5" hidden="1" x14ac:dyDescent="0.3">
      <c r="A2239">
        <v>45</v>
      </c>
      <c r="B2239">
        <v>325000</v>
      </c>
      <c r="C2239" t="s">
        <v>46</v>
      </c>
      <c r="D2239" t="s">
        <v>17</v>
      </c>
      <c r="E2239">
        <v>55.555995000000003</v>
      </c>
    </row>
    <row r="2240" spans="1:5" hidden="1" x14ac:dyDescent="0.3">
      <c r="A2240">
        <v>45</v>
      </c>
      <c r="B2240">
        <v>325000</v>
      </c>
      <c r="C2240" t="s">
        <v>46</v>
      </c>
      <c r="D2240" t="s">
        <v>18</v>
      </c>
      <c r="E2240">
        <v>44.417518999999999</v>
      </c>
    </row>
    <row r="2241" spans="1:5" hidden="1" x14ac:dyDescent="0.3">
      <c r="A2241">
        <v>45</v>
      </c>
      <c r="B2241">
        <v>325000</v>
      </c>
      <c r="C2241" t="s">
        <v>46</v>
      </c>
      <c r="D2241" t="s">
        <v>19</v>
      </c>
      <c r="E2241">
        <v>4222.2230099999997</v>
      </c>
    </row>
    <row r="2242" spans="1:5" hidden="1" x14ac:dyDescent="0.3">
      <c r="A2242">
        <v>45</v>
      </c>
      <c r="B2242">
        <v>325000</v>
      </c>
      <c r="C2242" t="s">
        <v>46</v>
      </c>
      <c r="D2242" t="s">
        <v>20</v>
      </c>
      <c r="E2242">
        <v>6055.5563549999997</v>
      </c>
    </row>
    <row r="2243" spans="1:5" hidden="1" x14ac:dyDescent="0.3">
      <c r="A2243">
        <v>45</v>
      </c>
      <c r="B2243">
        <v>325000</v>
      </c>
      <c r="C2243" t="s">
        <v>46</v>
      </c>
      <c r="D2243" t="s">
        <v>21</v>
      </c>
      <c r="E2243">
        <v>0.38284499999999999</v>
      </c>
    </row>
    <row r="2244" spans="1:5" hidden="1" x14ac:dyDescent="0.3">
      <c r="A2244">
        <v>45</v>
      </c>
      <c r="B2244">
        <v>325000</v>
      </c>
      <c r="C2244" t="s">
        <v>46</v>
      </c>
      <c r="D2244" t="s">
        <v>22</v>
      </c>
      <c r="E2244">
        <v>268.878581</v>
      </c>
    </row>
    <row r="2245" spans="1:5" hidden="1" x14ac:dyDescent="0.3">
      <c r="A2245">
        <v>45</v>
      </c>
      <c r="B2245">
        <v>325000</v>
      </c>
      <c r="C2245" t="s">
        <v>46</v>
      </c>
      <c r="D2245" t="s">
        <v>23</v>
      </c>
      <c r="E2245">
        <v>1722.223072</v>
      </c>
    </row>
    <row r="2246" spans="1:5" hidden="1" x14ac:dyDescent="0.3">
      <c r="A2246">
        <v>45</v>
      </c>
      <c r="B2246">
        <v>325000</v>
      </c>
      <c r="C2246" t="s">
        <v>46</v>
      </c>
      <c r="D2246" t="s">
        <v>24</v>
      </c>
      <c r="E2246">
        <v>32111.112120999998</v>
      </c>
    </row>
    <row r="2247" spans="1:5" hidden="1" x14ac:dyDescent="0.3">
      <c r="A2247">
        <v>45</v>
      </c>
      <c r="B2247">
        <v>325000</v>
      </c>
      <c r="C2247" t="s">
        <v>46</v>
      </c>
      <c r="D2247" t="s">
        <v>25</v>
      </c>
      <c r="E2247">
        <v>1500.0007009999999</v>
      </c>
    </row>
    <row r="2248" spans="1:5" hidden="1" x14ac:dyDescent="0.3">
      <c r="A2248">
        <v>45</v>
      </c>
      <c r="B2248">
        <v>325000</v>
      </c>
      <c r="C2248" t="s">
        <v>46</v>
      </c>
      <c r="D2248" t="s">
        <v>26</v>
      </c>
      <c r="E2248">
        <v>7193.8447690000003</v>
      </c>
    </row>
    <row r="2249" spans="1:5" hidden="1" x14ac:dyDescent="0.3">
      <c r="A2249">
        <v>46</v>
      </c>
      <c r="B2249">
        <v>330000</v>
      </c>
      <c r="C2249" t="s">
        <v>45</v>
      </c>
      <c r="D2249" t="s">
        <v>6</v>
      </c>
      <c r="E2249">
        <v>2.9581E-2</v>
      </c>
    </row>
    <row r="2250" spans="1:5" hidden="1" x14ac:dyDescent="0.3">
      <c r="A2250">
        <v>46</v>
      </c>
      <c r="B2250">
        <v>330000</v>
      </c>
      <c r="C2250" t="s">
        <v>45</v>
      </c>
      <c r="D2250" t="s">
        <v>7</v>
      </c>
      <c r="E2250">
        <v>52999.986331</v>
      </c>
    </row>
    <row r="2251" spans="1:5" hidden="1" x14ac:dyDescent="0.3">
      <c r="A2251">
        <v>46</v>
      </c>
      <c r="B2251">
        <v>330000</v>
      </c>
      <c r="C2251" t="s">
        <v>45</v>
      </c>
      <c r="D2251" t="s">
        <v>8</v>
      </c>
      <c r="E2251">
        <v>0.168156</v>
      </c>
    </row>
    <row r="2252" spans="1:5" hidden="1" x14ac:dyDescent="0.3">
      <c r="A2252">
        <v>46</v>
      </c>
      <c r="B2252">
        <v>330000</v>
      </c>
      <c r="C2252" t="s">
        <v>45</v>
      </c>
      <c r="D2252" t="s">
        <v>9</v>
      </c>
      <c r="E2252">
        <v>81197.226282999996</v>
      </c>
    </row>
    <row r="2253" spans="1:5" hidden="1" x14ac:dyDescent="0.3">
      <c r="A2253">
        <v>46</v>
      </c>
      <c r="B2253">
        <v>330000</v>
      </c>
      <c r="C2253" t="s">
        <v>45</v>
      </c>
      <c r="D2253" t="s">
        <v>10</v>
      </c>
      <c r="E2253">
        <v>0.10996499999999999</v>
      </c>
    </row>
    <row r="2254" spans="1:5" hidden="1" x14ac:dyDescent="0.3">
      <c r="A2254">
        <v>46</v>
      </c>
      <c r="B2254">
        <v>330000</v>
      </c>
      <c r="C2254" t="s">
        <v>45</v>
      </c>
      <c r="D2254" t="s">
        <v>11</v>
      </c>
      <c r="E2254">
        <v>34138.887834000001</v>
      </c>
    </row>
    <row r="2255" spans="1:5" hidden="1" x14ac:dyDescent="0.3">
      <c r="A2255">
        <v>46</v>
      </c>
      <c r="B2255">
        <v>330000</v>
      </c>
      <c r="C2255" t="s">
        <v>45</v>
      </c>
      <c r="D2255" t="s">
        <v>12</v>
      </c>
      <c r="E2255">
        <v>44388.885713000003</v>
      </c>
    </row>
    <row r="2256" spans="1:5" hidden="1" x14ac:dyDescent="0.3">
      <c r="A2256">
        <v>46</v>
      </c>
      <c r="B2256">
        <v>330000</v>
      </c>
      <c r="C2256" t="s">
        <v>45</v>
      </c>
      <c r="D2256" t="s">
        <v>13</v>
      </c>
      <c r="E2256">
        <v>35431.344063999997</v>
      </c>
    </row>
    <row r="2257" spans="1:5" hidden="1" x14ac:dyDescent="0.3">
      <c r="A2257">
        <v>46</v>
      </c>
      <c r="B2257">
        <v>330000</v>
      </c>
      <c r="C2257" t="s">
        <v>45</v>
      </c>
      <c r="D2257" t="s">
        <v>14</v>
      </c>
      <c r="E2257">
        <v>12472.221609</v>
      </c>
    </row>
    <row r="2258" spans="1:5" hidden="1" x14ac:dyDescent="0.3">
      <c r="A2258">
        <v>46</v>
      </c>
      <c r="B2258">
        <v>330000</v>
      </c>
      <c r="C2258" t="s">
        <v>45</v>
      </c>
      <c r="D2258" t="s">
        <v>15</v>
      </c>
      <c r="E2258">
        <v>7.4739E-2</v>
      </c>
    </row>
    <row r="2259" spans="1:5" hidden="1" x14ac:dyDescent="0.3">
      <c r="A2259">
        <v>46</v>
      </c>
      <c r="B2259">
        <v>330000</v>
      </c>
      <c r="C2259" t="s">
        <v>45</v>
      </c>
      <c r="D2259" t="s">
        <v>16</v>
      </c>
      <c r="E2259">
        <v>40332.996428999999</v>
      </c>
    </row>
    <row r="2260" spans="1:5" hidden="1" x14ac:dyDescent="0.3">
      <c r="A2260">
        <v>46</v>
      </c>
      <c r="B2260">
        <v>330000</v>
      </c>
      <c r="C2260" t="s">
        <v>45</v>
      </c>
      <c r="D2260" t="s">
        <v>17</v>
      </c>
      <c r="E2260">
        <v>7.2096999999999994E-2</v>
      </c>
    </row>
    <row r="2261" spans="1:5" hidden="1" x14ac:dyDescent="0.3">
      <c r="A2261">
        <v>46</v>
      </c>
      <c r="B2261">
        <v>330000</v>
      </c>
      <c r="C2261" t="s">
        <v>45</v>
      </c>
      <c r="D2261" t="s">
        <v>18</v>
      </c>
      <c r="E2261">
        <v>88.832369999999997</v>
      </c>
    </row>
    <row r="2262" spans="1:5" hidden="1" x14ac:dyDescent="0.3">
      <c r="A2262">
        <v>46</v>
      </c>
      <c r="B2262">
        <v>330000</v>
      </c>
      <c r="C2262" t="s">
        <v>45</v>
      </c>
      <c r="D2262" t="s">
        <v>19</v>
      </c>
      <c r="E2262">
        <v>8833.3330600000008</v>
      </c>
    </row>
    <row r="2263" spans="1:5" hidden="1" x14ac:dyDescent="0.3">
      <c r="A2263">
        <v>46</v>
      </c>
      <c r="B2263">
        <v>330000</v>
      </c>
      <c r="C2263" t="s">
        <v>45</v>
      </c>
      <c r="D2263" t="s">
        <v>20</v>
      </c>
      <c r="E2263">
        <v>15166.666541000001</v>
      </c>
    </row>
    <row r="2264" spans="1:5" hidden="1" x14ac:dyDescent="0.3">
      <c r="A2264">
        <v>46</v>
      </c>
      <c r="B2264">
        <v>330000</v>
      </c>
      <c r="C2264" t="s">
        <v>45</v>
      </c>
      <c r="D2264" t="s">
        <v>21</v>
      </c>
      <c r="E2264">
        <v>2.5006E-2</v>
      </c>
    </row>
    <row r="2265" spans="1:5" hidden="1" x14ac:dyDescent="0.3">
      <c r="A2265">
        <v>46</v>
      </c>
      <c r="B2265">
        <v>330000</v>
      </c>
      <c r="C2265" t="s">
        <v>45</v>
      </c>
      <c r="D2265" t="s">
        <v>22</v>
      </c>
      <c r="E2265">
        <v>504.14667500000002</v>
      </c>
    </row>
    <row r="2266" spans="1:5" hidden="1" x14ac:dyDescent="0.3">
      <c r="A2266">
        <v>46</v>
      </c>
      <c r="B2266">
        <v>330000</v>
      </c>
      <c r="C2266" t="s">
        <v>45</v>
      </c>
      <c r="D2266" t="s">
        <v>23</v>
      </c>
      <c r="E2266">
        <v>4444.4445009999999</v>
      </c>
    </row>
    <row r="2267" spans="1:5" hidden="1" x14ac:dyDescent="0.3">
      <c r="A2267">
        <v>46</v>
      </c>
      <c r="B2267">
        <v>330000</v>
      </c>
      <c r="C2267" t="s">
        <v>45</v>
      </c>
      <c r="D2267" t="s">
        <v>24</v>
      </c>
      <c r="E2267">
        <v>7.9850000000000004E-2</v>
      </c>
    </row>
    <row r="2268" spans="1:5" hidden="1" x14ac:dyDescent="0.3">
      <c r="A2268">
        <v>46</v>
      </c>
      <c r="B2268">
        <v>330000</v>
      </c>
      <c r="C2268" t="s">
        <v>45</v>
      </c>
      <c r="D2268" t="s">
        <v>25</v>
      </c>
      <c r="E2268">
        <v>0.437666</v>
      </c>
    </row>
    <row r="2269" spans="1:5" hidden="1" x14ac:dyDescent="0.3">
      <c r="A2269">
        <v>46</v>
      </c>
      <c r="B2269">
        <v>330000</v>
      </c>
      <c r="C2269" t="s">
        <v>46</v>
      </c>
      <c r="D2269" t="s">
        <v>26</v>
      </c>
      <c r="E2269">
        <v>3.7824999999999998E-2</v>
      </c>
    </row>
    <row r="2270" spans="1:5" x14ac:dyDescent="0.3">
      <c r="A2270">
        <v>46</v>
      </c>
      <c r="B2270">
        <v>330000</v>
      </c>
      <c r="C2270" t="s">
        <v>46</v>
      </c>
      <c r="D2270" t="s">
        <v>6</v>
      </c>
      <c r="E2270">
        <v>54.987105</v>
      </c>
    </row>
    <row r="2271" spans="1:5" hidden="1" x14ac:dyDescent="0.3">
      <c r="A2271">
        <v>46</v>
      </c>
      <c r="B2271">
        <v>330000</v>
      </c>
      <c r="C2271" t="s">
        <v>46</v>
      </c>
      <c r="D2271" t="s">
        <v>7</v>
      </c>
      <c r="E2271">
        <v>36555.556540999998</v>
      </c>
    </row>
    <row r="2272" spans="1:5" hidden="1" x14ac:dyDescent="0.3">
      <c r="A2272">
        <v>46</v>
      </c>
      <c r="B2272">
        <v>330000</v>
      </c>
      <c r="C2272" t="s">
        <v>46</v>
      </c>
      <c r="D2272" t="s">
        <v>8</v>
      </c>
      <c r="E2272">
        <v>194.44541899999999</v>
      </c>
    </row>
    <row r="2273" spans="1:5" hidden="1" x14ac:dyDescent="0.3">
      <c r="A2273">
        <v>46</v>
      </c>
      <c r="B2273">
        <v>330000</v>
      </c>
      <c r="C2273" t="s">
        <v>46</v>
      </c>
      <c r="D2273" t="s">
        <v>9</v>
      </c>
      <c r="E2273">
        <v>34138.484302999997</v>
      </c>
    </row>
    <row r="2274" spans="1:5" hidden="1" x14ac:dyDescent="0.3">
      <c r="A2274">
        <v>46</v>
      </c>
      <c r="B2274">
        <v>330000</v>
      </c>
      <c r="C2274" t="s">
        <v>46</v>
      </c>
      <c r="D2274" t="s">
        <v>10</v>
      </c>
      <c r="E2274">
        <v>77250.000924000007</v>
      </c>
    </row>
    <row r="2275" spans="1:5" hidden="1" x14ac:dyDescent="0.3">
      <c r="A2275">
        <v>46</v>
      </c>
      <c r="B2275">
        <v>330000</v>
      </c>
      <c r="C2275" t="s">
        <v>46</v>
      </c>
      <c r="D2275" t="s">
        <v>11</v>
      </c>
      <c r="E2275">
        <v>28361.112090999999</v>
      </c>
    </row>
    <row r="2276" spans="1:5" hidden="1" x14ac:dyDescent="0.3">
      <c r="A2276">
        <v>46</v>
      </c>
      <c r="B2276">
        <v>330000</v>
      </c>
      <c r="C2276" t="s">
        <v>46</v>
      </c>
      <c r="D2276" t="s">
        <v>12</v>
      </c>
      <c r="E2276">
        <v>12555.556533999999</v>
      </c>
    </row>
    <row r="2277" spans="1:5" hidden="1" x14ac:dyDescent="0.3">
      <c r="A2277">
        <v>46</v>
      </c>
      <c r="B2277">
        <v>330000</v>
      </c>
      <c r="C2277" t="s">
        <v>46</v>
      </c>
      <c r="D2277" t="s">
        <v>13</v>
      </c>
      <c r="E2277">
        <v>14172.545432999999</v>
      </c>
    </row>
    <row r="2278" spans="1:5" hidden="1" x14ac:dyDescent="0.3">
      <c r="A2278">
        <v>46</v>
      </c>
      <c r="B2278">
        <v>330000</v>
      </c>
      <c r="C2278" t="s">
        <v>46</v>
      </c>
      <c r="D2278" t="s">
        <v>14</v>
      </c>
      <c r="E2278">
        <v>6388.8898740000004</v>
      </c>
    </row>
    <row r="2279" spans="1:5" hidden="1" x14ac:dyDescent="0.3">
      <c r="A2279">
        <v>46</v>
      </c>
      <c r="B2279">
        <v>330000</v>
      </c>
      <c r="C2279" t="s">
        <v>46</v>
      </c>
      <c r="D2279" t="s">
        <v>15</v>
      </c>
      <c r="E2279">
        <v>30638.889752999999</v>
      </c>
    </row>
    <row r="2280" spans="1:5" hidden="1" x14ac:dyDescent="0.3">
      <c r="A2280">
        <v>46</v>
      </c>
      <c r="B2280">
        <v>330000</v>
      </c>
      <c r="C2280" t="s">
        <v>46</v>
      </c>
      <c r="D2280" t="s">
        <v>16</v>
      </c>
      <c r="E2280">
        <v>31515.362108000001</v>
      </c>
    </row>
    <row r="2281" spans="1:5" hidden="1" x14ac:dyDescent="0.3">
      <c r="A2281">
        <v>46</v>
      </c>
      <c r="B2281">
        <v>330000</v>
      </c>
      <c r="C2281" t="s">
        <v>46</v>
      </c>
      <c r="D2281" t="s">
        <v>17</v>
      </c>
      <c r="E2281">
        <v>55.556491000000001</v>
      </c>
    </row>
    <row r="2282" spans="1:5" hidden="1" x14ac:dyDescent="0.3">
      <c r="A2282">
        <v>46</v>
      </c>
      <c r="B2282">
        <v>330000</v>
      </c>
      <c r="C2282" t="s">
        <v>46</v>
      </c>
      <c r="D2282" t="s">
        <v>18</v>
      </c>
      <c r="E2282">
        <v>44.417673000000001</v>
      </c>
    </row>
    <row r="2283" spans="1:5" hidden="1" x14ac:dyDescent="0.3">
      <c r="A2283">
        <v>46</v>
      </c>
      <c r="B2283">
        <v>330000</v>
      </c>
      <c r="C2283" t="s">
        <v>46</v>
      </c>
      <c r="D2283" t="s">
        <v>19</v>
      </c>
      <c r="E2283">
        <v>4222.223215</v>
      </c>
    </row>
    <row r="2284" spans="1:5" hidden="1" x14ac:dyDescent="0.3">
      <c r="A2284">
        <v>46</v>
      </c>
      <c r="B2284">
        <v>330000</v>
      </c>
      <c r="C2284" t="s">
        <v>46</v>
      </c>
      <c r="D2284" t="s">
        <v>20</v>
      </c>
      <c r="E2284">
        <v>6055.556552</v>
      </c>
    </row>
    <row r="2285" spans="1:5" hidden="1" x14ac:dyDescent="0.3">
      <c r="A2285">
        <v>46</v>
      </c>
      <c r="B2285">
        <v>330000</v>
      </c>
      <c r="C2285" t="s">
        <v>46</v>
      </c>
      <c r="D2285" t="s">
        <v>21</v>
      </c>
      <c r="E2285">
        <v>888.88955799999997</v>
      </c>
    </row>
    <row r="2286" spans="1:5" hidden="1" x14ac:dyDescent="0.3">
      <c r="A2286">
        <v>46</v>
      </c>
      <c r="B2286">
        <v>330000</v>
      </c>
      <c r="C2286" t="s">
        <v>46</v>
      </c>
      <c r="D2286" t="s">
        <v>22</v>
      </c>
      <c r="E2286">
        <v>268.878782</v>
      </c>
    </row>
    <row r="2287" spans="1:5" hidden="1" x14ac:dyDescent="0.3">
      <c r="A2287">
        <v>46</v>
      </c>
      <c r="B2287">
        <v>330000</v>
      </c>
      <c r="C2287" t="s">
        <v>46</v>
      </c>
      <c r="D2287" t="s">
        <v>23</v>
      </c>
      <c r="E2287">
        <v>1722.2232349999999</v>
      </c>
    </row>
    <row r="2288" spans="1:5" hidden="1" x14ac:dyDescent="0.3">
      <c r="A2288">
        <v>46</v>
      </c>
      <c r="B2288">
        <v>330000</v>
      </c>
      <c r="C2288" t="s">
        <v>46</v>
      </c>
      <c r="D2288" t="s">
        <v>24</v>
      </c>
      <c r="E2288">
        <v>32111.111990000001</v>
      </c>
    </row>
    <row r="2289" spans="1:5" hidden="1" x14ac:dyDescent="0.3">
      <c r="A2289">
        <v>46</v>
      </c>
      <c r="B2289">
        <v>330000</v>
      </c>
      <c r="C2289" t="s">
        <v>46</v>
      </c>
      <c r="D2289" t="s">
        <v>25</v>
      </c>
      <c r="E2289">
        <v>1500.000978</v>
      </c>
    </row>
    <row r="2290" spans="1:5" hidden="1" x14ac:dyDescent="0.3">
      <c r="A2290">
        <v>46</v>
      </c>
      <c r="B2290">
        <v>330000</v>
      </c>
      <c r="C2290" t="s">
        <v>46</v>
      </c>
      <c r="D2290" t="s">
        <v>26</v>
      </c>
      <c r="E2290">
        <v>8277.7785710000007</v>
      </c>
    </row>
    <row r="2291" spans="1:5" hidden="1" x14ac:dyDescent="0.3">
      <c r="A2291">
        <v>47</v>
      </c>
      <c r="B2291">
        <v>335000</v>
      </c>
      <c r="C2291" t="s">
        <v>45</v>
      </c>
      <c r="D2291" t="s">
        <v>6</v>
      </c>
      <c r="E2291">
        <v>6.5934999999999994E-2</v>
      </c>
    </row>
    <row r="2292" spans="1:5" hidden="1" x14ac:dyDescent="0.3">
      <c r="A2292">
        <v>47</v>
      </c>
      <c r="B2292">
        <v>335000</v>
      </c>
      <c r="C2292" t="s">
        <v>45</v>
      </c>
      <c r="D2292" t="s">
        <v>7</v>
      </c>
      <c r="E2292">
        <v>52999.992661999997</v>
      </c>
    </row>
    <row r="2293" spans="1:5" hidden="1" x14ac:dyDescent="0.3">
      <c r="A2293">
        <v>47</v>
      </c>
      <c r="B2293">
        <v>335000</v>
      </c>
      <c r="C2293" t="s">
        <v>45</v>
      </c>
      <c r="D2293" t="s">
        <v>8</v>
      </c>
      <c r="E2293">
        <v>0.12778200000000001</v>
      </c>
    </row>
    <row r="2294" spans="1:5" hidden="1" x14ac:dyDescent="0.3">
      <c r="A2294">
        <v>47</v>
      </c>
      <c r="B2294">
        <v>335000</v>
      </c>
      <c r="C2294" t="s">
        <v>45</v>
      </c>
      <c r="D2294" t="s">
        <v>9</v>
      </c>
      <c r="E2294">
        <v>86197.392586999995</v>
      </c>
    </row>
    <row r="2295" spans="1:5" hidden="1" x14ac:dyDescent="0.3">
      <c r="A2295">
        <v>47</v>
      </c>
      <c r="B2295">
        <v>335000</v>
      </c>
      <c r="C2295" t="s">
        <v>45</v>
      </c>
      <c r="D2295" t="s">
        <v>10</v>
      </c>
      <c r="E2295">
        <v>0.13361600000000001</v>
      </c>
    </row>
    <row r="2296" spans="1:5" hidden="1" x14ac:dyDescent="0.3">
      <c r="A2296">
        <v>47</v>
      </c>
      <c r="B2296">
        <v>335000</v>
      </c>
      <c r="C2296" t="s">
        <v>45</v>
      </c>
      <c r="D2296" t="s">
        <v>11</v>
      </c>
      <c r="E2296">
        <v>34138.886868000001</v>
      </c>
    </row>
    <row r="2297" spans="1:5" hidden="1" x14ac:dyDescent="0.3">
      <c r="A2297">
        <v>47</v>
      </c>
      <c r="B2297">
        <v>335000</v>
      </c>
      <c r="C2297" t="s">
        <v>45</v>
      </c>
      <c r="D2297" t="s">
        <v>12</v>
      </c>
      <c r="E2297">
        <v>44388.883645000002</v>
      </c>
    </row>
    <row r="2298" spans="1:5" hidden="1" x14ac:dyDescent="0.3">
      <c r="A2298">
        <v>47</v>
      </c>
      <c r="B2298">
        <v>335000</v>
      </c>
      <c r="C2298" t="s">
        <v>45</v>
      </c>
      <c r="D2298" t="s">
        <v>13</v>
      </c>
      <c r="E2298">
        <v>35431.343761999997</v>
      </c>
    </row>
    <row r="2299" spans="1:5" hidden="1" x14ac:dyDescent="0.3">
      <c r="A2299">
        <v>47</v>
      </c>
      <c r="B2299">
        <v>335000</v>
      </c>
      <c r="C2299" t="s">
        <v>45</v>
      </c>
      <c r="D2299" t="s">
        <v>14</v>
      </c>
      <c r="E2299">
        <v>12472.221431</v>
      </c>
    </row>
    <row r="2300" spans="1:5" hidden="1" x14ac:dyDescent="0.3">
      <c r="A2300">
        <v>47</v>
      </c>
      <c r="B2300">
        <v>335000</v>
      </c>
      <c r="C2300" t="s">
        <v>45</v>
      </c>
      <c r="D2300" t="s">
        <v>15</v>
      </c>
      <c r="E2300">
        <v>8.9634000000000005E-2</v>
      </c>
    </row>
    <row r="2301" spans="1:5" hidden="1" x14ac:dyDescent="0.3">
      <c r="A2301">
        <v>47</v>
      </c>
      <c r="B2301">
        <v>335000</v>
      </c>
      <c r="C2301" t="s">
        <v>45</v>
      </c>
      <c r="D2301" t="s">
        <v>16</v>
      </c>
      <c r="E2301">
        <v>40332.919634999998</v>
      </c>
    </row>
    <row r="2302" spans="1:5" hidden="1" x14ac:dyDescent="0.3">
      <c r="A2302">
        <v>47</v>
      </c>
      <c r="B2302">
        <v>335000</v>
      </c>
      <c r="C2302" t="s">
        <v>45</v>
      </c>
      <c r="D2302" t="s">
        <v>17</v>
      </c>
      <c r="E2302">
        <v>6.1274000000000002E-2</v>
      </c>
    </row>
    <row r="2303" spans="1:5" hidden="1" x14ac:dyDescent="0.3">
      <c r="A2303">
        <v>47</v>
      </c>
      <c r="B2303">
        <v>335000</v>
      </c>
      <c r="C2303" t="s">
        <v>45</v>
      </c>
      <c r="D2303" t="s">
        <v>18</v>
      </c>
      <c r="E2303">
        <v>88.832373000000004</v>
      </c>
    </row>
    <row r="2304" spans="1:5" hidden="1" x14ac:dyDescent="0.3">
      <c r="A2304">
        <v>47</v>
      </c>
      <c r="B2304">
        <v>335000</v>
      </c>
      <c r="C2304" t="s">
        <v>45</v>
      </c>
      <c r="D2304" t="s">
        <v>19</v>
      </c>
      <c r="E2304">
        <v>8833.3329429999994</v>
      </c>
    </row>
    <row r="2305" spans="1:5" hidden="1" x14ac:dyDescent="0.3">
      <c r="A2305">
        <v>47</v>
      </c>
      <c r="B2305">
        <v>335000</v>
      </c>
      <c r="C2305" t="s">
        <v>45</v>
      </c>
      <c r="D2305" t="s">
        <v>20</v>
      </c>
      <c r="E2305">
        <v>15166.666440000001</v>
      </c>
    </row>
    <row r="2306" spans="1:5" hidden="1" x14ac:dyDescent="0.3">
      <c r="A2306">
        <v>47</v>
      </c>
      <c r="B2306">
        <v>335000</v>
      </c>
      <c r="C2306" t="s">
        <v>45</v>
      </c>
      <c r="D2306" t="s">
        <v>21</v>
      </c>
      <c r="E2306">
        <v>3.1466000000000001E-2</v>
      </c>
    </row>
    <row r="2307" spans="1:5" hidden="1" x14ac:dyDescent="0.3">
      <c r="A2307">
        <v>47</v>
      </c>
      <c r="B2307">
        <v>335000</v>
      </c>
      <c r="C2307" t="s">
        <v>45</v>
      </c>
      <c r="D2307" t="s">
        <v>22</v>
      </c>
      <c r="E2307">
        <v>504.146748</v>
      </c>
    </row>
    <row r="2308" spans="1:5" hidden="1" x14ac:dyDescent="0.3">
      <c r="A2308">
        <v>47</v>
      </c>
      <c r="B2308">
        <v>335000</v>
      </c>
      <c r="C2308" t="s">
        <v>45</v>
      </c>
      <c r="D2308" t="s">
        <v>23</v>
      </c>
      <c r="E2308">
        <v>4444.4444519999997</v>
      </c>
    </row>
    <row r="2309" spans="1:5" hidden="1" x14ac:dyDescent="0.3">
      <c r="A2309">
        <v>47</v>
      </c>
      <c r="B2309">
        <v>335000</v>
      </c>
      <c r="C2309" t="s">
        <v>45</v>
      </c>
      <c r="D2309" t="s">
        <v>24</v>
      </c>
      <c r="E2309">
        <v>9.5584000000000002E-2</v>
      </c>
    </row>
    <row r="2310" spans="1:5" hidden="1" x14ac:dyDescent="0.3">
      <c r="A2310">
        <v>47</v>
      </c>
      <c r="B2310">
        <v>335000</v>
      </c>
      <c r="C2310" t="s">
        <v>45</v>
      </c>
      <c r="D2310" t="s">
        <v>25</v>
      </c>
      <c r="E2310">
        <v>0.29041699999999998</v>
      </c>
    </row>
    <row r="2311" spans="1:5" hidden="1" x14ac:dyDescent="0.3">
      <c r="A2311">
        <v>47</v>
      </c>
      <c r="B2311">
        <v>335000</v>
      </c>
      <c r="C2311" t="s">
        <v>46</v>
      </c>
      <c r="D2311" t="s">
        <v>26</v>
      </c>
      <c r="E2311">
        <v>4.6558000000000002E-2</v>
      </c>
    </row>
    <row r="2312" spans="1:5" x14ac:dyDescent="0.3">
      <c r="A2312">
        <v>47</v>
      </c>
      <c r="B2312">
        <v>335000</v>
      </c>
      <c r="C2312" t="s">
        <v>46</v>
      </c>
      <c r="D2312" t="s">
        <v>6</v>
      </c>
      <c r="E2312">
        <v>54.987347</v>
      </c>
    </row>
    <row r="2313" spans="1:5" hidden="1" x14ac:dyDescent="0.3">
      <c r="A2313">
        <v>47</v>
      </c>
      <c r="B2313">
        <v>335000</v>
      </c>
      <c r="C2313" t="s">
        <v>46</v>
      </c>
      <c r="D2313" t="s">
        <v>7</v>
      </c>
      <c r="E2313">
        <v>36555.556756999998</v>
      </c>
    </row>
    <row r="2314" spans="1:5" hidden="1" x14ac:dyDescent="0.3">
      <c r="A2314">
        <v>47</v>
      </c>
      <c r="B2314">
        <v>335000</v>
      </c>
      <c r="C2314" t="s">
        <v>46</v>
      </c>
      <c r="D2314" t="s">
        <v>8</v>
      </c>
      <c r="E2314">
        <v>194.445628</v>
      </c>
    </row>
    <row r="2315" spans="1:5" hidden="1" x14ac:dyDescent="0.3">
      <c r="A2315">
        <v>47</v>
      </c>
      <c r="B2315">
        <v>335000</v>
      </c>
      <c r="C2315" t="s">
        <v>46</v>
      </c>
      <c r="D2315" t="s">
        <v>9</v>
      </c>
      <c r="E2315">
        <v>34138.484471000003</v>
      </c>
    </row>
    <row r="2316" spans="1:5" hidden="1" x14ac:dyDescent="0.3">
      <c r="A2316">
        <v>47</v>
      </c>
      <c r="B2316">
        <v>335000</v>
      </c>
      <c r="C2316" t="s">
        <v>46</v>
      </c>
      <c r="D2316" t="s">
        <v>10</v>
      </c>
      <c r="E2316">
        <v>77250.000606000001</v>
      </c>
    </row>
    <row r="2317" spans="1:5" hidden="1" x14ac:dyDescent="0.3">
      <c r="A2317">
        <v>47</v>
      </c>
      <c r="B2317">
        <v>335000</v>
      </c>
      <c r="C2317" t="s">
        <v>46</v>
      </c>
      <c r="D2317" t="s">
        <v>11</v>
      </c>
      <c r="E2317">
        <v>28361.112277</v>
      </c>
    </row>
    <row r="2318" spans="1:5" hidden="1" x14ac:dyDescent="0.3">
      <c r="A2318">
        <v>47</v>
      </c>
      <c r="B2318">
        <v>335000</v>
      </c>
      <c r="C2318" t="s">
        <v>46</v>
      </c>
      <c r="D2318" t="s">
        <v>12</v>
      </c>
      <c r="E2318">
        <v>12555.556723</v>
      </c>
    </row>
    <row r="2319" spans="1:5" hidden="1" x14ac:dyDescent="0.3">
      <c r="A2319">
        <v>47</v>
      </c>
      <c r="B2319">
        <v>335000</v>
      </c>
      <c r="C2319" t="s">
        <v>46</v>
      </c>
      <c r="D2319" t="s">
        <v>13</v>
      </c>
      <c r="E2319">
        <v>14172.545628</v>
      </c>
    </row>
    <row r="2320" spans="1:5" hidden="1" x14ac:dyDescent="0.3">
      <c r="A2320">
        <v>47</v>
      </c>
      <c r="B2320">
        <v>335000</v>
      </c>
      <c r="C2320" t="s">
        <v>46</v>
      </c>
      <c r="D2320" t="s">
        <v>14</v>
      </c>
      <c r="E2320">
        <v>6388.890077</v>
      </c>
    </row>
    <row r="2321" spans="1:5" hidden="1" x14ac:dyDescent="0.3">
      <c r="A2321">
        <v>47</v>
      </c>
      <c r="B2321">
        <v>335000</v>
      </c>
      <c r="C2321" t="s">
        <v>46</v>
      </c>
      <c r="D2321" t="s">
        <v>15</v>
      </c>
      <c r="E2321">
        <v>30638.889706999998</v>
      </c>
    </row>
    <row r="2322" spans="1:5" hidden="1" x14ac:dyDescent="0.3">
      <c r="A2322">
        <v>47</v>
      </c>
      <c r="B2322">
        <v>335000</v>
      </c>
      <c r="C2322" t="s">
        <v>46</v>
      </c>
      <c r="D2322" t="s">
        <v>16</v>
      </c>
      <c r="E2322">
        <v>31515.362358999999</v>
      </c>
    </row>
    <row r="2323" spans="1:5" hidden="1" x14ac:dyDescent="0.3">
      <c r="A2323">
        <v>47</v>
      </c>
      <c r="B2323">
        <v>335000</v>
      </c>
      <c r="C2323" t="s">
        <v>46</v>
      </c>
      <c r="D2323" t="s">
        <v>17</v>
      </c>
      <c r="E2323">
        <v>55.556719999999999</v>
      </c>
    </row>
    <row r="2324" spans="1:5" hidden="1" x14ac:dyDescent="0.3">
      <c r="A2324">
        <v>47</v>
      </c>
      <c r="B2324">
        <v>335000</v>
      </c>
      <c r="C2324" t="s">
        <v>46</v>
      </c>
      <c r="D2324" t="s">
        <v>18</v>
      </c>
      <c r="E2324">
        <v>44.417923000000002</v>
      </c>
    </row>
    <row r="2325" spans="1:5" hidden="1" x14ac:dyDescent="0.3">
      <c r="A2325">
        <v>47</v>
      </c>
      <c r="B2325">
        <v>335000</v>
      </c>
      <c r="C2325" t="s">
        <v>46</v>
      </c>
      <c r="D2325" t="s">
        <v>19</v>
      </c>
      <c r="E2325">
        <v>4222.2234239999998</v>
      </c>
    </row>
    <row r="2326" spans="1:5" hidden="1" x14ac:dyDescent="0.3">
      <c r="A2326">
        <v>47</v>
      </c>
      <c r="B2326">
        <v>335000</v>
      </c>
      <c r="C2326" t="s">
        <v>46</v>
      </c>
      <c r="D2326" t="s">
        <v>20</v>
      </c>
      <c r="E2326">
        <v>6055.5567270000001</v>
      </c>
    </row>
    <row r="2327" spans="1:5" hidden="1" x14ac:dyDescent="0.3">
      <c r="A2327">
        <v>47</v>
      </c>
      <c r="B2327">
        <v>335000</v>
      </c>
      <c r="C2327" t="s">
        <v>46</v>
      </c>
      <c r="D2327" t="s">
        <v>21</v>
      </c>
      <c r="E2327">
        <v>888.88964599999997</v>
      </c>
    </row>
    <row r="2328" spans="1:5" hidden="1" x14ac:dyDescent="0.3">
      <c r="A2328">
        <v>47</v>
      </c>
      <c r="B2328">
        <v>335000</v>
      </c>
      <c r="C2328" t="s">
        <v>46</v>
      </c>
      <c r="D2328" t="s">
        <v>22</v>
      </c>
      <c r="E2328">
        <v>268.87901099999999</v>
      </c>
    </row>
    <row r="2329" spans="1:5" hidden="1" x14ac:dyDescent="0.3">
      <c r="A2329">
        <v>47</v>
      </c>
      <c r="B2329">
        <v>335000</v>
      </c>
      <c r="C2329" t="s">
        <v>46</v>
      </c>
      <c r="D2329" t="s">
        <v>23</v>
      </c>
      <c r="E2329">
        <v>1722.223389</v>
      </c>
    </row>
    <row r="2330" spans="1:5" hidden="1" x14ac:dyDescent="0.3">
      <c r="A2330">
        <v>47</v>
      </c>
      <c r="B2330">
        <v>335000</v>
      </c>
      <c r="C2330" t="s">
        <v>46</v>
      </c>
      <c r="D2330" t="s">
        <v>24</v>
      </c>
      <c r="E2330">
        <v>32111.112400000002</v>
      </c>
    </row>
    <row r="2331" spans="1:5" hidden="1" x14ac:dyDescent="0.3">
      <c r="A2331">
        <v>47</v>
      </c>
      <c r="B2331">
        <v>335000</v>
      </c>
      <c r="C2331" t="s">
        <v>46</v>
      </c>
      <c r="D2331" t="s">
        <v>25</v>
      </c>
      <c r="E2331">
        <v>1500.001098</v>
      </c>
    </row>
    <row r="2332" spans="1:5" hidden="1" x14ac:dyDescent="0.3">
      <c r="A2332">
        <v>47</v>
      </c>
      <c r="B2332">
        <v>335000</v>
      </c>
      <c r="C2332" t="s">
        <v>46</v>
      </c>
      <c r="D2332" t="s">
        <v>26</v>
      </c>
      <c r="E2332">
        <v>8277.7786969999997</v>
      </c>
    </row>
    <row r="2333" spans="1:5" hidden="1" x14ac:dyDescent="0.3">
      <c r="A2333">
        <v>48</v>
      </c>
      <c r="B2333">
        <v>340000</v>
      </c>
      <c r="C2333" t="s">
        <v>45</v>
      </c>
      <c r="D2333" t="s">
        <v>6</v>
      </c>
      <c r="E2333">
        <v>0.24753600000000001</v>
      </c>
    </row>
    <row r="2334" spans="1:5" hidden="1" x14ac:dyDescent="0.3">
      <c r="A2334">
        <v>48</v>
      </c>
      <c r="B2334">
        <v>340000</v>
      </c>
      <c r="C2334" t="s">
        <v>45</v>
      </c>
      <c r="D2334" t="s">
        <v>7</v>
      </c>
      <c r="E2334">
        <v>52999.996324</v>
      </c>
    </row>
    <row r="2335" spans="1:5" hidden="1" x14ac:dyDescent="0.3">
      <c r="A2335">
        <v>48</v>
      </c>
      <c r="B2335">
        <v>340000</v>
      </c>
      <c r="C2335" t="s">
        <v>45</v>
      </c>
      <c r="D2335" t="s">
        <v>8</v>
      </c>
      <c r="E2335">
        <v>0.29019699999999998</v>
      </c>
    </row>
    <row r="2336" spans="1:5" hidden="1" x14ac:dyDescent="0.3">
      <c r="A2336">
        <v>48</v>
      </c>
      <c r="B2336">
        <v>340000</v>
      </c>
      <c r="C2336" t="s">
        <v>45</v>
      </c>
      <c r="D2336" t="s">
        <v>9</v>
      </c>
      <c r="E2336">
        <v>91196.305573000005</v>
      </c>
    </row>
    <row r="2337" spans="1:5" hidden="1" x14ac:dyDescent="0.3">
      <c r="A2337">
        <v>48</v>
      </c>
      <c r="B2337">
        <v>340000</v>
      </c>
      <c r="C2337" t="s">
        <v>45</v>
      </c>
      <c r="D2337" t="s">
        <v>10</v>
      </c>
      <c r="E2337">
        <v>0.19702</v>
      </c>
    </row>
    <row r="2338" spans="1:5" hidden="1" x14ac:dyDescent="0.3">
      <c r="A2338">
        <v>48</v>
      </c>
      <c r="B2338">
        <v>340000</v>
      </c>
      <c r="C2338" t="s">
        <v>45</v>
      </c>
      <c r="D2338" t="s">
        <v>11</v>
      </c>
      <c r="E2338">
        <v>34138.887569999999</v>
      </c>
    </row>
    <row r="2339" spans="1:5" hidden="1" x14ac:dyDescent="0.3">
      <c r="A2339">
        <v>48</v>
      </c>
      <c r="B2339">
        <v>340000</v>
      </c>
      <c r="C2339" t="s">
        <v>45</v>
      </c>
      <c r="D2339" t="s">
        <v>12</v>
      </c>
      <c r="E2339">
        <v>44388.888472999999</v>
      </c>
    </row>
    <row r="2340" spans="1:5" hidden="1" x14ac:dyDescent="0.3">
      <c r="A2340">
        <v>48</v>
      </c>
      <c r="B2340">
        <v>340000</v>
      </c>
      <c r="C2340" t="s">
        <v>45</v>
      </c>
      <c r="D2340" t="s">
        <v>13</v>
      </c>
      <c r="E2340">
        <v>35431.344163000002</v>
      </c>
    </row>
    <row r="2341" spans="1:5" hidden="1" x14ac:dyDescent="0.3">
      <c r="A2341">
        <v>48</v>
      </c>
      <c r="B2341">
        <v>340000</v>
      </c>
      <c r="C2341" t="s">
        <v>45</v>
      </c>
      <c r="D2341" t="s">
        <v>14</v>
      </c>
      <c r="E2341">
        <v>12472.221535999999</v>
      </c>
    </row>
    <row r="2342" spans="1:5" hidden="1" x14ac:dyDescent="0.3">
      <c r="A2342">
        <v>48</v>
      </c>
      <c r="B2342">
        <v>340000</v>
      </c>
      <c r="C2342" t="s">
        <v>45</v>
      </c>
      <c r="D2342" t="s">
        <v>15</v>
      </c>
      <c r="E2342">
        <v>0.12887199999999999</v>
      </c>
    </row>
    <row r="2343" spans="1:5" hidden="1" x14ac:dyDescent="0.3">
      <c r="A2343">
        <v>48</v>
      </c>
      <c r="B2343">
        <v>340000</v>
      </c>
      <c r="C2343" t="s">
        <v>45</v>
      </c>
      <c r="D2343" t="s">
        <v>16</v>
      </c>
      <c r="E2343">
        <v>40333.000051000003</v>
      </c>
    </row>
    <row r="2344" spans="1:5" hidden="1" x14ac:dyDescent="0.3">
      <c r="A2344">
        <v>48</v>
      </c>
      <c r="B2344">
        <v>340000</v>
      </c>
      <c r="C2344" t="s">
        <v>45</v>
      </c>
      <c r="D2344" t="s">
        <v>17</v>
      </c>
      <c r="E2344">
        <v>0.13441700000000001</v>
      </c>
    </row>
    <row r="2345" spans="1:5" hidden="1" x14ac:dyDescent="0.3">
      <c r="A2345">
        <v>48</v>
      </c>
      <c r="B2345">
        <v>340000</v>
      </c>
      <c r="C2345" t="s">
        <v>45</v>
      </c>
      <c r="D2345" t="s">
        <v>18</v>
      </c>
      <c r="E2345">
        <v>88.831317999999996</v>
      </c>
    </row>
    <row r="2346" spans="1:5" hidden="1" x14ac:dyDescent="0.3">
      <c r="A2346">
        <v>48</v>
      </c>
      <c r="B2346">
        <v>340000</v>
      </c>
      <c r="C2346" t="s">
        <v>45</v>
      </c>
      <c r="D2346" t="s">
        <v>19</v>
      </c>
      <c r="E2346">
        <v>8833.3332190000001</v>
      </c>
    </row>
    <row r="2347" spans="1:5" hidden="1" x14ac:dyDescent="0.3">
      <c r="A2347">
        <v>48</v>
      </c>
      <c r="B2347">
        <v>340000</v>
      </c>
      <c r="C2347" t="s">
        <v>45</v>
      </c>
      <c r="D2347" t="s">
        <v>20</v>
      </c>
      <c r="E2347">
        <v>15166.666775</v>
      </c>
    </row>
    <row r="2348" spans="1:5" hidden="1" x14ac:dyDescent="0.3">
      <c r="A2348">
        <v>48</v>
      </c>
      <c r="B2348">
        <v>340000</v>
      </c>
      <c r="C2348" t="s">
        <v>45</v>
      </c>
      <c r="D2348" t="s">
        <v>21</v>
      </c>
      <c r="E2348">
        <v>4.5898000000000001E-2</v>
      </c>
    </row>
    <row r="2349" spans="1:5" hidden="1" x14ac:dyDescent="0.3">
      <c r="A2349">
        <v>48</v>
      </c>
      <c r="B2349">
        <v>340000</v>
      </c>
      <c r="C2349" t="s">
        <v>45</v>
      </c>
      <c r="D2349" t="s">
        <v>22</v>
      </c>
      <c r="E2349">
        <v>504.14626199999998</v>
      </c>
    </row>
    <row r="2350" spans="1:5" hidden="1" x14ac:dyDescent="0.3">
      <c r="A2350">
        <v>48</v>
      </c>
      <c r="B2350">
        <v>340000</v>
      </c>
      <c r="C2350" t="s">
        <v>45</v>
      </c>
      <c r="D2350" t="s">
        <v>23</v>
      </c>
      <c r="E2350">
        <v>4444.4448549999997</v>
      </c>
    </row>
    <row r="2351" spans="1:5" hidden="1" x14ac:dyDescent="0.3">
      <c r="A2351">
        <v>48</v>
      </c>
      <c r="B2351">
        <v>340000</v>
      </c>
      <c r="C2351" t="s">
        <v>45</v>
      </c>
      <c r="D2351" t="s">
        <v>24</v>
      </c>
      <c r="E2351">
        <v>0.13761300000000001</v>
      </c>
    </row>
    <row r="2352" spans="1:5" hidden="1" x14ac:dyDescent="0.3">
      <c r="A2352">
        <v>48</v>
      </c>
      <c r="B2352">
        <v>340000</v>
      </c>
      <c r="C2352" t="s">
        <v>45</v>
      </c>
      <c r="D2352" t="s">
        <v>25</v>
      </c>
      <c r="E2352">
        <v>0.704129</v>
      </c>
    </row>
    <row r="2353" spans="1:5" hidden="1" x14ac:dyDescent="0.3">
      <c r="A2353">
        <v>48</v>
      </c>
      <c r="B2353">
        <v>340000</v>
      </c>
      <c r="C2353" t="s">
        <v>46</v>
      </c>
      <c r="D2353" t="s">
        <v>26</v>
      </c>
      <c r="E2353">
        <v>6.5396999999999997E-2</v>
      </c>
    </row>
    <row r="2354" spans="1:5" x14ac:dyDescent="0.3">
      <c r="A2354">
        <v>48</v>
      </c>
      <c r="B2354">
        <v>340000</v>
      </c>
      <c r="C2354" t="s">
        <v>46</v>
      </c>
      <c r="D2354" t="s">
        <v>6</v>
      </c>
      <c r="E2354">
        <v>54.988720999999998</v>
      </c>
    </row>
    <row r="2355" spans="1:5" hidden="1" x14ac:dyDescent="0.3">
      <c r="A2355">
        <v>48</v>
      </c>
      <c r="B2355">
        <v>340000</v>
      </c>
      <c r="C2355" t="s">
        <v>46</v>
      </c>
      <c r="D2355" t="s">
        <v>7</v>
      </c>
      <c r="E2355">
        <v>36555.558292000002</v>
      </c>
    </row>
    <row r="2356" spans="1:5" hidden="1" x14ac:dyDescent="0.3">
      <c r="A2356">
        <v>48</v>
      </c>
      <c r="B2356">
        <v>340000</v>
      </c>
      <c r="C2356" t="s">
        <v>46</v>
      </c>
      <c r="D2356" t="s">
        <v>8</v>
      </c>
      <c r="E2356">
        <v>194.44698500000001</v>
      </c>
    </row>
    <row r="2357" spans="1:5" hidden="1" x14ac:dyDescent="0.3">
      <c r="A2357">
        <v>48</v>
      </c>
      <c r="B2357">
        <v>340000</v>
      </c>
      <c r="C2357" t="s">
        <v>46</v>
      </c>
      <c r="D2357" t="s">
        <v>9</v>
      </c>
      <c r="E2357">
        <v>34138.486070999999</v>
      </c>
    </row>
    <row r="2358" spans="1:5" hidden="1" x14ac:dyDescent="0.3">
      <c r="A2358">
        <v>48</v>
      </c>
      <c r="B2358">
        <v>340000</v>
      </c>
      <c r="C2358" t="s">
        <v>46</v>
      </c>
      <c r="D2358" t="s">
        <v>10</v>
      </c>
      <c r="E2358">
        <v>77250.002821999995</v>
      </c>
    </row>
    <row r="2359" spans="1:5" hidden="1" x14ac:dyDescent="0.3">
      <c r="A2359">
        <v>48</v>
      </c>
      <c r="B2359">
        <v>340000</v>
      </c>
      <c r="C2359" t="s">
        <v>46</v>
      </c>
      <c r="D2359" t="s">
        <v>11</v>
      </c>
      <c r="E2359">
        <v>28361.113846</v>
      </c>
    </row>
    <row r="2360" spans="1:5" hidden="1" x14ac:dyDescent="0.3">
      <c r="A2360">
        <v>48</v>
      </c>
      <c r="B2360">
        <v>340000</v>
      </c>
      <c r="C2360" t="s">
        <v>46</v>
      </c>
      <c r="D2360" t="s">
        <v>12</v>
      </c>
      <c r="E2360">
        <v>12555.558185</v>
      </c>
    </row>
    <row r="2361" spans="1:5" hidden="1" x14ac:dyDescent="0.3">
      <c r="A2361">
        <v>48</v>
      </c>
      <c r="B2361">
        <v>340000</v>
      </c>
      <c r="C2361" t="s">
        <v>46</v>
      </c>
      <c r="D2361" t="s">
        <v>13</v>
      </c>
      <c r="E2361">
        <v>14172.547119999999</v>
      </c>
    </row>
    <row r="2362" spans="1:5" hidden="1" x14ac:dyDescent="0.3">
      <c r="A2362">
        <v>48</v>
      </c>
      <c r="B2362">
        <v>340000</v>
      </c>
      <c r="C2362" t="s">
        <v>46</v>
      </c>
      <c r="D2362" t="s">
        <v>14</v>
      </c>
      <c r="E2362">
        <v>6388.8913229999998</v>
      </c>
    </row>
    <row r="2363" spans="1:5" hidden="1" x14ac:dyDescent="0.3">
      <c r="A2363">
        <v>48</v>
      </c>
      <c r="B2363">
        <v>340000</v>
      </c>
      <c r="C2363" t="s">
        <v>46</v>
      </c>
      <c r="D2363" t="s">
        <v>15</v>
      </c>
      <c r="E2363">
        <v>30638.891770999999</v>
      </c>
    </row>
    <row r="2364" spans="1:5" hidden="1" x14ac:dyDescent="0.3">
      <c r="A2364">
        <v>48</v>
      </c>
      <c r="B2364">
        <v>340000</v>
      </c>
      <c r="C2364" t="s">
        <v>46</v>
      </c>
      <c r="D2364" t="s">
        <v>16</v>
      </c>
      <c r="E2364">
        <v>31515.363552999999</v>
      </c>
    </row>
    <row r="2365" spans="1:5" hidden="1" x14ac:dyDescent="0.3">
      <c r="A2365">
        <v>48</v>
      </c>
      <c r="B2365">
        <v>340000</v>
      </c>
      <c r="C2365" t="s">
        <v>46</v>
      </c>
      <c r="D2365" t="s">
        <v>17</v>
      </c>
      <c r="E2365">
        <v>55.558059</v>
      </c>
    </row>
    <row r="2366" spans="1:5" hidden="1" x14ac:dyDescent="0.3">
      <c r="A2366">
        <v>48</v>
      </c>
      <c r="B2366">
        <v>340000</v>
      </c>
      <c r="C2366" t="s">
        <v>46</v>
      </c>
      <c r="D2366" t="s">
        <v>18</v>
      </c>
      <c r="E2366">
        <v>44.419293000000003</v>
      </c>
    </row>
    <row r="2367" spans="1:5" hidden="1" x14ac:dyDescent="0.3">
      <c r="A2367">
        <v>48</v>
      </c>
      <c r="B2367">
        <v>340000</v>
      </c>
      <c r="C2367" t="s">
        <v>46</v>
      </c>
      <c r="D2367" t="s">
        <v>19</v>
      </c>
      <c r="E2367">
        <v>4222.224647</v>
      </c>
    </row>
    <row r="2368" spans="1:5" hidden="1" x14ac:dyDescent="0.3">
      <c r="A2368">
        <v>48</v>
      </c>
      <c r="B2368">
        <v>340000</v>
      </c>
      <c r="C2368" t="s">
        <v>46</v>
      </c>
      <c r="D2368" t="s">
        <v>20</v>
      </c>
      <c r="E2368">
        <v>6055.558129</v>
      </c>
    </row>
    <row r="2369" spans="1:5" hidden="1" x14ac:dyDescent="0.3">
      <c r="A2369">
        <v>48</v>
      </c>
      <c r="B2369">
        <v>340000</v>
      </c>
      <c r="C2369" t="s">
        <v>46</v>
      </c>
      <c r="D2369" t="s">
        <v>21</v>
      </c>
      <c r="E2369">
        <v>888.888645</v>
      </c>
    </row>
    <row r="2370" spans="1:5" hidden="1" x14ac:dyDescent="0.3">
      <c r="A2370">
        <v>48</v>
      </c>
      <c r="B2370">
        <v>340000</v>
      </c>
      <c r="C2370" t="s">
        <v>46</v>
      </c>
      <c r="D2370" t="s">
        <v>22</v>
      </c>
      <c r="E2370">
        <v>268.880267</v>
      </c>
    </row>
    <row r="2371" spans="1:5" hidden="1" x14ac:dyDescent="0.3">
      <c r="A2371">
        <v>48</v>
      </c>
      <c r="B2371">
        <v>340000</v>
      </c>
      <c r="C2371" t="s">
        <v>46</v>
      </c>
      <c r="D2371" t="s">
        <v>23</v>
      </c>
      <c r="E2371">
        <v>1722.2247990000001</v>
      </c>
    </row>
    <row r="2372" spans="1:5" hidden="1" x14ac:dyDescent="0.3">
      <c r="A2372">
        <v>48</v>
      </c>
      <c r="B2372">
        <v>340000</v>
      </c>
      <c r="C2372" t="s">
        <v>46</v>
      </c>
      <c r="D2372" t="s">
        <v>24</v>
      </c>
      <c r="E2372">
        <v>32111.113711999998</v>
      </c>
    </row>
    <row r="2373" spans="1:5" hidden="1" x14ac:dyDescent="0.3">
      <c r="A2373">
        <v>48</v>
      </c>
      <c r="B2373">
        <v>340000</v>
      </c>
      <c r="C2373" t="s">
        <v>46</v>
      </c>
      <c r="D2373" t="s">
        <v>25</v>
      </c>
      <c r="E2373">
        <v>1500.0025009999999</v>
      </c>
    </row>
    <row r="2374" spans="1:5" hidden="1" x14ac:dyDescent="0.3">
      <c r="A2374">
        <v>48</v>
      </c>
      <c r="B2374">
        <v>340000</v>
      </c>
      <c r="C2374" t="s">
        <v>46</v>
      </c>
      <c r="D2374" t="s">
        <v>26</v>
      </c>
      <c r="E2374">
        <v>8277.7781520000008</v>
      </c>
    </row>
    <row r="2375" spans="1:5" hidden="1" x14ac:dyDescent="0.3">
      <c r="A2375">
        <v>49</v>
      </c>
      <c r="B2375">
        <v>345000</v>
      </c>
      <c r="C2375" t="s">
        <v>45</v>
      </c>
      <c r="D2375" t="s">
        <v>6</v>
      </c>
      <c r="E2375">
        <v>0.25810300000000003</v>
      </c>
    </row>
    <row r="2376" spans="1:5" hidden="1" x14ac:dyDescent="0.3">
      <c r="A2376">
        <v>49</v>
      </c>
      <c r="B2376">
        <v>345000</v>
      </c>
      <c r="C2376" t="s">
        <v>45</v>
      </c>
      <c r="D2376" t="s">
        <v>7</v>
      </c>
      <c r="E2376">
        <v>52999.998688</v>
      </c>
    </row>
    <row r="2377" spans="1:5" hidden="1" x14ac:dyDescent="0.3">
      <c r="A2377">
        <v>49</v>
      </c>
      <c r="B2377">
        <v>345000</v>
      </c>
      <c r="C2377" t="s">
        <v>45</v>
      </c>
      <c r="D2377" t="s">
        <v>8</v>
      </c>
      <c r="E2377">
        <v>0.37144100000000002</v>
      </c>
    </row>
    <row r="2378" spans="1:5" hidden="1" x14ac:dyDescent="0.3">
      <c r="A2378">
        <v>49</v>
      </c>
      <c r="B2378">
        <v>345000</v>
      </c>
      <c r="C2378" t="s">
        <v>45</v>
      </c>
      <c r="D2378" t="s">
        <v>9</v>
      </c>
      <c r="E2378">
        <v>96195.110371000002</v>
      </c>
    </row>
    <row r="2379" spans="1:5" hidden="1" x14ac:dyDescent="0.3">
      <c r="A2379">
        <v>49</v>
      </c>
      <c r="B2379">
        <v>345000</v>
      </c>
      <c r="C2379" t="s">
        <v>45</v>
      </c>
      <c r="D2379" t="s">
        <v>10</v>
      </c>
      <c r="E2379">
        <v>0.43605300000000002</v>
      </c>
    </row>
    <row r="2380" spans="1:5" hidden="1" x14ac:dyDescent="0.3">
      <c r="A2380">
        <v>49</v>
      </c>
      <c r="B2380">
        <v>345000</v>
      </c>
      <c r="C2380" t="s">
        <v>45</v>
      </c>
      <c r="D2380" t="s">
        <v>11</v>
      </c>
      <c r="E2380">
        <v>34138.885212000001</v>
      </c>
    </row>
    <row r="2381" spans="1:5" hidden="1" x14ac:dyDescent="0.3">
      <c r="A2381">
        <v>49</v>
      </c>
      <c r="B2381">
        <v>345000</v>
      </c>
      <c r="C2381" t="s">
        <v>45</v>
      </c>
      <c r="D2381" t="s">
        <v>12</v>
      </c>
      <c r="E2381">
        <v>44388.889261999997</v>
      </c>
    </row>
    <row r="2382" spans="1:5" hidden="1" x14ac:dyDescent="0.3">
      <c r="A2382">
        <v>49</v>
      </c>
      <c r="B2382">
        <v>345000</v>
      </c>
      <c r="C2382" t="s">
        <v>45</v>
      </c>
      <c r="D2382" t="s">
        <v>13</v>
      </c>
      <c r="E2382">
        <v>35431.343207999998</v>
      </c>
    </row>
    <row r="2383" spans="1:5" hidden="1" x14ac:dyDescent="0.3">
      <c r="A2383">
        <v>49</v>
      </c>
      <c r="B2383">
        <v>345000</v>
      </c>
      <c r="C2383" t="s">
        <v>45</v>
      </c>
      <c r="D2383" t="s">
        <v>14</v>
      </c>
      <c r="E2383">
        <v>12472.2204</v>
      </c>
    </row>
    <row r="2384" spans="1:5" hidden="1" x14ac:dyDescent="0.3">
      <c r="A2384">
        <v>49</v>
      </c>
      <c r="B2384">
        <v>345000</v>
      </c>
      <c r="C2384" t="s">
        <v>45</v>
      </c>
      <c r="D2384" t="s">
        <v>15</v>
      </c>
      <c r="E2384">
        <v>0.28614899999999999</v>
      </c>
    </row>
    <row r="2385" spans="1:5" hidden="1" x14ac:dyDescent="0.3">
      <c r="A2385">
        <v>49</v>
      </c>
      <c r="B2385">
        <v>345000</v>
      </c>
      <c r="C2385" t="s">
        <v>45</v>
      </c>
      <c r="D2385" t="s">
        <v>16</v>
      </c>
      <c r="E2385">
        <v>40332.871606000001</v>
      </c>
    </row>
    <row r="2386" spans="1:5" hidden="1" x14ac:dyDescent="0.3">
      <c r="A2386">
        <v>49</v>
      </c>
      <c r="B2386">
        <v>345000</v>
      </c>
      <c r="C2386" t="s">
        <v>45</v>
      </c>
      <c r="D2386" t="s">
        <v>17</v>
      </c>
      <c r="E2386">
        <v>0.149088</v>
      </c>
    </row>
    <row r="2387" spans="1:5" hidden="1" x14ac:dyDescent="0.3">
      <c r="A2387">
        <v>49</v>
      </c>
      <c r="B2387">
        <v>345000</v>
      </c>
      <c r="C2387" t="s">
        <v>45</v>
      </c>
      <c r="D2387" t="s">
        <v>18</v>
      </c>
      <c r="E2387">
        <v>88.831462999999999</v>
      </c>
    </row>
    <row r="2388" spans="1:5" hidden="1" x14ac:dyDescent="0.3">
      <c r="A2388">
        <v>49</v>
      </c>
      <c r="B2388">
        <v>345000</v>
      </c>
      <c r="C2388" t="s">
        <v>45</v>
      </c>
      <c r="D2388" t="s">
        <v>19</v>
      </c>
      <c r="E2388">
        <v>8833.332719</v>
      </c>
    </row>
    <row r="2389" spans="1:5" hidden="1" x14ac:dyDescent="0.3">
      <c r="A2389">
        <v>49</v>
      </c>
      <c r="B2389">
        <v>345000</v>
      </c>
      <c r="C2389" t="s">
        <v>45</v>
      </c>
      <c r="D2389" t="s">
        <v>20</v>
      </c>
      <c r="E2389">
        <v>15166.666424999999</v>
      </c>
    </row>
    <row r="2390" spans="1:5" hidden="1" x14ac:dyDescent="0.3">
      <c r="A2390">
        <v>49</v>
      </c>
      <c r="B2390">
        <v>345000</v>
      </c>
      <c r="C2390" t="s">
        <v>45</v>
      </c>
      <c r="D2390" t="s">
        <v>21</v>
      </c>
      <c r="E2390">
        <v>8.4009E-2</v>
      </c>
    </row>
    <row r="2391" spans="1:5" hidden="1" x14ac:dyDescent="0.3">
      <c r="A2391">
        <v>49</v>
      </c>
      <c r="B2391">
        <v>345000</v>
      </c>
      <c r="C2391" t="s">
        <v>45</v>
      </c>
      <c r="D2391" t="s">
        <v>22</v>
      </c>
      <c r="E2391">
        <v>504.14629400000001</v>
      </c>
    </row>
    <row r="2392" spans="1:5" hidden="1" x14ac:dyDescent="0.3">
      <c r="A2392">
        <v>49</v>
      </c>
      <c r="B2392">
        <v>345000</v>
      </c>
      <c r="C2392" t="s">
        <v>45</v>
      </c>
      <c r="D2392" t="s">
        <v>23</v>
      </c>
      <c r="E2392">
        <v>4444.4449619999996</v>
      </c>
    </row>
    <row r="2393" spans="1:5" hidden="1" x14ac:dyDescent="0.3">
      <c r="A2393">
        <v>49</v>
      </c>
      <c r="B2393">
        <v>345000</v>
      </c>
      <c r="C2393" t="s">
        <v>45</v>
      </c>
      <c r="D2393" t="s">
        <v>24</v>
      </c>
      <c r="E2393">
        <v>0.30525099999999999</v>
      </c>
    </row>
    <row r="2394" spans="1:5" hidden="1" x14ac:dyDescent="0.3">
      <c r="A2394">
        <v>49</v>
      </c>
      <c r="B2394">
        <v>345000</v>
      </c>
      <c r="C2394" t="s">
        <v>45</v>
      </c>
      <c r="D2394" t="s">
        <v>25</v>
      </c>
      <c r="E2394">
        <v>1.2568170000000001</v>
      </c>
    </row>
    <row r="2395" spans="1:5" hidden="1" x14ac:dyDescent="0.3">
      <c r="A2395">
        <v>49</v>
      </c>
      <c r="B2395">
        <v>345000</v>
      </c>
      <c r="C2395" t="s">
        <v>46</v>
      </c>
      <c r="D2395" t="s">
        <v>26</v>
      </c>
      <c r="E2395">
        <v>0.141288</v>
      </c>
    </row>
    <row r="2396" spans="1:5" x14ac:dyDescent="0.3">
      <c r="A2396">
        <v>49</v>
      </c>
      <c r="B2396">
        <v>345000</v>
      </c>
      <c r="C2396" t="s">
        <v>46</v>
      </c>
      <c r="D2396" t="s">
        <v>6</v>
      </c>
      <c r="E2396">
        <v>54.985846000000002</v>
      </c>
    </row>
    <row r="2397" spans="1:5" hidden="1" x14ac:dyDescent="0.3">
      <c r="A2397">
        <v>49</v>
      </c>
      <c r="B2397">
        <v>345000</v>
      </c>
      <c r="C2397" t="s">
        <v>46</v>
      </c>
      <c r="D2397" t="s">
        <v>7</v>
      </c>
      <c r="E2397">
        <v>36555.556473999997</v>
      </c>
    </row>
    <row r="2398" spans="1:5" hidden="1" x14ac:dyDescent="0.3">
      <c r="A2398">
        <v>49</v>
      </c>
      <c r="B2398">
        <v>345000</v>
      </c>
      <c r="C2398" t="s">
        <v>46</v>
      </c>
      <c r="D2398" t="s">
        <v>8</v>
      </c>
      <c r="E2398">
        <v>194.44399999999999</v>
      </c>
    </row>
    <row r="2399" spans="1:5" hidden="1" x14ac:dyDescent="0.3">
      <c r="A2399">
        <v>49</v>
      </c>
      <c r="B2399">
        <v>345000</v>
      </c>
      <c r="C2399" t="s">
        <v>46</v>
      </c>
      <c r="D2399" t="s">
        <v>9</v>
      </c>
      <c r="E2399">
        <v>34138.483472</v>
      </c>
    </row>
    <row r="2400" spans="1:5" hidden="1" x14ac:dyDescent="0.3">
      <c r="A2400">
        <v>49</v>
      </c>
      <c r="B2400">
        <v>345000</v>
      </c>
      <c r="C2400" t="s">
        <v>46</v>
      </c>
      <c r="D2400" t="s">
        <v>10</v>
      </c>
      <c r="E2400">
        <v>77250.000885999994</v>
      </c>
    </row>
    <row r="2401" spans="1:5" hidden="1" x14ac:dyDescent="0.3">
      <c r="A2401">
        <v>49</v>
      </c>
      <c r="B2401">
        <v>345000</v>
      </c>
      <c r="C2401" t="s">
        <v>46</v>
      </c>
      <c r="D2401" t="s">
        <v>11</v>
      </c>
      <c r="E2401">
        <v>28361.111134999999</v>
      </c>
    </row>
    <row r="2402" spans="1:5" hidden="1" x14ac:dyDescent="0.3">
      <c r="A2402">
        <v>49</v>
      </c>
      <c r="B2402">
        <v>345000</v>
      </c>
      <c r="C2402" t="s">
        <v>46</v>
      </c>
      <c r="D2402" t="s">
        <v>12</v>
      </c>
      <c r="E2402">
        <v>12555.555162000001</v>
      </c>
    </row>
    <row r="2403" spans="1:5" hidden="1" x14ac:dyDescent="0.3">
      <c r="A2403">
        <v>49</v>
      </c>
      <c r="B2403">
        <v>345000</v>
      </c>
      <c r="C2403" t="s">
        <v>46</v>
      </c>
      <c r="D2403" t="s">
        <v>13</v>
      </c>
      <c r="E2403">
        <v>14172.543900999999</v>
      </c>
    </row>
    <row r="2404" spans="1:5" hidden="1" x14ac:dyDescent="0.3">
      <c r="A2404">
        <v>49</v>
      </c>
      <c r="B2404">
        <v>345000</v>
      </c>
      <c r="C2404" t="s">
        <v>46</v>
      </c>
      <c r="D2404" t="s">
        <v>14</v>
      </c>
      <c r="E2404">
        <v>6388.8891130000002</v>
      </c>
    </row>
    <row r="2405" spans="1:5" hidden="1" x14ac:dyDescent="0.3">
      <c r="A2405">
        <v>49</v>
      </c>
      <c r="B2405">
        <v>345000</v>
      </c>
      <c r="C2405" t="s">
        <v>46</v>
      </c>
      <c r="D2405" t="s">
        <v>15</v>
      </c>
      <c r="E2405">
        <v>30638.870795999999</v>
      </c>
    </row>
    <row r="2406" spans="1:5" hidden="1" x14ac:dyDescent="0.3">
      <c r="A2406">
        <v>49</v>
      </c>
      <c r="B2406">
        <v>345000</v>
      </c>
      <c r="C2406" t="s">
        <v>46</v>
      </c>
      <c r="D2406" t="s">
        <v>16</v>
      </c>
      <c r="E2406">
        <v>31515.361375</v>
      </c>
    </row>
    <row r="2407" spans="1:5" hidden="1" x14ac:dyDescent="0.3">
      <c r="A2407">
        <v>49</v>
      </c>
      <c r="B2407">
        <v>345000</v>
      </c>
      <c r="C2407" t="s">
        <v>46</v>
      </c>
      <c r="D2407" t="s">
        <v>17</v>
      </c>
      <c r="E2407">
        <v>55.554819999999999</v>
      </c>
    </row>
    <row r="2408" spans="1:5" hidden="1" x14ac:dyDescent="0.3">
      <c r="A2408">
        <v>49</v>
      </c>
      <c r="B2408">
        <v>345000</v>
      </c>
      <c r="C2408" t="s">
        <v>46</v>
      </c>
      <c r="D2408" t="s">
        <v>18</v>
      </c>
      <c r="E2408">
        <v>44.416691999999998</v>
      </c>
    </row>
    <row r="2409" spans="1:5" hidden="1" x14ac:dyDescent="0.3">
      <c r="A2409">
        <v>49</v>
      </c>
      <c r="B2409">
        <v>345000</v>
      </c>
      <c r="C2409" t="s">
        <v>46</v>
      </c>
      <c r="D2409" t="s">
        <v>19</v>
      </c>
      <c r="E2409">
        <v>4222.2224580000002</v>
      </c>
    </row>
    <row r="2410" spans="1:5" hidden="1" x14ac:dyDescent="0.3">
      <c r="A2410">
        <v>49</v>
      </c>
      <c r="B2410">
        <v>345000</v>
      </c>
      <c r="C2410" t="s">
        <v>46</v>
      </c>
      <c r="D2410" t="s">
        <v>20</v>
      </c>
      <c r="E2410">
        <v>6055.5549979999996</v>
      </c>
    </row>
    <row r="2411" spans="1:5" hidden="1" x14ac:dyDescent="0.3">
      <c r="A2411">
        <v>49</v>
      </c>
      <c r="B2411">
        <v>345000</v>
      </c>
      <c r="C2411" t="s">
        <v>46</v>
      </c>
      <c r="D2411" t="s">
        <v>21</v>
      </c>
      <c r="E2411">
        <v>888.88195299999995</v>
      </c>
    </row>
    <row r="2412" spans="1:5" hidden="1" x14ac:dyDescent="0.3">
      <c r="A2412">
        <v>49</v>
      </c>
      <c r="B2412">
        <v>345000</v>
      </c>
      <c r="C2412" t="s">
        <v>46</v>
      </c>
      <c r="D2412" t="s">
        <v>22</v>
      </c>
      <c r="E2412">
        <v>268.87821700000001</v>
      </c>
    </row>
    <row r="2413" spans="1:5" hidden="1" x14ac:dyDescent="0.3">
      <c r="A2413">
        <v>49</v>
      </c>
      <c r="B2413">
        <v>345000</v>
      </c>
      <c r="C2413" t="s">
        <v>46</v>
      </c>
      <c r="D2413" t="s">
        <v>23</v>
      </c>
      <c r="E2413">
        <v>1722.2218720000001</v>
      </c>
    </row>
    <row r="2414" spans="1:5" hidden="1" x14ac:dyDescent="0.3">
      <c r="A2414">
        <v>49</v>
      </c>
      <c r="B2414">
        <v>345000</v>
      </c>
      <c r="C2414" t="s">
        <v>46</v>
      </c>
      <c r="D2414" t="s">
        <v>24</v>
      </c>
      <c r="E2414">
        <v>32111.093101999999</v>
      </c>
    </row>
    <row r="2415" spans="1:5" hidden="1" x14ac:dyDescent="0.3">
      <c r="A2415">
        <v>49</v>
      </c>
      <c r="B2415">
        <v>345000</v>
      </c>
      <c r="C2415" t="s">
        <v>46</v>
      </c>
      <c r="D2415" t="s">
        <v>25</v>
      </c>
      <c r="E2415">
        <v>1499.999397</v>
      </c>
    </row>
    <row r="2416" spans="1:5" hidden="1" x14ac:dyDescent="0.3">
      <c r="A2416">
        <v>49</v>
      </c>
      <c r="B2416">
        <v>345000</v>
      </c>
      <c r="C2416" t="s">
        <v>46</v>
      </c>
      <c r="D2416" t="s">
        <v>26</v>
      </c>
      <c r="E2416">
        <v>8277.7715360000002</v>
      </c>
    </row>
    <row r="2417" spans="1:5" hidden="1" x14ac:dyDescent="0.3">
      <c r="A2417">
        <v>50</v>
      </c>
      <c r="B2417">
        <v>350000</v>
      </c>
      <c r="C2417" t="s">
        <v>45</v>
      </c>
      <c r="D2417" t="s">
        <v>6</v>
      </c>
      <c r="E2417">
        <v>0.12636600000000001</v>
      </c>
    </row>
    <row r="2418" spans="1:5" hidden="1" x14ac:dyDescent="0.3">
      <c r="A2418">
        <v>50</v>
      </c>
      <c r="B2418">
        <v>350000</v>
      </c>
      <c r="C2418" t="s">
        <v>45</v>
      </c>
      <c r="D2418" t="s">
        <v>7</v>
      </c>
      <c r="E2418">
        <v>52999.991158999997</v>
      </c>
    </row>
    <row r="2419" spans="1:5" hidden="1" x14ac:dyDescent="0.3">
      <c r="A2419">
        <v>50</v>
      </c>
      <c r="B2419">
        <v>350000</v>
      </c>
      <c r="C2419" t="s">
        <v>45</v>
      </c>
      <c r="D2419" t="s">
        <v>8</v>
      </c>
      <c r="E2419">
        <v>0.14504800000000001</v>
      </c>
    </row>
    <row r="2420" spans="1:5" hidden="1" x14ac:dyDescent="0.3">
      <c r="A2420">
        <v>50</v>
      </c>
      <c r="B2420">
        <v>350000</v>
      </c>
      <c r="C2420" t="s">
        <v>45</v>
      </c>
      <c r="D2420" t="s">
        <v>9</v>
      </c>
      <c r="E2420">
        <v>101197.131434</v>
      </c>
    </row>
    <row r="2421" spans="1:5" hidden="1" x14ac:dyDescent="0.3">
      <c r="A2421">
        <v>50</v>
      </c>
      <c r="B2421">
        <v>350000</v>
      </c>
      <c r="C2421" t="s">
        <v>45</v>
      </c>
      <c r="D2421" t="s">
        <v>10</v>
      </c>
      <c r="E2421">
        <v>0.12551399999999999</v>
      </c>
    </row>
    <row r="2422" spans="1:5" hidden="1" x14ac:dyDescent="0.3">
      <c r="A2422">
        <v>50</v>
      </c>
      <c r="B2422">
        <v>350000</v>
      </c>
      <c r="C2422" t="s">
        <v>45</v>
      </c>
      <c r="D2422" t="s">
        <v>11</v>
      </c>
      <c r="E2422">
        <v>34138.888059999997</v>
      </c>
    </row>
    <row r="2423" spans="1:5" hidden="1" x14ac:dyDescent="0.3">
      <c r="A2423">
        <v>50</v>
      </c>
      <c r="B2423">
        <v>350000</v>
      </c>
      <c r="C2423" t="s">
        <v>45</v>
      </c>
      <c r="D2423" t="s">
        <v>12</v>
      </c>
      <c r="E2423">
        <v>44388.888189999998</v>
      </c>
    </row>
    <row r="2424" spans="1:5" hidden="1" x14ac:dyDescent="0.3">
      <c r="A2424">
        <v>50</v>
      </c>
      <c r="B2424">
        <v>350000</v>
      </c>
      <c r="C2424" t="s">
        <v>45</v>
      </c>
      <c r="D2424" t="s">
        <v>13</v>
      </c>
      <c r="E2424">
        <v>35431.344365999998</v>
      </c>
    </row>
    <row r="2425" spans="1:5" hidden="1" x14ac:dyDescent="0.3">
      <c r="A2425">
        <v>50</v>
      </c>
      <c r="B2425">
        <v>350000</v>
      </c>
      <c r="C2425" t="s">
        <v>45</v>
      </c>
      <c r="D2425" t="s">
        <v>14</v>
      </c>
      <c r="E2425">
        <v>12472.221949000001</v>
      </c>
    </row>
    <row r="2426" spans="1:5" hidden="1" x14ac:dyDescent="0.3">
      <c r="A2426">
        <v>50</v>
      </c>
      <c r="B2426">
        <v>350000</v>
      </c>
      <c r="C2426" t="s">
        <v>45</v>
      </c>
      <c r="D2426" t="s">
        <v>15</v>
      </c>
      <c r="E2426">
        <v>8.4058999999999995E-2</v>
      </c>
    </row>
    <row r="2427" spans="1:5" hidden="1" x14ac:dyDescent="0.3">
      <c r="A2427">
        <v>50</v>
      </c>
      <c r="B2427">
        <v>350000</v>
      </c>
      <c r="C2427" t="s">
        <v>45</v>
      </c>
      <c r="D2427" t="s">
        <v>16</v>
      </c>
      <c r="E2427">
        <v>40332.975896999997</v>
      </c>
    </row>
    <row r="2428" spans="1:5" hidden="1" x14ac:dyDescent="0.3">
      <c r="A2428">
        <v>50</v>
      </c>
      <c r="B2428">
        <v>350000</v>
      </c>
      <c r="C2428" t="s">
        <v>45</v>
      </c>
      <c r="D2428" t="s">
        <v>17</v>
      </c>
      <c r="E2428">
        <v>6.7507999999999999E-2</v>
      </c>
    </row>
    <row r="2429" spans="1:5" hidden="1" x14ac:dyDescent="0.3">
      <c r="A2429">
        <v>50</v>
      </c>
      <c r="B2429">
        <v>350000</v>
      </c>
      <c r="C2429" t="s">
        <v>45</v>
      </c>
      <c r="D2429" t="s">
        <v>18</v>
      </c>
      <c r="E2429">
        <v>88.832395000000005</v>
      </c>
    </row>
    <row r="2430" spans="1:5" hidden="1" x14ac:dyDescent="0.3">
      <c r="A2430">
        <v>50</v>
      </c>
      <c r="B2430">
        <v>350000</v>
      </c>
      <c r="C2430" t="s">
        <v>45</v>
      </c>
      <c r="D2430" t="s">
        <v>19</v>
      </c>
      <c r="E2430">
        <v>8833.3334259999992</v>
      </c>
    </row>
    <row r="2431" spans="1:5" hidden="1" x14ac:dyDescent="0.3">
      <c r="A2431">
        <v>50</v>
      </c>
      <c r="B2431">
        <v>350000</v>
      </c>
      <c r="C2431" t="s">
        <v>45</v>
      </c>
      <c r="D2431" t="s">
        <v>20</v>
      </c>
      <c r="E2431">
        <v>15166.666878</v>
      </c>
    </row>
    <row r="2432" spans="1:5" hidden="1" x14ac:dyDescent="0.3">
      <c r="A2432">
        <v>50</v>
      </c>
      <c r="B2432">
        <v>350000</v>
      </c>
      <c r="C2432" t="s">
        <v>45</v>
      </c>
      <c r="D2432" t="s">
        <v>21</v>
      </c>
      <c r="E2432">
        <v>3.2396000000000001E-2</v>
      </c>
    </row>
    <row r="2433" spans="1:5" hidden="1" x14ac:dyDescent="0.3">
      <c r="A2433">
        <v>50</v>
      </c>
      <c r="B2433">
        <v>350000</v>
      </c>
      <c r="C2433" t="s">
        <v>45</v>
      </c>
      <c r="D2433" t="s">
        <v>22</v>
      </c>
      <c r="E2433">
        <v>504.146995</v>
      </c>
    </row>
    <row r="2434" spans="1:5" hidden="1" x14ac:dyDescent="0.3">
      <c r="A2434">
        <v>50</v>
      </c>
      <c r="B2434">
        <v>350000</v>
      </c>
      <c r="C2434" t="s">
        <v>45</v>
      </c>
      <c r="D2434" t="s">
        <v>23</v>
      </c>
      <c r="E2434">
        <v>4444.4448609999999</v>
      </c>
    </row>
    <row r="2435" spans="1:5" hidden="1" x14ac:dyDescent="0.3">
      <c r="A2435">
        <v>50</v>
      </c>
      <c r="B2435">
        <v>350000</v>
      </c>
      <c r="C2435" t="s">
        <v>45</v>
      </c>
      <c r="D2435" t="s">
        <v>24</v>
      </c>
      <c r="E2435">
        <v>8.9654999999999999E-2</v>
      </c>
    </row>
    <row r="2436" spans="1:5" hidden="1" x14ac:dyDescent="0.3">
      <c r="A2436">
        <v>50</v>
      </c>
      <c r="B2436">
        <v>350000</v>
      </c>
      <c r="C2436" t="s">
        <v>45</v>
      </c>
      <c r="D2436" t="s">
        <v>25</v>
      </c>
      <c r="E2436">
        <v>0.43580200000000002</v>
      </c>
    </row>
    <row r="2437" spans="1:5" hidden="1" x14ac:dyDescent="0.3">
      <c r="A2437">
        <v>50</v>
      </c>
      <c r="B2437">
        <v>350000</v>
      </c>
      <c r="C2437" t="s">
        <v>46</v>
      </c>
      <c r="D2437" t="s">
        <v>26</v>
      </c>
      <c r="E2437">
        <v>4.2441E-2</v>
      </c>
    </row>
    <row r="2438" spans="1:5" x14ac:dyDescent="0.3">
      <c r="A2438">
        <v>50</v>
      </c>
      <c r="B2438">
        <v>350000</v>
      </c>
      <c r="C2438" t="s">
        <v>46</v>
      </c>
      <c r="D2438" t="s">
        <v>6</v>
      </c>
      <c r="E2438">
        <v>54.987614999999998</v>
      </c>
    </row>
    <row r="2439" spans="1:5" hidden="1" x14ac:dyDescent="0.3">
      <c r="A2439">
        <v>50</v>
      </c>
      <c r="B2439">
        <v>350000</v>
      </c>
      <c r="C2439" t="s">
        <v>46</v>
      </c>
      <c r="D2439" t="s">
        <v>7</v>
      </c>
      <c r="E2439">
        <v>36555.555700999997</v>
      </c>
    </row>
    <row r="2440" spans="1:5" hidden="1" x14ac:dyDescent="0.3">
      <c r="A2440">
        <v>50</v>
      </c>
      <c r="B2440">
        <v>350000</v>
      </c>
      <c r="C2440" t="s">
        <v>46</v>
      </c>
      <c r="D2440" t="s">
        <v>8</v>
      </c>
      <c r="E2440">
        <v>194.44504699999999</v>
      </c>
    </row>
    <row r="2441" spans="1:5" hidden="1" x14ac:dyDescent="0.3">
      <c r="A2441">
        <v>50</v>
      </c>
      <c r="B2441">
        <v>350000</v>
      </c>
      <c r="C2441" t="s">
        <v>46</v>
      </c>
      <c r="D2441" t="s">
        <v>9</v>
      </c>
      <c r="E2441">
        <v>34138.480864999998</v>
      </c>
    </row>
    <row r="2442" spans="1:5" hidden="1" x14ac:dyDescent="0.3">
      <c r="A2442">
        <v>50</v>
      </c>
      <c r="B2442">
        <v>350000</v>
      </c>
      <c r="C2442" t="s">
        <v>46</v>
      </c>
      <c r="D2442" t="s">
        <v>10</v>
      </c>
      <c r="E2442">
        <v>77249.995223999998</v>
      </c>
    </row>
    <row r="2443" spans="1:5" hidden="1" x14ac:dyDescent="0.3">
      <c r="A2443">
        <v>50</v>
      </c>
      <c r="B2443">
        <v>350000</v>
      </c>
      <c r="C2443" t="s">
        <v>46</v>
      </c>
      <c r="D2443" t="s">
        <v>11</v>
      </c>
      <c r="E2443">
        <v>28361.109098000001</v>
      </c>
    </row>
    <row r="2444" spans="1:5" hidden="1" x14ac:dyDescent="0.3">
      <c r="A2444">
        <v>50</v>
      </c>
      <c r="B2444">
        <v>350000</v>
      </c>
      <c r="C2444" t="s">
        <v>46</v>
      </c>
      <c r="D2444" t="s">
        <v>12</v>
      </c>
      <c r="E2444">
        <v>12555.553910000001</v>
      </c>
    </row>
    <row r="2445" spans="1:5" hidden="1" x14ac:dyDescent="0.3">
      <c r="A2445">
        <v>50</v>
      </c>
      <c r="B2445">
        <v>350000</v>
      </c>
      <c r="C2445" t="s">
        <v>46</v>
      </c>
      <c r="D2445" t="s">
        <v>13</v>
      </c>
      <c r="E2445">
        <v>14172.542611999999</v>
      </c>
    </row>
    <row r="2446" spans="1:5" hidden="1" x14ac:dyDescent="0.3">
      <c r="A2446">
        <v>50</v>
      </c>
      <c r="B2446">
        <v>350000</v>
      </c>
      <c r="C2446" t="s">
        <v>46</v>
      </c>
      <c r="D2446" t="s">
        <v>14</v>
      </c>
      <c r="E2446">
        <v>6388.8894490000002</v>
      </c>
    </row>
    <row r="2447" spans="1:5" hidden="1" x14ac:dyDescent="0.3">
      <c r="A2447">
        <v>50</v>
      </c>
      <c r="B2447">
        <v>350000</v>
      </c>
      <c r="C2447" t="s">
        <v>46</v>
      </c>
      <c r="D2447" t="s">
        <v>15</v>
      </c>
      <c r="E2447">
        <v>30638.892339000002</v>
      </c>
    </row>
    <row r="2448" spans="1:5" hidden="1" x14ac:dyDescent="0.3">
      <c r="A2448">
        <v>50</v>
      </c>
      <c r="B2448">
        <v>350000</v>
      </c>
      <c r="C2448" t="s">
        <v>46</v>
      </c>
      <c r="D2448" t="s">
        <v>16</v>
      </c>
      <c r="E2448">
        <v>31515.364416</v>
      </c>
    </row>
    <row r="2449" spans="1:5" hidden="1" x14ac:dyDescent="0.3">
      <c r="A2449">
        <v>50</v>
      </c>
      <c r="B2449">
        <v>350000</v>
      </c>
      <c r="C2449" t="s">
        <v>46</v>
      </c>
      <c r="D2449" t="s">
        <v>17</v>
      </c>
      <c r="E2449">
        <v>55.556446000000001</v>
      </c>
    </row>
    <row r="2450" spans="1:5" hidden="1" x14ac:dyDescent="0.3">
      <c r="A2450">
        <v>50</v>
      </c>
      <c r="B2450">
        <v>350000</v>
      </c>
      <c r="C2450" t="s">
        <v>46</v>
      </c>
      <c r="D2450" t="s">
        <v>18</v>
      </c>
      <c r="E2450">
        <v>44.418584000000003</v>
      </c>
    </row>
    <row r="2451" spans="1:5" hidden="1" x14ac:dyDescent="0.3">
      <c r="A2451">
        <v>50</v>
      </c>
      <c r="B2451">
        <v>350000</v>
      </c>
      <c r="C2451" t="s">
        <v>46</v>
      </c>
      <c r="D2451" t="s">
        <v>19</v>
      </c>
      <c r="E2451">
        <v>4222.2231019999999</v>
      </c>
    </row>
    <row r="2452" spans="1:5" hidden="1" x14ac:dyDescent="0.3">
      <c r="A2452">
        <v>50</v>
      </c>
      <c r="B2452">
        <v>350000</v>
      </c>
      <c r="C2452" t="s">
        <v>46</v>
      </c>
      <c r="D2452" t="s">
        <v>20</v>
      </c>
      <c r="E2452">
        <v>6055.5543779999998</v>
      </c>
    </row>
    <row r="2453" spans="1:5" hidden="1" x14ac:dyDescent="0.3">
      <c r="A2453">
        <v>50</v>
      </c>
      <c r="B2453">
        <v>350000</v>
      </c>
      <c r="C2453" t="s">
        <v>46</v>
      </c>
      <c r="D2453" t="s">
        <v>21</v>
      </c>
      <c r="E2453">
        <v>888.89218500000004</v>
      </c>
    </row>
    <row r="2454" spans="1:5" hidden="1" x14ac:dyDescent="0.3">
      <c r="A2454">
        <v>50</v>
      </c>
      <c r="B2454">
        <v>350000</v>
      </c>
      <c r="C2454" t="s">
        <v>46</v>
      </c>
      <c r="D2454" t="s">
        <v>22</v>
      </c>
      <c r="E2454">
        <v>268.87988100000001</v>
      </c>
    </row>
    <row r="2455" spans="1:5" hidden="1" x14ac:dyDescent="0.3">
      <c r="A2455">
        <v>50</v>
      </c>
      <c r="B2455">
        <v>350000</v>
      </c>
      <c r="C2455" t="s">
        <v>46</v>
      </c>
      <c r="D2455" t="s">
        <v>23</v>
      </c>
      <c r="E2455">
        <v>1722.2223429999999</v>
      </c>
    </row>
    <row r="2456" spans="1:5" hidden="1" x14ac:dyDescent="0.3">
      <c r="A2456">
        <v>50</v>
      </c>
      <c r="B2456">
        <v>350000</v>
      </c>
      <c r="C2456" t="s">
        <v>46</v>
      </c>
      <c r="D2456" t="s">
        <v>24</v>
      </c>
      <c r="E2456">
        <v>32111.104411</v>
      </c>
    </row>
    <row r="2457" spans="1:5" hidden="1" x14ac:dyDescent="0.3">
      <c r="A2457">
        <v>50</v>
      </c>
      <c r="B2457">
        <v>350000</v>
      </c>
      <c r="C2457" t="s">
        <v>46</v>
      </c>
      <c r="D2457" t="s">
        <v>25</v>
      </c>
      <c r="E2457">
        <v>1499.9993939999999</v>
      </c>
    </row>
    <row r="2458" spans="1:5" hidden="1" x14ac:dyDescent="0.3">
      <c r="A2458">
        <v>50</v>
      </c>
      <c r="B2458">
        <v>350000</v>
      </c>
      <c r="C2458" t="s">
        <v>46</v>
      </c>
      <c r="D2458" t="s">
        <v>26</v>
      </c>
      <c r="E2458">
        <v>8277.7811099999999</v>
      </c>
    </row>
    <row r="2459" spans="1:5" hidden="1" x14ac:dyDescent="0.3">
      <c r="A2459">
        <v>51</v>
      </c>
      <c r="B2459">
        <v>355000</v>
      </c>
      <c r="C2459" t="s">
        <v>45</v>
      </c>
      <c r="D2459" t="s">
        <v>6</v>
      </c>
      <c r="E2459">
        <v>0.11737</v>
      </c>
    </row>
    <row r="2460" spans="1:5" hidden="1" x14ac:dyDescent="0.3">
      <c r="A2460">
        <v>51</v>
      </c>
      <c r="B2460">
        <v>355000</v>
      </c>
      <c r="C2460" t="s">
        <v>45</v>
      </c>
      <c r="D2460" t="s">
        <v>7</v>
      </c>
      <c r="E2460">
        <v>52999.998914999996</v>
      </c>
    </row>
    <row r="2461" spans="1:5" hidden="1" x14ac:dyDescent="0.3">
      <c r="A2461">
        <v>51</v>
      </c>
      <c r="B2461">
        <v>355000</v>
      </c>
      <c r="C2461" t="s">
        <v>45</v>
      </c>
      <c r="D2461" t="s">
        <v>8</v>
      </c>
      <c r="E2461">
        <v>0.17693600000000001</v>
      </c>
    </row>
    <row r="2462" spans="1:5" hidden="1" x14ac:dyDescent="0.3">
      <c r="A2462">
        <v>51</v>
      </c>
      <c r="B2462">
        <v>355000</v>
      </c>
      <c r="C2462" t="s">
        <v>45</v>
      </c>
      <c r="D2462" t="s">
        <v>9</v>
      </c>
      <c r="E2462">
        <v>106196.728898</v>
      </c>
    </row>
    <row r="2463" spans="1:5" hidden="1" x14ac:dyDescent="0.3">
      <c r="A2463">
        <v>51</v>
      </c>
      <c r="B2463">
        <v>355000</v>
      </c>
      <c r="C2463" t="s">
        <v>45</v>
      </c>
      <c r="D2463" t="s">
        <v>10</v>
      </c>
      <c r="E2463">
        <v>0.19779099999999999</v>
      </c>
    </row>
    <row r="2464" spans="1:5" hidden="1" x14ac:dyDescent="0.3">
      <c r="A2464">
        <v>51</v>
      </c>
      <c r="B2464">
        <v>355000</v>
      </c>
      <c r="C2464" t="s">
        <v>45</v>
      </c>
      <c r="D2464" t="s">
        <v>11</v>
      </c>
      <c r="E2464">
        <v>34138.887198999997</v>
      </c>
    </row>
    <row r="2465" spans="1:5" hidden="1" x14ac:dyDescent="0.3">
      <c r="A2465">
        <v>51</v>
      </c>
      <c r="B2465">
        <v>355000</v>
      </c>
      <c r="C2465" t="s">
        <v>45</v>
      </c>
      <c r="D2465" t="s">
        <v>12</v>
      </c>
      <c r="E2465">
        <v>44388.885418999998</v>
      </c>
    </row>
    <row r="2466" spans="1:5" hidden="1" x14ac:dyDescent="0.3">
      <c r="A2466">
        <v>51</v>
      </c>
      <c r="B2466">
        <v>355000</v>
      </c>
      <c r="C2466" t="s">
        <v>45</v>
      </c>
      <c r="D2466" t="s">
        <v>13</v>
      </c>
      <c r="E2466">
        <v>35431.343840000001</v>
      </c>
    </row>
    <row r="2467" spans="1:5" hidden="1" x14ac:dyDescent="0.3">
      <c r="A2467">
        <v>51</v>
      </c>
      <c r="B2467">
        <v>355000</v>
      </c>
      <c r="C2467" t="s">
        <v>45</v>
      </c>
      <c r="D2467" t="s">
        <v>14</v>
      </c>
      <c r="E2467">
        <v>12472.221262999999</v>
      </c>
    </row>
    <row r="2468" spans="1:5" hidden="1" x14ac:dyDescent="0.3">
      <c r="A2468">
        <v>51</v>
      </c>
      <c r="B2468">
        <v>355000</v>
      </c>
      <c r="C2468" t="s">
        <v>45</v>
      </c>
      <c r="D2468" t="s">
        <v>15</v>
      </c>
      <c r="E2468">
        <v>0.133746</v>
      </c>
    </row>
    <row r="2469" spans="1:5" hidden="1" x14ac:dyDescent="0.3">
      <c r="A2469">
        <v>51</v>
      </c>
      <c r="B2469">
        <v>355000</v>
      </c>
      <c r="C2469" t="s">
        <v>45</v>
      </c>
      <c r="D2469" t="s">
        <v>16</v>
      </c>
      <c r="E2469">
        <v>40333.000177000002</v>
      </c>
    </row>
    <row r="2470" spans="1:5" hidden="1" x14ac:dyDescent="0.3">
      <c r="A2470">
        <v>51</v>
      </c>
      <c r="B2470">
        <v>355000</v>
      </c>
      <c r="C2470" t="s">
        <v>45</v>
      </c>
      <c r="D2470" t="s">
        <v>17</v>
      </c>
      <c r="E2470">
        <v>8.1682000000000005E-2</v>
      </c>
    </row>
    <row r="2471" spans="1:5" hidden="1" x14ac:dyDescent="0.3">
      <c r="A2471">
        <v>51</v>
      </c>
      <c r="B2471">
        <v>355000</v>
      </c>
      <c r="C2471" t="s">
        <v>45</v>
      </c>
      <c r="D2471" t="s">
        <v>18</v>
      </c>
      <c r="E2471">
        <v>88.831181999999998</v>
      </c>
    </row>
    <row r="2472" spans="1:5" hidden="1" x14ac:dyDescent="0.3">
      <c r="A2472">
        <v>51</v>
      </c>
      <c r="B2472">
        <v>355000</v>
      </c>
      <c r="C2472" t="s">
        <v>45</v>
      </c>
      <c r="D2472" t="s">
        <v>19</v>
      </c>
      <c r="E2472">
        <v>8833.332907</v>
      </c>
    </row>
    <row r="2473" spans="1:5" hidden="1" x14ac:dyDescent="0.3">
      <c r="A2473">
        <v>51</v>
      </c>
      <c r="B2473">
        <v>355000</v>
      </c>
      <c r="C2473" t="s">
        <v>45</v>
      </c>
      <c r="D2473" t="s">
        <v>20</v>
      </c>
      <c r="E2473">
        <v>15166.666439000001</v>
      </c>
    </row>
    <row r="2474" spans="1:5" hidden="1" x14ac:dyDescent="0.3">
      <c r="A2474">
        <v>51</v>
      </c>
      <c r="B2474">
        <v>355000</v>
      </c>
      <c r="C2474" t="s">
        <v>45</v>
      </c>
      <c r="D2474" t="s">
        <v>21</v>
      </c>
      <c r="E2474">
        <v>4.4717E-2</v>
      </c>
    </row>
    <row r="2475" spans="1:5" hidden="1" x14ac:dyDescent="0.3">
      <c r="A2475">
        <v>51</v>
      </c>
      <c r="B2475">
        <v>355000</v>
      </c>
      <c r="C2475" t="s">
        <v>45</v>
      </c>
      <c r="D2475" t="s">
        <v>22</v>
      </c>
      <c r="E2475">
        <v>504.14652000000001</v>
      </c>
    </row>
    <row r="2476" spans="1:5" hidden="1" x14ac:dyDescent="0.3">
      <c r="A2476">
        <v>51</v>
      </c>
      <c r="B2476">
        <v>355000</v>
      </c>
      <c r="C2476" t="s">
        <v>45</v>
      </c>
      <c r="D2476" t="s">
        <v>23</v>
      </c>
      <c r="E2476">
        <v>4444.4445299999998</v>
      </c>
    </row>
    <row r="2477" spans="1:5" hidden="1" x14ac:dyDescent="0.3">
      <c r="A2477">
        <v>51</v>
      </c>
      <c r="B2477">
        <v>355000</v>
      </c>
      <c r="C2477" t="s">
        <v>45</v>
      </c>
      <c r="D2477" t="s">
        <v>24</v>
      </c>
      <c r="E2477">
        <v>0.14302699999999999</v>
      </c>
    </row>
    <row r="2478" spans="1:5" hidden="1" x14ac:dyDescent="0.3">
      <c r="A2478">
        <v>51</v>
      </c>
      <c r="B2478">
        <v>355000</v>
      </c>
      <c r="C2478" t="s">
        <v>45</v>
      </c>
      <c r="D2478" t="s">
        <v>25</v>
      </c>
      <c r="E2478">
        <v>0.55610899999999996</v>
      </c>
    </row>
    <row r="2479" spans="1:5" hidden="1" x14ac:dyDescent="0.3">
      <c r="A2479">
        <v>51</v>
      </c>
      <c r="B2479">
        <v>355000</v>
      </c>
      <c r="C2479" t="s">
        <v>45</v>
      </c>
      <c r="D2479" t="s">
        <v>26</v>
      </c>
      <c r="E2479">
        <v>7.1951000000000001E-2</v>
      </c>
    </row>
    <row r="2480" spans="1:5" hidden="1" x14ac:dyDescent="0.3">
      <c r="A2480">
        <v>52</v>
      </c>
      <c r="B2480">
        <v>360000</v>
      </c>
      <c r="C2480" t="s">
        <v>45</v>
      </c>
      <c r="D2480" t="s">
        <v>6</v>
      </c>
      <c r="E2480">
        <v>0.237591</v>
      </c>
    </row>
    <row r="2481" spans="1:5" hidden="1" x14ac:dyDescent="0.3">
      <c r="A2481">
        <v>52</v>
      </c>
      <c r="B2481">
        <v>360000</v>
      </c>
      <c r="C2481" t="s">
        <v>45</v>
      </c>
      <c r="D2481" t="s">
        <v>7</v>
      </c>
      <c r="E2481">
        <v>52999.999020000003</v>
      </c>
    </row>
    <row r="2482" spans="1:5" hidden="1" x14ac:dyDescent="0.3">
      <c r="A2482">
        <v>52</v>
      </c>
      <c r="B2482">
        <v>360000</v>
      </c>
      <c r="C2482" t="s">
        <v>45</v>
      </c>
      <c r="D2482" t="s">
        <v>8</v>
      </c>
      <c r="E2482">
        <v>0.283891</v>
      </c>
    </row>
    <row r="2483" spans="1:5" hidden="1" x14ac:dyDescent="0.3">
      <c r="A2483">
        <v>52</v>
      </c>
      <c r="B2483">
        <v>360000</v>
      </c>
      <c r="C2483" t="s">
        <v>45</v>
      </c>
      <c r="D2483" t="s">
        <v>9</v>
      </c>
      <c r="E2483">
        <v>111196.34667</v>
      </c>
    </row>
    <row r="2484" spans="1:5" hidden="1" x14ac:dyDescent="0.3">
      <c r="A2484">
        <v>52</v>
      </c>
      <c r="B2484">
        <v>360000</v>
      </c>
      <c r="C2484" t="s">
        <v>45</v>
      </c>
      <c r="D2484" t="s">
        <v>10</v>
      </c>
      <c r="E2484">
        <v>0.17139499999999999</v>
      </c>
    </row>
    <row r="2485" spans="1:5" hidden="1" x14ac:dyDescent="0.3">
      <c r="A2485">
        <v>52</v>
      </c>
      <c r="B2485">
        <v>360000</v>
      </c>
      <c r="C2485" t="s">
        <v>45</v>
      </c>
      <c r="D2485" t="s">
        <v>11</v>
      </c>
      <c r="E2485">
        <v>34138.887407000002</v>
      </c>
    </row>
    <row r="2486" spans="1:5" hidden="1" x14ac:dyDescent="0.3">
      <c r="A2486">
        <v>52</v>
      </c>
      <c r="B2486">
        <v>360000</v>
      </c>
      <c r="C2486" t="s">
        <v>45</v>
      </c>
      <c r="D2486" t="s">
        <v>12</v>
      </c>
      <c r="E2486">
        <v>44388.887411999996</v>
      </c>
    </row>
    <row r="2487" spans="1:5" hidden="1" x14ac:dyDescent="0.3">
      <c r="A2487">
        <v>52</v>
      </c>
      <c r="B2487">
        <v>360000</v>
      </c>
      <c r="C2487" t="s">
        <v>45</v>
      </c>
      <c r="D2487" t="s">
        <v>13</v>
      </c>
      <c r="E2487">
        <v>35431.344007</v>
      </c>
    </row>
    <row r="2488" spans="1:5" hidden="1" x14ac:dyDescent="0.3">
      <c r="A2488">
        <v>52</v>
      </c>
      <c r="B2488">
        <v>360000</v>
      </c>
      <c r="C2488" t="s">
        <v>45</v>
      </c>
      <c r="D2488" t="s">
        <v>14</v>
      </c>
      <c r="E2488">
        <v>12472.22143</v>
      </c>
    </row>
    <row r="2489" spans="1:5" hidden="1" x14ac:dyDescent="0.3">
      <c r="A2489">
        <v>52</v>
      </c>
      <c r="B2489">
        <v>360000</v>
      </c>
      <c r="C2489" t="s">
        <v>45</v>
      </c>
      <c r="D2489" t="s">
        <v>15</v>
      </c>
      <c r="E2489">
        <v>0.12692400000000001</v>
      </c>
    </row>
    <row r="2490" spans="1:5" hidden="1" x14ac:dyDescent="0.3">
      <c r="A2490">
        <v>52</v>
      </c>
      <c r="B2490">
        <v>360000</v>
      </c>
      <c r="C2490" t="s">
        <v>45</v>
      </c>
      <c r="D2490" t="s">
        <v>16</v>
      </c>
      <c r="E2490">
        <v>40332.998878999999</v>
      </c>
    </row>
    <row r="2491" spans="1:5" hidden="1" x14ac:dyDescent="0.3">
      <c r="A2491">
        <v>52</v>
      </c>
      <c r="B2491">
        <v>360000</v>
      </c>
      <c r="C2491" t="s">
        <v>45</v>
      </c>
      <c r="D2491" t="s">
        <v>17</v>
      </c>
      <c r="E2491">
        <v>0.12707199999999999</v>
      </c>
    </row>
    <row r="2492" spans="1:5" hidden="1" x14ac:dyDescent="0.3">
      <c r="A2492">
        <v>52</v>
      </c>
      <c r="B2492">
        <v>360000</v>
      </c>
      <c r="C2492" t="s">
        <v>45</v>
      </c>
      <c r="D2492" t="s">
        <v>18</v>
      </c>
      <c r="E2492">
        <v>88.830860999999999</v>
      </c>
    </row>
    <row r="2493" spans="1:5" hidden="1" x14ac:dyDescent="0.3">
      <c r="A2493">
        <v>52</v>
      </c>
      <c r="B2493">
        <v>360000</v>
      </c>
      <c r="C2493" t="s">
        <v>45</v>
      </c>
      <c r="D2493" t="s">
        <v>19</v>
      </c>
      <c r="E2493">
        <v>8833.3330260000002</v>
      </c>
    </row>
    <row r="2494" spans="1:5" hidden="1" x14ac:dyDescent="0.3">
      <c r="A2494">
        <v>52</v>
      </c>
      <c r="B2494">
        <v>360000</v>
      </c>
      <c r="C2494" t="s">
        <v>45</v>
      </c>
      <c r="D2494" t="s">
        <v>20</v>
      </c>
      <c r="E2494">
        <v>15166.666553999999</v>
      </c>
    </row>
    <row r="2495" spans="1:5" hidden="1" x14ac:dyDescent="0.3">
      <c r="A2495">
        <v>52</v>
      </c>
      <c r="B2495">
        <v>360000</v>
      </c>
      <c r="C2495" t="s">
        <v>45</v>
      </c>
      <c r="D2495" t="s">
        <v>21</v>
      </c>
      <c r="E2495">
        <v>3.9893999999999999E-2</v>
      </c>
    </row>
    <row r="2496" spans="1:5" hidden="1" x14ac:dyDescent="0.3">
      <c r="A2496">
        <v>52</v>
      </c>
      <c r="B2496">
        <v>360000</v>
      </c>
      <c r="C2496" t="s">
        <v>45</v>
      </c>
      <c r="D2496" t="s">
        <v>22</v>
      </c>
      <c r="E2496">
        <v>504.146387</v>
      </c>
    </row>
    <row r="2497" spans="1:5" hidden="1" x14ac:dyDescent="0.3">
      <c r="A2497">
        <v>52</v>
      </c>
      <c r="B2497">
        <v>360000</v>
      </c>
      <c r="C2497" t="s">
        <v>45</v>
      </c>
      <c r="D2497" t="s">
        <v>23</v>
      </c>
      <c r="E2497">
        <v>4444.4445990000004</v>
      </c>
    </row>
    <row r="2498" spans="1:5" hidden="1" x14ac:dyDescent="0.3">
      <c r="A2498">
        <v>52</v>
      </c>
      <c r="B2498">
        <v>360000</v>
      </c>
      <c r="C2498" t="s">
        <v>45</v>
      </c>
      <c r="D2498" t="s">
        <v>24</v>
      </c>
      <c r="E2498">
        <v>0.136682</v>
      </c>
    </row>
    <row r="2499" spans="1:5" hidden="1" x14ac:dyDescent="0.3">
      <c r="A2499">
        <v>52</v>
      </c>
      <c r="B2499">
        <v>360000</v>
      </c>
      <c r="C2499" t="s">
        <v>45</v>
      </c>
      <c r="D2499" t="s">
        <v>25</v>
      </c>
      <c r="E2499">
        <v>0.71807799999999999</v>
      </c>
    </row>
    <row r="2500" spans="1:5" hidden="1" x14ac:dyDescent="0.3">
      <c r="A2500">
        <v>52</v>
      </c>
      <c r="B2500">
        <v>360000</v>
      </c>
      <c r="C2500" t="s">
        <v>45</v>
      </c>
      <c r="D2500" t="s">
        <v>26</v>
      </c>
      <c r="E2500">
        <v>6.4130999999999994E-2</v>
      </c>
    </row>
    <row r="2501" spans="1:5" hidden="1" x14ac:dyDescent="0.3">
      <c r="A2501">
        <v>53</v>
      </c>
      <c r="B2501">
        <v>365000</v>
      </c>
      <c r="C2501" t="s">
        <v>45</v>
      </c>
      <c r="D2501" t="s">
        <v>6</v>
      </c>
      <c r="E2501">
        <v>0.160103</v>
      </c>
    </row>
    <row r="2502" spans="1:5" hidden="1" x14ac:dyDescent="0.3">
      <c r="A2502">
        <v>53</v>
      </c>
      <c r="B2502">
        <v>365000</v>
      </c>
      <c r="C2502" t="s">
        <v>45</v>
      </c>
      <c r="D2502" t="s">
        <v>7</v>
      </c>
      <c r="E2502">
        <v>52999.998218000001</v>
      </c>
    </row>
    <row r="2503" spans="1:5" hidden="1" x14ac:dyDescent="0.3">
      <c r="A2503">
        <v>53</v>
      </c>
      <c r="B2503">
        <v>365000</v>
      </c>
      <c r="C2503" t="s">
        <v>45</v>
      </c>
      <c r="D2503" t="s">
        <v>8</v>
      </c>
      <c r="E2503">
        <v>0.34937099999999999</v>
      </c>
    </row>
    <row r="2504" spans="1:5" hidden="1" x14ac:dyDescent="0.3">
      <c r="A2504">
        <v>53</v>
      </c>
      <c r="B2504">
        <v>365000</v>
      </c>
      <c r="C2504" t="s">
        <v>45</v>
      </c>
      <c r="D2504" t="s">
        <v>9</v>
      </c>
      <c r="E2504">
        <v>116195.622364</v>
      </c>
    </row>
    <row r="2505" spans="1:5" hidden="1" x14ac:dyDescent="0.3">
      <c r="A2505">
        <v>53</v>
      </c>
      <c r="B2505">
        <v>365000</v>
      </c>
      <c r="C2505" t="s">
        <v>45</v>
      </c>
      <c r="D2505" t="s">
        <v>10</v>
      </c>
      <c r="E2505">
        <v>0.32791599999999999</v>
      </c>
    </row>
    <row r="2506" spans="1:5" hidden="1" x14ac:dyDescent="0.3">
      <c r="A2506">
        <v>53</v>
      </c>
      <c r="B2506">
        <v>365000</v>
      </c>
      <c r="C2506" t="s">
        <v>45</v>
      </c>
      <c r="D2506" t="s">
        <v>11</v>
      </c>
      <c r="E2506">
        <v>34138.886306</v>
      </c>
    </row>
    <row r="2507" spans="1:5" hidden="1" x14ac:dyDescent="0.3">
      <c r="A2507">
        <v>53</v>
      </c>
      <c r="B2507">
        <v>365000</v>
      </c>
      <c r="C2507" t="s">
        <v>45</v>
      </c>
      <c r="D2507" t="s">
        <v>12</v>
      </c>
      <c r="E2507">
        <v>44388.886519</v>
      </c>
    </row>
    <row r="2508" spans="1:5" hidden="1" x14ac:dyDescent="0.3">
      <c r="A2508">
        <v>53</v>
      </c>
      <c r="B2508">
        <v>365000</v>
      </c>
      <c r="C2508" t="s">
        <v>45</v>
      </c>
      <c r="D2508" t="s">
        <v>13</v>
      </c>
      <c r="E2508">
        <v>35431.343634999997</v>
      </c>
    </row>
    <row r="2509" spans="1:5" hidden="1" x14ac:dyDescent="0.3">
      <c r="A2509">
        <v>53</v>
      </c>
      <c r="B2509">
        <v>365000</v>
      </c>
      <c r="C2509" t="s">
        <v>45</v>
      </c>
      <c r="D2509" t="s">
        <v>14</v>
      </c>
      <c r="E2509">
        <v>12472.220923000001</v>
      </c>
    </row>
    <row r="2510" spans="1:5" hidden="1" x14ac:dyDescent="0.3">
      <c r="A2510">
        <v>53</v>
      </c>
      <c r="B2510">
        <v>365000</v>
      </c>
      <c r="C2510" t="s">
        <v>45</v>
      </c>
      <c r="D2510" t="s">
        <v>15</v>
      </c>
      <c r="E2510">
        <v>0.238951</v>
      </c>
    </row>
    <row r="2511" spans="1:5" hidden="1" x14ac:dyDescent="0.3">
      <c r="A2511">
        <v>53</v>
      </c>
      <c r="B2511">
        <v>365000</v>
      </c>
      <c r="C2511" t="s">
        <v>45</v>
      </c>
      <c r="D2511" t="s">
        <v>16</v>
      </c>
      <c r="E2511">
        <v>40332.957714999997</v>
      </c>
    </row>
    <row r="2512" spans="1:5" hidden="1" x14ac:dyDescent="0.3">
      <c r="A2512">
        <v>53</v>
      </c>
      <c r="B2512">
        <v>365000</v>
      </c>
      <c r="C2512" t="s">
        <v>45</v>
      </c>
      <c r="D2512" t="s">
        <v>17</v>
      </c>
      <c r="E2512">
        <v>0.14635400000000001</v>
      </c>
    </row>
    <row r="2513" spans="1:5" hidden="1" x14ac:dyDescent="0.3">
      <c r="A2513">
        <v>53</v>
      </c>
      <c r="B2513">
        <v>365000</v>
      </c>
      <c r="C2513" t="s">
        <v>45</v>
      </c>
      <c r="D2513" t="s">
        <v>18</v>
      </c>
      <c r="E2513">
        <v>88.830797000000004</v>
      </c>
    </row>
    <row r="2514" spans="1:5" hidden="1" x14ac:dyDescent="0.3">
      <c r="A2514">
        <v>53</v>
      </c>
      <c r="B2514">
        <v>365000</v>
      </c>
      <c r="C2514" t="s">
        <v>45</v>
      </c>
      <c r="D2514" t="s">
        <v>19</v>
      </c>
      <c r="E2514">
        <v>8833.3328669999992</v>
      </c>
    </row>
    <row r="2515" spans="1:5" hidden="1" x14ac:dyDescent="0.3">
      <c r="A2515">
        <v>53</v>
      </c>
      <c r="B2515">
        <v>365000</v>
      </c>
      <c r="C2515" t="s">
        <v>45</v>
      </c>
      <c r="D2515" t="s">
        <v>20</v>
      </c>
      <c r="E2515">
        <v>15166.666475</v>
      </c>
    </row>
    <row r="2516" spans="1:5" hidden="1" x14ac:dyDescent="0.3">
      <c r="A2516">
        <v>53</v>
      </c>
      <c r="B2516">
        <v>365000</v>
      </c>
      <c r="C2516" t="s">
        <v>45</v>
      </c>
      <c r="D2516" t="s">
        <v>21</v>
      </c>
      <c r="E2516">
        <v>2.1056999999999999E-2</v>
      </c>
    </row>
    <row r="2517" spans="1:5" hidden="1" x14ac:dyDescent="0.3">
      <c r="A2517">
        <v>53</v>
      </c>
      <c r="B2517">
        <v>365000</v>
      </c>
      <c r="C2517" t="s">
        <v>45</v>
      </c>
      <c r="D2517" t="s">
        <v>22</v>
      </c>
      <c r="E2517">
        <v>504.14621099999999</v>
      </c>
    </row>
    <row r="2518" spans="1:5" hidden="1" x14ac:dyDescent="0.3">
      <c r="A2518">
        <v>53</v>
      </c>
      <c r="B2518">
        <v>365000</v>
      </c>
      <c r="C2518" t="s">
        <v>45</v>
      </c>
      <c r="D2518" t="s">
        <v>23</v>
      </c>
      <c r="E2518">
        <v>4444.4447570000002</v>
      </c>
    </row>
    <row r="2519" spans="1:5" hidden="1" x14ac:dyDescent="0.3">
      <c r="A2519">
        <v>53</v>
      </c>
      <c r="B2519">
        <v>365000</v>
      </c>
      <c r="C2519" t="s">
        <v>45</v>
      </c>
      <c r="D2519" t="s">
        <v>24</v>
      </c>
      <c r="E2519">
        <v>0.25674200000000003</v>
      </c>
    </row>
    <row r="2520" spans="1:5" hidden="1" x14ac:dyDescent="0.3">
      <c r="A2520">
        <v>53</v>
      </c>
      <c r="B2520">
        <v>365000</v>
      </c>
      <c r="C2520" t="s">
        <v>45</v>
      </c>
      <c r="D2520" t="s">
        <v>25</v>
      </c>
      <c r="E2520">
        <v>1.066155</v>
      </c>
    </row>
    <row r="2521" spans="1:5" hidden="1" x14ac:dyDescent="0.3">
      <c r="A2521">
        <v>53</v>
      </c>
      <c r="B2521">
        <v>365000</v>
      </c>
      <c r="C2521" t="s">
        <v>45</v>
      </c>
      <c r="D2521" t="s">
        <v>26</v>
      </c>
      <c r="E2521">
        <v>0.117755</v>
      </c>
    </row>
    <row r="2522" spans="1:5" hidden="1" x14ac:dyDescent="0.3">
      <c r="A2522">
        <v>54</v>
      </c>
      <c r="B2522">
        <v>370000</v>
      </c>
      <c r="C2522" t="s">
        <v>45</v>
      </c>
      <c r="D2522" t="s">
        <v>6</v>
      </c>
      <c r="E2522">
        <v>0.48968699999999998</v>
      </c>
    </row>
    <row r="2523" spans="1:5" hidden="1" x14ac:dyDescent="0.3">
      <c r="A2523">
        <v>54</v>
      </c>
      <c r="B2523">
        <v>370000</v>
      </c>
      <c r="C2523" t="s">
        <v>45</v>
      </c>
      <c r="D2523" t="s">
        <v>7</v>
      </c>
      <c r="E2523">
        <v>53000.000426999999</v>
      </c>
    </row>
    <row r="2524" spans="1:5" hidden="1" x14ac:dyDescent="0.3">
      <c r="A2524">
        <v>54</v>
      </c>
      <c r="B2524">
        <v>370000</v>
      </c>
      <c r="C2524" t="s">
        <v>45</v>
      </c>
      <c r="D2524" t="s">
        <v>8</v>
      </c>
      <c r="E2524">
        <v>2.2574879999999999</v>
      </c>
    </row>
    <row r="2525" spans="1:5" hidden="1" x14ac:dyDescent="0.3">
      <c r="A2525">
        <v>54</v>
      </c>
      <c r="B2525">
        <v>370000</v>
      </c>
      <c r="C2525" t="s">
        <v>45</v>
      </c>
      <c r="D2525" t="s">
        <v>9</v>
      </c>
      <c r="E2525">
        <v>120838.42472700001</v>
      </c>
    </row>
    <row r="2526" spans="1:5" hidden="1" x14ac:dyDescent="0.3">
      <c r="A2526">
        <v>54</v>
      </c>
      <c r="B2526">
        <v>370000</v>
      </c>
      <c r="C2526" t="s">
        <v>45</v>
      </c>
      <c r="D2526" t="s">
        <v>10</v>
      </c>
      <c r="E2526">
        <v>0.54801900000000003</v>
      </c>
    </row>
    <row r="2527" spans="1:5" hidden="1" x14ac:dyDescent="0.3">
      <c r="A2527">
        <v>54</v>
      </c>
      <c r="B2527">
        <v>370000</v>
      </c>
      <c r="C2527" t="s">
        <v>45</v>
      </c>
      <c r="D2527" t="s">
        <v>11</v>
      </c>
      <c r="E2527">
        <v>34138.888337999997</v>
      </c>
    </row>
    <row r="2528" spans="1:5" hidden="1" x14ac:dyDescent="0.3">
      <c r="A2528">
        <v>54</v>
      </c>
      <c r="B2528">
        <v>370000</v>
      </c>
      <c r="C2528" t="s">
        <v>45</v>
      </c>
      <c r="D2528" t="s">
        <v>12</v>
      </c>
      <c r="E2528">
        <v>44388.888115000002</v>
      </c>
    </row>
    <row r="2529" spans="1:5" hidden="1" x14ac:dyDescent="0.3">
      <c r="A2529">
        <v>54</v>
      </c>
      <c r="B2529">
        <v>370000</v>
      </c>
      <c r="C2529" t="s">
        <v>45</v>
      </c>
      <c r="D2529" t="s">
        <v>13</v>
      </c>
      <c r="E2529">
        <v>35431.345265999997</v>
      </c>
    </row>
    <row r="2530" spans="1:5" hidden="1" x14ac:dyDescent="0.3">
      <c r="A2530">
        <v>54</v>
      </c>
      <c r="B2530">
        <v>370000</v>
      </c>
      <c r="C2530" t="s">
        <v>45</v>
      </c>
      <c r="D2530" t="s">
        <v>14</v>
      </c>
      <c r="E2530">
        <v>12472.222600999999</v>
      </c>
    </row>
    <row r="2531" spans="1:5" hidden="1" x14ac:dyDescent="0.3">
      <c r="A2531">
        <v>54</v>
      </c>
      <c r="B2531">
        <v>370000</v>
      </c>
      <c r="C2531" t="s">
        <v>45</v>
      </c>
      <c r="D2531" t="s">
        <v>15</v>
      </c>
      <c r="E2531">
        <v>0.35240300000000002</v>
      </c>
    </row>
    <row r="2532" spans="1:5" hidden="1" x14ac:dyDescent="0.3">
      <c r="A2532">
        <v>54</v>
      </c>
      <c r="B2532">
        <v>370000</v>
      </c>
      <c r="C2532" t="s">
        <v>45</v>
      </c>
      <c r="D2532" t="s">
        <v>16</v>
      </c>
      <c r="E2532">
        <v>40333.002302000001</v>
      </c>
    </row>
    <row r="2533" spans="1:5" hidden="1" x14ac:dyDescent="0.3">
      <c r="A2533">
        <v>54</v>
      </c>
      <c r="B2533">
        <v>370000</v>
      </c>
      <c r="C2533" t="s">
        <v>45</v>
      </c>
      <c r="D2533" t="s">
        <v>17</v>
      </c>
      <c r="E2533">
        <v>0.481294</v>
      </c>
    </row>
    <row r="2534" spans="1:5" hidden="1" x14ac:dyDescent="0.3">
      <c r="A2534">
        <v>54</v>
      </c>
      <c r="B2534">
        <v>370000</v>
      </c>
      <c r="C2534" t="s">
        <v>45</v>
      </c>
      <c r="D2534" t="s">
        <v>18</v>
      </c>
      <c r="E2534">
        <v>88.83372</v>
      </c>
    </row>
    <row r="2535" spans="1:5" hidden="1" x14ac:dyDescent="0.3">
      <c r="A2535">
        <v>54</v>
      </c>
      <c r="B2535">
        <v>370000</v>
      </c>
      <c r="C2535" t="s">
        <v>45</v>
      </c>
      <c r="D2535" t="s">
        <v>19</v>
      </c>
      <c r="E2535">
        <v>8833.3343750000004</v>
      </c>
    </row>
    <row r="2536" spans="1:5" hidden="1" x14ac:dyDescent="0.3">
      <c r="A2536">
        <v>54</v>
      </c>
      <c r="B2536">
        <v>370000</v>
      </c>
      <c r="C2536" t="s">
        <v>45</v>
      </c>
      <c r="D2536" t="s">
        <v>20</v>
      </c>
      <c r="E2536">
        <v>15166.668029</v>
      </c>
    </row>
    <row r="2537" spans="1:5" hidden="1" x14ac:dyDescent="0.3">
      <c r="A2537">
        <v>54</v>
      </c>
      <c r="B2537">
        <v>370000</v>
      </c>
      <c r="C2537" t="s">
        <v>45</v>
      </c>
      <c r="D2537" t="s">
        <v>21</v>
      </c>
      <c r="E2537">
        <v>0.10727100000000001</v>
      </c>
    </row>
    <row r="2538" spans="1:5" hidden="1" x14ac:dyDescent="0.3">
      <c r="A2538">
        <v>54</v>
      </c>
      <c r="B2538">
        <v>370000</v>
      </c>
      <c r="C2538" t="s">
        <v>45</v>
      </c>
      <c r="D2538" t="s">
        <v>22</v>
      </c>
      <c r="E2538">
        <v>504.14775100000003</v>
      </c>
    </row>
    <row r="2539" spans="1:5" hidden="1" x14ac:dyDescent="0.3">
      <c r="A2539">
        <v>54</v>
      </c>
      <c r="B2539">
        <v>370000</v>
      </c>
      <c r="C2539" t="s">
        <v>45</v>
      </c>
      <c r="D2539" t="s">
        <v>23</v>
      </c>
      <c r="E2539">
        <v>4444.4462199999998</v>
      </c>
    </row>
    <row r="2540" spans="1:5" hidden="1" x14ac:dyDescent="0.3">
      <c r="A2540">
        <v>54</v>
      </c>
      <c r="B2540">
        <v>370000</v>
      </c>
      <c r="C2540" t="s">
        <v>45</v>
      </c>
      <c r="D2540" t="s">
        <v>24</v>
      </c>
      <c r="E2540">
        <v>0.38774599999999998</v>
      </c>
    </row>
    <row r="2541" spans="1:5" hidden="1" x14ac:dyDescent="0.3">
      <c r="A2541">
        <v>54</v>
      </c>
      <c r="B2541">
        <v>370000</v>
      </c>
      <c r="C2541" t="s">
        <v>45</v>
      </c>
      <c r="D2541" t="s">
        <v>25</v>
      </c>
      <c r="E2541">
        <v>355.07165800000001</v>
      </c>
    </row>
    <row r="2542" spans="1:5" hidden="1" x14ac:dyDescent="0.3">
      <c r="A2542">
        <v>54</v>
      </c>
      <c r="B2542">
        <v>370000</v>
      </c>
      <c r="C2542" t="s">
        <v>45</v>
      </c>
      <c r="D2542" t="s">
        <v>26</v>
      </c>
      <c r="E2542">
        <v>0.155669</v>
      </c>
    </row>
    <row r="2543" spans="1:5" hidden="1" x14ac:dyDescent="0.3">
      <c r="A2543">
        <v>55</v>
      </c>
      <c r="B2543">
        <v>375000</v>
      </c>
      <c r="C2543" t="s">
        <v>45</v>
      </c>
      <c r="D2543" t="s">
        <v>6</v>
      </c>
      <c r="E2543">
        <v>1.385302</v>
      </c>
    </row>
    <row r="2544" spans="1:5" hidden="1" x14ac:dyDescent="0.3">
      <c r="A2544">
        <v>55</v>
      </c>
      <c r="B2544">
        <v>375000</v>
      </c>
      <c r="C2544" t="s">
        <v>45</v>
      </c>
      <c r="D2544" t="s">
        <v>7</v>
      </c>
      <c r="E2544">
        <v>52999.999188000002</v>
      </c>
    </row>
    <row r="2545" spans="1:5" hidden="1" x14ac:dyDescent="0.3">
      <c r="A2545">
        <v>55</v>
      </c>
      <c r="B2545">
        <v>375000</v>
      </c>
      <c r="C2545" t="s">
        <v>45</v>
      </c>
      <c r="D2545" t="s">
        <v>8</v>
      </c>
      <c r="E2545">
        <v>388.87948899999998</v>
      </c>
    </row>
    <row r="2546" spans="1:5" hidden="1" x14ac:dyDescent="0.3">
      <c r="A2546">
        <v>55</v>
      </c>
      <c r="B2546">
        <v>375000</v>
      </c>
      <c r="C2546" t="s">
        <v>45</v>
      </c>
      <c r="D2546" t="s">
        <v>9</v>
      </c>
      <c r="E2546">
        <v>120840.165676</v>
      </c>
    </row>
    <row r="2547" spans="1:5" hidden="1" x14ac:dyDescent="0.3">
      <c r="A2547">
        <v>55</v>
      </c>
      <c r="B2547">
        <v>375000</v>
      </c>
      <c r="C2547" t="s">
        <v>45</v>
      </c>
      <c r="D2547" t="s">
        <v>10</v>
      </c>
      <c r="E2547">
        <v>2019.147432</v>
      </c>
    </row>
    <row r="2548" spans="1:5" hidden="1" x14ac:dyDescent="0.3">
      <c r="A2548">
        <v>55</v>
      </c>
      <c r="B2548">
        <v>375000</v>
      </c>
      <c r="C2548" t="s">
        <v>45</v>
      </c>
      <c r="D2548" t="s">
        <v>11</v>
      </c>
      <c r="E2548">
        <v>34138.887877000001</v>
      </c>
    </row>
    <row r="2549" spans="1:5" hidden="1" x14ac:dyDescent="0.3">
      <c r="A2549">
        <v>55</v>
      </c>
      <c r="B2549">
        <v>375000</v>
      </c>
      <c r="C2549" t="s">
        <v>45</v>
      </c>
      <c r="D2549" t="s">
        <v>12</v>
      </c>
      <c r="E2549">
        <v>44388.888557999999</v>
      </c>
    </row>
    <row r="2550" spans="1:5" hidden="1" x14ac:dyDescent="0.3">
      <c r="A2550">
        <v>55</v>
      </c>
      <c r="B2550">
        <v>375000</v>
      </c>
      <c r="C2550" t="s">
        <v>45</v>
      </c>
      <c r="D2550" t="s">
        <v>13</v>
      </c>
      <c r="E2550">
        <v>35431.344615000002</v>
      </c>
    </row>
    <row r="2551" spans="1:5" hidden="1" x14ac:dyDescent="0.3">
      <c r="A2551">
        <v>55</v>
      </c>
      <c r="B2551">
        <v>375000</v>
      </c>
      <c r="C2551" t="s">
        <v>45</v>
      </c>
      <c r="D2551" t="s">
        <v>14</v>
      </c>
      <c r="E2551">
        <v>12472.222116999999</v>
      </c>
    </row>
    <row r="2552" spans="1:5" hidden="1" x14ac:dyDescent="0.3">
      <c r="A2552">
        <v>55</v>
      </c>
      <c r="B2552">
        <v>375000</v>
      </c>
      <c r="C2552" t="s">
        <v>45</v>
      </c>
      <c r="D2552" t="s">
        <v>15</v>
      </c>
      <c r="E2552">
        <v>1.4815069999999999</v>
      </c>
    </row>
    <row r="2553" spans="1:5" hidden="1" x14ac:dyDescent="0.3">
      <c r="A2553">
        <v>55</v>
      </c>
      <c r="B2553">
        <v>375000</v>
      </c>
      <c r="C2553" t="s">
        <v>45</v>
      </c>
      <c r="D2553" t="s">
        <v>16</v>
      </c>
      <c r="E2553">
        <v>40332.988915000002</v>
      </c>
    </row>
    <row r="2554" spans="1:5" hidden="1" x14ac:dyDescent="0.3">
      <c r="A2554">
        <v>55</v>
      </c>
      <c r="B2554">
        <v>375000</v>
      </c>
      <c r="C2554" t="s">
        <v>45</v>
      </c>
      <c r="D2554" t="s">
        <v>17</v>
      </c>
      <c r="E2554">
        <v>0.52395499999999995</v>
      </c>
    </row>
    <row r="2555" spans="1:5" hidden="1" x14ac:dyDescent="0.3">
      <c r="A2555">
        <v>55</v>
      </c>
      <c r="B2555">
        <v>375000</v>
      </c>
      <c r="C2555" t="s">
        <v>45</v>
      </c>
      <c r="D2555" t="s">
        <v>18</v>
      </c>
      <c r="E2555">
        <v>88.833804999999998</v>
      </c>
    </row>
    <row r="2556" spans="1:5" hidden="1" x14ac:dyDescent="0.3">
      <c r="A2556">
        <v>55</v>
      </c>
      <c r="B2556">
        <v>375000</v>
      </c>
      <c r="C2556" t="s">
        <v>45</v>
      </c>
      <c r="D2556" t="s">
        <v>19</v>
      </c>
      <c r="E2556">
        <v>8833.3337169999995</v>
      </c>
    </row>
    <row r="2557" spans="1:5" hidden="1" x14ac:dyDescent="0.3">
      <c r="A2557">
        <v>55</v>
      </c>
      <c r="B2557">
        <v>375000</v>
      </c>
      <c r="C2557" t="s">
        <v>45</v>
      </c>
      <c r="D2557" t="s">
        <v>20</v>
      </c>
      <c r="E2557">
        <v>15166.667184</v>
      </c>
    </row>
    <row r="2558" spans="1:5" hidden="1" x14ac:dyDescent="0.3">
      <c r="A2558">
        <v>55</v>
      </c>
      <c r="B2558">
        <v>375000</v>
      </c>
      <c r="C2558" t="s">
        <v>45</v>
      </c>
      <c r="D2558" t="s">
        <v>21</v>
      </c>
      <c r="E2558">
        <v>0.13700999999999999</v>
      </c>
    </row>
    <row r="2559" spans="1:5" hidden="1" x14ac:dyDescent="0.3">
      <c r="A2559">
        <v>55</v>
      </c>
      <c r="B2559">
        <v>375000</v>
      </c>
      <c r="C2559" t="s">
        <v>45</v>
      </c>
      <c r="D2559" t="s">
        <v>22</v>
      </c>
      <c r="E2559">
        <v>504.14784100000003</v>
      </c>
    </row>
    <row r="2560" spans="1:5" hidden="1" x14ac:dyDescent="0.3">
      <c r="A2560">
        <v>55</v>
      </c>
      <c r="B2560">
        <v>375000</v>
      </c>
      <c r="C2560" t="s">
        <v>45</v>
      </c>
      <c r="D2560" t="s">
        <v>23</v>
      </c>
      <c r="E2560">
        <v>4444.4453089999997</v>
      </c>
    </row>
    <row r="2561" spans="1:5" hidden="1" x14ac:dyDescent="0.3">
      <c r="A2561">
        <v>55</v>
      </c>
      <c r="B2561">
        <v>375000</v>
      </c>
      <c r="C2561" t="s">
        <v>45</v>
      </c>
      <c r="D2561" t="s">
        <v>24</v>
      </c>
      <c r="E2561">
        <v>1.988421</v>
      </c>
    </row>
    <row r="2562" spans="1:5" hidden="1" x14ac:dyDescent="0.3">
      <c r="A2562">
        <v>55</v>
      </c>
      <c r="B2562">
        <v>375000</v>
      </c>
      <c r="C2562" t="s">
        <v>45</v>
      </c>
      <c r="D2562" t="s">
        <v>25</v>
      </c>
      <c r="E2562">
        <v>2944.277505</v>
      </c>
    </row>
    <row r="2563" spans="1:5" hidden="1" x14ac:dyDescent="0.3">
      <c r="A2563">
        <v>55</v>
      </c>
      <c r="B2563">
        <v>375000</v>
      </c>
      <c r="C2563" t="s">
        <v>45</v>
      </c>
      <c r="D2563" t="s">
        <v>26</v>
      </c>
      <c r="E2563">
        <v>0.28460299999999999</v>
      </c>
    </row>
    <row r="2564" spans="1:5" hidden="1" x14ac:dyDescent="0.3">
      <c r="A2564">
        <v>56</v>
      </c>
      <c r="B2564">
        <v>380000</v>
      </c>
      <c r="C2564" t="s">
        <v>45</v>
      </c>
      <c r="D2564" t="s">
        <v>6</v>
      </c>
      <c r="E2564">
        <v>0.75487499999999996</v>
      </c>
    </row>
    <row r="2565" spans="1:5" hidden="1" x14ac:dyDescent="0.3">
      <c r="A2565">
        <v>56</v>
      </c>
      <c r="B2565">
        <v>380000</v>
      </c>
      <c r="C2565" t="s">
        <v>45</v>
      </c>
      <c r="D2565" t="s">
        <v>7</v>
      </c>
      <c r="E2565">
        <v>53000.000208999998</v>
      </c>
    </row>
    <row r="2566" spans="1:5" hidden="1" x14ac:dyDescent="0.3">
      <c r="A2566">
        <v>56</v>
      </c>
      <c r="B2566">
        <v>380000</v>
      </c>
      <c r="C2566" t="s">
        <v>45</v>
      </c>
      <c r="D2566" t="s">
        <v>8</v>
      </c>
      <c r="E2566">
        <v>388.88730099999998</v>
      </c>
    </row>
    <row r="2567" spans="1:5" hidden="1" x14ac:dyDescent="0.3">
      <c r="A2567">
        <v>56</v>
      </c>
      <c r="B2567">
        <v>380000</v>
      </c>
      <c r="C2567" t="s">
        <v>45</v>
      </c>
      <c r="D2567" t="s">
        <v>9</v>
      </c>
      <c r="E2567">
        <v>120840.114447</v>
      </c>
    </row>
    <row r="2568" spans="1:5" hidden="1" x14ac:dyDescent="0.3">
      <c r="A2568">
        <v>56</v>
      </c>
      <c r="B2568">
        <v>380000</v>
      </c>
      <c r="C2568" t="s">
        <v>45</v>
      </c>
      <c r="D2568" t="s">
        <v>10</v>
      </c>
      <c r="E2568">
        <v>7022.8383389999999</v>
      </c>
    </row>
    <row r="2569" spans="1:5" hidden="1" x14ac:dyDescent="0.3">
      <c r="A2569">
        <v>56</v>
      </c>
      <c r="B2569">
        <v>380000</v>
      </c>
      <c r="C2569" t="s">
        <v>45</v>
      </c>
      <c r="D2569" t="s">
        <v>11</v>
      </c>
      <c r="E2569">
        <v>34138.888681999997</v>
      </c>
    </row>
    <row r="2570" spans="1:5" hidden="1" x14ac:dyDescent="0.3">
      <c r="A2570">
        <v>56</v>
      </c>
      <c r="B2570">
        <v>380000</v>
      </c>
      <c r="C2570" t="s">
        <v>45</v>
      </c>
      <c r="D2570" t="s">
        <v>12</v>
      </c>
      <c r="E2570">
        <v>44388.888641999998</v>
      </c>
    </row>
    <row r="2571" spans="1:5" hidden="1" x14ac:dyDescent="0.3">
      <c r="A2571">
        <v>56</v>
      </c>
      <c r="B2571">
        <v>380000</v>
      </c>
      <c r="C2571" t="s">
        <v>45</v>
      </c>
      <c r="D2571" t="s">
        <v>13</v>
      </c>
      <c r="E2571">
        <v>35431.344530000002</v>
      </c>
    </row>
    <row r="2572" spans="1:5" hidden="1" x14ac:dyDescent="0.3">
      <c r="A2572">
        <v>56</v>
      </c>
      <c r="B2572">
        <v>380000</v>
      </c>
      <c r="C2572" t="s">
        <v>45</v>
      </c>
      <c r="D2572" t="s">
        <v>14</v>
      </c>
      <c r="E2572">
        <v>12472.222271000001</v>
      </c>
    </row>
    <row r="2573" spans="1:5" hidden="1" x14ac:dyDescent="0.3">
      <c r="A2573">
        <v>56</v>
      </c>
      <c r="B2573">
        <v>380000</v>
      </c>
      <c r="C2573" t="s">
        <v>45</v>
      </c>
      <c r="D2573" t="s">
        <v>15</v>
      </c>
      <c r="E2573">
        <v>0.38877800000000001</v>
      </c>
    </row>
    <row r="2574" spans="1:5" hidden="1" x14ac:dyDescent="0.3">
      <c r="A2574">
        <v>56</v>
      </c>
      <c r="B2574">
        <v>380000</v>
      </c>
      <c r="C2574" t="s">
        <v>45</v>
      </c>
      <c r="D2574" t="s">
        <v>16</v>
      </c>
      <c r="E2574">
        <v>40332.994595999997</v>
      </c>
    </row>
    <row r="2575" spans="1:5" hidden="1" x14ac:dyDescent="0.3">
      <c r="A2575">
        <v>56</v>
      </c>
      <c r="B2575">
        <v>380000</v>
      </c>
      <c r="C2575" t="s">
        <v>45</v>
      </c>
      <c r="D2575" t="s">
        <v>17</v>
      </c>
      <c r="E2575">
        <v>0.16622000000000001</v>
      </c>
    </row>
    <row r="2576" spans="1:5" hidden="1" x14ac:dyDescent="0.3">
      <c r="A2576">
        <v>56</v>
      </c>
      <c r="B2576">
        <v>380000</v>
      </c>
      <c r="C2576" t="s">
        <v>45</v>
      </c>
      <c r="D2576" t="s">
        <v>18</v>
      </c>
      <c r="E2576">
        <v>88.833425000000005</v>
      </c>
    </row>
    <row r="2577" spans="1:5" hidden="1" x14ac:dyDescent="0.3">
      <c r="A2577">
        <v>56</v>
      </c>
      <c r="B2577">
        <v>380000</v>
      </c>
      <c r="C2577" t="s">
        <v>45</v>
      </c>
      <c r="D2577" t="s">
        <v>19</v>
      </c>
      <c r="E2577">
        <v>8833.3334969999996</v>
      </c>
    </row>
    <row r="2578" spans="1:5" hidden="1" x14ac:dyDescent="0.3">
      <c r="A2578">
        <v>56</v>
      </c>
      <c r="B2578">
        <v>380000</v>
      </c>
      <c r="C2578" t="s">
        <v>45</v>
      </c>
      <c r="D2578" t="s">
        <v>20</v>
      </c>
      <c r="E2578">
        <v>15166.666867</v>
      </c>
    </row>
    <row r="2579" spans="1:5" hidden="1" x14ac:dyDescent="0.3">
      <c r="A2579">
        <v>56</v>
      </c>
      <c r="B2579">
        <v>380000</v>
      </c>
      <c r="C2579" t="s">
        <v>45</v>
      </c>
      <c r="D2579" t="s">
        <v>21</v>
      </c>
      <c r="E2579">
        <v>4.4115000000000001E-2</v>
      </c>
    </row>
    <row r="2580" spans="1:5" hidden="1" x14ac:dyDescent="0.3">
      <c r="A2580">
        <v>56</v>
      </c>
      <c r="B2580">
        <v>380000</v>
      </c>
      <c r="C2580" t="s">
        <v>45</v>
      </c>
      <c r="D2580" t="s">
        <v>22</v>
      </c>
      <c r="E2580">
        <v>504.14739700000001</v>
      </c>
    </row>
    <row r="2581" spans="1:5" hidden="1" x14ac:dyDescent="0.3">
      <c r="A2581">
        <v>56</v>
      </c>
      <c r="B2581">
        <v>380000</v>
      </c>
      <c r="C2581" t="s">
        <v>45</v>
      </c>
      <c r="D2581" t="s">
        <v>23</v>
      </c>
      <c r="E2581">
        <v>4444.4447380000001</v>
      </c>
    </row>
    <row r="2582" spans="1:5" hidden="1" x14ac:dyDescent="0.3">
      <c r="A2582">
        <v>56</v>
      </c>
      <c r="B2582">
        <v>380000</v>
      </c>
      <c r="C2582" t="s">
        <v>45</v>
      </c>
      <c r="D2582" t="s">
        <v>24</v>
      </c>
      <c r="E2582">
        <v>0.52962699999999996</v>
      </c>
    </row>
    <row r="2583" spans="1:5" hidden="1" x14ac:dyDescent="0.3">
      <c r="A2583">
        <v>56</v>
      </c>
      <c r="B2583">
        <v>380000</v>
      </c>
      <c r="C2583" t="s">
        <v>45</v>
      </c>
      <c r="D2583" t="s">
        <v>25</v>
      </c>
      <c r="E2583">
        <v>2944.4438679999998</v>
      </c>
    </row>
    <row r="2584" spans="1:5" hidden="1" x14ac:dyDescent="0.3">
      <c r="A2584">
        <v>56</v>
      </c>
      <c r="B2584">
        <v>380000</v>
      </c>
      <c r="C2584" t="s">
        <v>45</v>
      </c>
      <c r="D2584" t="s">
        <v>26</v>
      </c>
      <c r="E2584">
        <v>7.7337000000000003E-2</v>
      </c>
    </row>
    <row r="2585" spans="1:5" hidden="1" x14ac:dyDescent="0.3">
      <c r="A2585">
        <v>57</v>
      </c>
      <c r="B2585">
        <v>385000</v>
      </c>
      <c r="C2585" t="s">
        <v>45</v>
      </c>
      <c r="D2585" t="s">
        <v>6</v>
      </c>
      <c r="E2585">
        <v>2.3071830000000002</v>
      </c>
    </row>
    <row r="2586" spans="1:5" hidden="1" x14ac:dyDescent="0.3">
      <c r="A2586">
        <v>57</v>
      </c>
      <c r="B2586">
        <v>385000</v>
      </c>
      <c r="C2586" t="s">
        <v>45</v>
      </c>
      <c r="D2586" t="s">
        <v>7</v>
      </c>
      <c r="E2586">
        <v>53000.001847</v>
      </c>
    </row>
    <row r="2587" spans="1:5" hidden="1" x14ac:dyDescent="0.3">
      <c r="A2587">
        <v>57</v>
      </c>
      <c r="B2587">
        <v>385000</v>
      </c>
      <c r="C2587" t="s">
        <v>45</v>
      </c>
      <c r="D2587" t="s">
        <v>8</v>
      </c>
      <c r="E2587">
        <v>388.88582000000002</v>
      </c>
    </row>
    <row r="2588" spans="1:5" hidden="1" x14ac:dyDescent="0.3">
      <c r="A2588">
        <v>57</v>
      </c>
      <c r="B2588">
        <v>385000</v>
      </c>
      <c r="C2588" t="s">
        <v>45</v>
      </c>
      <c r="D2588" t="s">
        <v>9</v>
      </c>
      <c r="E2588">
        <v>120840.165557</v>
      </c>
    </row>
    <row r="2589" spans="1:5" hidden="1" x14ac:dyDescent="0.3">
      <c r="A2589">
        <v>57</v>
      </c>
      <c r="B2589">
        <v>385000</v>
      </c>
      <c r="C2589" t="s">
        <v>45</v>
      </c>
      <c r="D2589" t="s">
        <v>10</v>
      </c>
      <c r="E2589">
        <v>12018.298091000001</v>
      </c>
    </row>
    <row r="2590" spans="1:5" hidden="1" x14ac:dyDescent="0.3">
      <c r="A2590">
        <v>57</v>
      </c>
      <c r="B2590">
        <v>385000</v>
      </c>
      <c r="C2590" t="s">
        <v>45</v>
      </c>
      <c r="D2590" t="s">
        <v>11</v>
      </c>
      <c r="E2590">
        <v>34138.890569000003</v>
      </c>
    </row>
    <row r="2591" spans="1:5" hidden="1" x14ac:dyDescent="0.3">
      <c r="A2591">
        <v>57</v>
      </c>
      <c r="B2591">
        <v>385000</v>
      </c>
      <c r="C2591" t="s">
        <v>45</v>
      </c>
      <c r="D2591" t="s">
        <v>12</v>
      </c>
      <c r="E2591">
        <v>44388.889878000002</v>
      </c>
    </row>
    <row r="2592" spans="1:5" hidden="1" x14ac:dyDescent="0.3">
      <c r="A2592">
        <v>57</v>
      </c>
      <c r="B2592">
        <v>385000</v>
      </c>
      <c r="C2592" t="s">
        <v>45</v>
      </c>
      <c r="D2592" t="s">
        <v>13</v>
      </c>
      <c r="E2592">
        <v>35431.346688999998</v>
      </c>
    </row>
    <row r="2593" spans="1:5" hidden="1" x14ac:dyDescent="0.3">
      <c r="A2593">
        <v>57</v>
      </c>
      <c r="B2593">
        <v>385000</v>
      </c>
      <c r="C2593" t="s">
        <v>45</v>
      </c>
      <c r="D2593" t="s">
        <v>14</v>
      </c>
      <c r="E2593">
        <v>12472.224507000001</v>
      </c>
    </row>
    <row r="2594" spans="1:5" hidden="1" x14ac:dyDescent="0.3">
      <c r="A2594">
        <v>57</v>
      </c>
      <c r="B2594">
        <v>385000</v>
      </c>
      <c r="C2594" t="s">
        <v>45</v>
      </c>
      <c r="D2594" t="s">
        <v>15</v>
      </c>
      <c r="E2594">
        <v>1.356392</v>
      </c>
    </row>
    <row r="2595" spans="1:5" hidden="1" x14ac:dyDescent="0.3">
      <c r="A2595">
        <v>57</v>
      </c>
      <c r="B2595">
        <v>385000</v>
      </c>
      <c r="C2595" t="s">
        <v>45</v>
      </c>
      <c r="D2595" t="s">
        <v>16</v>
      </c>
      <c r="E2595">
        <v>40332.999034</v>
      </c>
    </row>
    <row r="2596" spans="1:5" hidden="1" x14ac:dyDescent="0.3">
      <c r="A2596">
        <v>57</v>
      </c>
      <c r="B2596">
        <v>385000</v>
      </c>
      <c r="C2596" t="s">
        <v>45</v>
      </c>
      <c r="D2596" t="s">
        <v>17</v>
      </c>
      <c r="E2596">
        <v>0.62105399999999999</v>
      </c>
    </row>
    <row r="2597" spans="1:5" hidden="1" x14ac:dyDescent="0.3">
      <c r="A2597">
        <v>57</v>
      </c>
      <c r="B2597">
        <v>385000</v>
      </c>
      <c r="C2597" t="s">
        <v>45</v>
      </c>
      <c r="D2597" t="s">
        <v>18</v>
      </c>
      <c r="E2597">
        <v>88.835616000000002</v>
      </c>
    </row>
    <row r="2598" spans="1:5" hidden="1" x14ac:dyDescent="0.3">
      <c r="A2598">
        <v>57</v>
      </c>
      <c r="B2598">
        <v>385000</v>
      </c>
      <c r="C2598" t="s">
        <v>45</v>
      </c>
      <c r="D2598" t="s">
        <v>19</v>
      </c>
      <c r="E2598">
        <v>8833.335873</v>
      </c>
    </row>
    <row r="2599" spans="1:5" hidden="1" x14ac:dyDescent="0.3">
      <c r="A2599">
        <v>57</v>
      </c>
      <c r="B2599">
        <v>385000</v>
      </c>
      <c r="C2599" t="s">
        <v>45</v>
      </c>
      <c r="D2599" t="s">
        <v>20</v>
      </c>
      <c r="E2599">
        <v>15166.669265</v>
      </c>
    </row>
    <row r="2600" spans="1:5" hidden="1" x14ac:dyDescent="0.3">
      <c r="A2600">
        <v>57</v>
      </c>
      <c r="B2600">
        <v>385000</v>
      </c>
      <c r="C2600" t="s">
        <v>45</v>
      </c>
      <c r="D2600" t="s">
        <v>21</v>
      </c>
      <c r="E2600">
        <v>0.141263</v>
      </c>
    </row>
    <row r="2601" spans="1:5" hidden="1" x14ac:dyDescent="0.3">
      <c r="A2601">
        <v>57</v>
      </c>
      <c r="B2601">
        <v>385000</v>
      </c>
      <c r="C2601" t="s">
        <v>45</v>
      </c>
      <c r="D2601" t="s">
        <v>22</v>
      </c>
      <c r="E2601">
        <v>504.14975600000002</v>
      </c>
    </row>
    <row r="2602" spans="1:5" hidden="1" x14ac:dyDescent="0.3">
      <c r="A2602">
        <v>57</v>
      </c>
      <c r="B2602">
        <v>385000</v>
      </c>
      <c r="C2602" t="s">
        <v>45</v>
      </c>
      <c r="D2602" t="s">
        <v>23</v>
      </c>
      <c r="E2602">
        <v>4444.4473669999998</v>
      </c>
    </row>
    <row r="2603" spans="1:5" hidden="1" x14ac:dyDescent="0.3">
      <c r="A2603">
        <v>57</v>
      </c>
      <c r="B2603">
        <v>385000</v>
      </c>
      <c r="C2603" t="s">
        <v>45</v>
      </c>
      <c r="D2603" t="s">
        <v>24</v>
      </c>
      <c r="E2603">
        <v>1.818479</v>
      </c>
    </row>
    <row r="2604" spans="1:5" hidden="1" x14ac:dyDescent="0.3">
      <c r="A2604">
        <v>57</v>
      </c>
      <c r="B2604">
        <v>385000</v>
      </c>
      <c r="C2604" t="s">
        <v>45</v>
      </c>
      <c r="D2604" t="s">
        <v>25</v>
      </c>
      <c r="E2604">
        <v>2944.445577</v>
      </c>
    </row>
    <row r="2605" spans="1:5" hidden="1" x14ac:dyDescent="0.3">
      <c r="A2605">
        <v>57</v>
      </c>
      <c r="B2605">
        <v>385000</v>
      </c>
      <c r="C2605" t="s">
        <v>45</v>
      </c>
      <c r="D2605" t="s">
        <v>26</v>
      </c>
      <c r="E2605">
        <v>0.245086</v>
      </c>
    </row>
    <row r="2606" spans="1:5" hidden="1" x14ac:dyDescent="0.3">
      <c r="A2606">
        <v>58</v>
      </c>
      <c r="B2606">
        <v>390000</v>
      </c>
      <c r="C2606" t="s">
        <v>45</v>
      </c>
      <c r="D2606" t="s">
        <v>6</v>
      </c>
      <c r="E2606">
        <v>1.0985400000000001</v>
      </c>
    </row>
    <row r="2607" spans="1:5" hidden="1" x14ac:dyDescent="0.3">
      <c r="A2607">
        <v>58</v>
      </c>
      <c r="B2607">
        <v>390000</v>
      </c>
      <c r="C2607" t="s">
        <v>45</v>
      </c>
      <c r="D2607" t="s">
        <v>7</v>
      </c>
      <c r="E2607">
        <v>53000.000821000001</v>
      </c>
    </row>
    <row r="2608" spans="1:5" hidden="1" x14ac:dyDescent="0.3">
      <c r="A2608">
        <v>58</v>
      </c>
      <c r="B2608">
        <v>390000</v>
      </c>
      <c r="C2608" t="s">
        <v>45</v>
      </c>
      <c r="D2608" t="s">
        <v>8</v>
      </c>
      <c r="E2608">
        <v>388.88650799999999</v>
      </c>
    </row>
    <row r="2609" spans="1:5" hidden="1" x14ac:dyDescent="0.3">
      <c r="A2609">
        <v>58</v>
      </c>
      <c r="B2609">
        <v>390000</v>
      </c>
      <c r="C2609" t="s">
        <v>45</v>
      </c>
      <c r="D2609" t="s">
        <v>9</v>
      </c>
      <c r="E2609">
        <v>120840.15214799999</v>
      </c>
    </row>
    <row r="2610" spans="1:5" hidden="1" x14ac:dyDescent="0.3">
      <c r="A2610">
        <v>58</v>
      </c>
      <c r="B2610">
        <v>390000</v>
      </c>
      <c r="C2610" t="s">
        <v>45</v>
      </c>
      <c r="D2610" t="s">
        <v>10</v>
      </c>
      <c r="E2610">
        <v>17020.107378000001</v>
      </c>
    </row>
    <row r="2611" spans="1:5" hidden="1" x14ac:dyDescent="0.3">
      <c r="A2611">
        <v>58</v>
      </c>
      <c r="B2611">
        <v>390000</v>
      </c>
      <c r="C2611" t="s">
        <v>45</v>
      </c>
      <c r="D2611" t="s">
        <v>11</v>
      </c>
      <c r="E2611">
        <v>34138.889643000002</v>
      </c>
    </row>
    <row r="2612" spans="1:5" hidden="1" x14ac:dyDescent="0.3">
      <c r="A2612">
        <v>58</v>
      </c>
      <c r="B2612">
        <v>390000</v>
      </c>
      <c r="C2612" t="s">
        <v>45</v>
      </c>
      <c r="D2612" t="s">
        <v>12</v>
      </c>
      <c r="E2612">
        <v>44388.889666000003</v>
      </c>
    </row>
    <row r="2613" spans="1:5" hidden="1" x14ac:dyDescent="0.3">
      <c r="A2613">
        <v>58</v>
      </c>
      <c r="B2613">
        <v>390000</v>
      </c>
      <c r="C2613" t="s">
        <v>45</v>
      </c>
      <c r="D2613" t="s">
        <v>13</v>
      </c>
      <c r="E2613">
        <v>35431.345315999999</v>
      </c>
    </row>
    <row r="2614" spans="1:5" hidden="1" x14ac:dyDescent="0.3">
      <c r="A2614">
        <v>58</v>
      </c>
      <c r="B2614">
        <v>390000</v>
      </c>
      <c r="C2614" t="s">
        <v>45</v>
      </c>
      <c r="D2614" t="s">
        <v>14</v>
      </c>
      <c r="E2614">
        <v>12472.223024999999</v>
      </c>
    </row>
    <row r="2615" spans="1:5" hidden="1" x14ac:dyDescent="0.3">
      <c r="A2615">
        <v>58</v>
      </c>
      <c r="B2615">
        <v>390000</v>
      </c>
      <c r="C2615" t="s">
        <v>45</v>
      </c>
      <c r="D2615" t="s">
        <v>15</v>
      </c>
      <c r="E2615">
        <v>1.139915</v>
      </c>
    </row>
    <row r="2616" spans="1:5" hidden="1" x14ac:dyDescent="0.3">
      <c r="A2616">
        <v>58</v>
      </c>
      <c r="B2616">
        <v>390000</v>
      </c>
      <c r="C2616" t="s">
        <v>45</v>
      </c>
      <c r="D2616" t="s">
        <v>16</v>
      </c>
      <c r="E2616">
        <v>40332.982695999999</v>
      </c>
    </row>
    <row r="2617" spans="1:5" hidden="1" x14ac:dyDescent="0.3">
      <c r="A2617">
        <v>58</v>
      </c>
      <c r="B2617">
        <v>390000</v>
      </c>
      <c r="C2617" t="s">
        <v>45</v>
      </c>
      <c r="D2617" t="s">
        <v>17</v>
      </c>
      <c r="E2617">
        <v>0.24762700000000001</v>
      </c>
    </row>
    <row r="2618" spans="1:5" hidden="1" x14ac:dyDescent="0.3">
      <c r="A2618">
        <v>58</v>
      </c>
      <c r="B2618">
        <v>390000</v>
      </c>
      <c r="C2618" t="s">
        <v>45</v>
      </c>
      <c r="D2618" t="s">
        <v>18</v>
      </c>
      <c r="E2618">
        <v>88.834089000000006</v>
      </c>
    </row>
    <row r="2619" spans="1:5" hidden="1" x14ac:dyDescent="0.3">
      <c r="A2619">
        <v>58</v>
      </c>
      <c r="B2619">
        <v>390000</v>
      </c>
      <c r="C2619" t="s">
        <v>45</v>
      </c>
      <c r="D2619" t="s">
        <v>19</v>
      </c>
      <c r="E2619">
        <v>8833.3342260000009</v>
      </c>
    </row>
    <row r="2620" spans="1:5" hidden="1" x14ac:dyDescent="0.3">
      <c r="A2620">
        <v>58</v>
      </c>
      <c r="B2620">
        <v>390000</v>
      </c>
      <c r="C2620" t="s">
        <v>45</v>
      </c>
      <c r="D2620" t="s">
        <v>20</v>
      </c>
      <c r="E2620">
        <v>15166.667613</v>
      </c>
    </row>
    <row r="2621" spans="1:5" hidden="1" x14ac:dyDescent="0.3">
      <c r="A2621">
        <v>58</v>
      </c>
      <c r="B2621">
        <v>390000</v>
      </c>
      <c r="C2621" t="s">
        <v>45</v>
      </c>
      <c r="D2621" t="s">
        <v>21</v>
      </c>
      <c r="E2621">
        <v>9.8100999999999994E-2</v>
      </c>
    </row>
    <row r="2622" spans="1:5" hidden="1" x14ac:dyDescent="0.3">
      <c r="A2622">
        <v>58</v>
      </c>
      <c r="B2622">
        <v>390000</v>
      </c>
      <c r="C2622" t="s">
        <v>45</v>
      </c>
      <c r="D2622" t="s">
        <v>22</v>
      </c>
      <c r="E2622">
        <v>504.14808699999998</v>
      </c>
    </row>
    <row r="2623" spans="1:5" hidden="1" x14ac:dyDescent="0.3">
      <c r="A2623">
        <v>58</v>
      </c>
      <c r="B2623">
        <v>390000</v>
      </c>
      <c r="C2623" t="s">
        <v>45</v>
      </c>
      <c r="D2623" t="s">
        <v>23</v>
      </c>
      <c r="E2623">
        <v>4444.4455049999997</v>
      </c>
    </row>
    <row r="2624" spans="1:5" hidden="1" x14ac:dyDescent="0.3">
      <c r="A2624">
        <v>58</v>
      </c>
      <c r="B2624">
        <v>390000</v>
      </c>
      <c r="C2624" t="s">
        <v>45</v>
      </c>
      <c r="D2624" t="s">
        <v>24</v>
      </c>
      <c r="E2624">
        <v>1.935899</v>
      </c>
    </row>
    <row r="2625" spans="1:5" hidden="1" x14ac:dyDescent="0.3">
      <c r="A2625">
        <v>58</v>
      </c>
      <c r="B2625">
        <v>390000</v>
      </c>
      <c r="C2625" t="s">
        <v>45</v>
      </c>
      <c r="D2625" t="s">
        <v>25</v>
      </c>
      <c r="E2625">
        <v>2944.4445449999998</v>
      </c>
    </row>
    <row r="2626" spans="1:5" hidden="1" x14ac:dyDescent="0.3">
      <c r="A2626">
        <v>58</v>
      </c>
      <c r="B2626">
        <v>390000</v>
      </c>
      <c r="C2626" t="s">
        <v>45</v>
      </c>
      <c r="D2626" t="s">
        <v>26</v>
      </c>
      <c r="E2626">
        <v>0.15784400000000001</v>
      </c>
    </row>
    <row r="2627" spans="1:5" hidden="1" x14ac:dyDescent="0.3">
      <c r="A2627">
        <v>59</v>
      </c>
      <c r="B2627">
        <v>395000</v>
      </c>
      <c r="C2627" t="s">
        <v>45</v>
      </c>
      <c r="D2627" t="s">
        <v>6</v>
      </c>
      <c r="E2627">
        <v>1.825536</v>
      </c>
    </row>
    <row r="2628" spans="1:5" hidden="1" x14ac:dyDescent="0.3">
      <c r="A2628">
        <v>59</v>
      </c>
      <c r="B2628">
        <v>395000</v>
      </c>
      <c r="C2628" t="s">
        <v>45</v>
      </c>
      <c r="D2628" t="s">
        <v>7</v>
      </c>
      <c r="E2628">
        <v>53000.000842000001</v>
      </c>
    </row>
    <row r="2629" spans="1:5" hidden="1" x14ac:dyDescent="0.3">
      <c r="A2629">
        <v>59</v>
      </c>
      <c r="B2629">
        <v>395000</v>
      </c>
      <c r="C2629" t="s">
        <v>45</v>
      </c>
      <c r="D2629" t="s">
        <v>8</v>
      </c>
      <c r="E2629">
        <v>388.884455</v>
      </c>
    </row>
    <row r="2630" spans="1:5" hidden="1" x14ac:dyDescent="0.3">
      <c r="A2630">
        <v>59</v>
      </c>
      <c r="B2630">
        <v>395000</v>
      </c>
      <c r="C2630" t="s">
        <v>45</v>
      </c>
      <c r="D2630" t="s">
        <v>9</v>
      </c>
      <c r="E2630">
        <v>120840.163254</v>
      </c>
    </row>
    <row r="2631" spans="1:5" hidden="1" x14ac:dyDescent="0.3">
      <c r="A2631">
        <v>59</v>
      </c>
      <c r="B2631">
        <v>395000</v>
      </c>
      <c r="C2631" t="s">
        <v>45</v>
      </c>
      <c r="D2631" t="s">
        <v>10</v>
      </c>
      <c r="E2631">
        <v>22015.814693</v>
      </c>
    </row>
    <row r="2632" spans="1:5" hidden="1" x14ac:dyDescent="0.3">
      <c r="A2632">
        <v>59</v>
      </c>
      <c r="B2632">
        <v>395000</v>
      </c>
      <c r="C2632" t="s">
        <v>45</v>
      </c>
      <c r="D2632" t="s">
        <v>11</v>
      </c>
      <c r="E2632">
        <v>34138.889422</v>
      </c>
    </row>
    <row r="2633" spans="1:5" hidden="1" x14ac:dyDescent="0.3">
      <c r="A2633">
        <v>59</v>
      </c>
      <c r="B2633">
        <v>395000</v>
      </c>
      <c r="C2633" t="s">
        <v>45</v>
      </c>
      <c r="D2633" t="s">
        <v>12</v>
      </c>
      <c r="E2633">
        <v>44388.889356</v>
      </c>
    </row>
    <row r="2634" spans="1:5" hidden="1" x14ac:dyDescent="0.3">
      <c r="A2634">
        <v>59</v>
      </c>
      <c r="B2634">
        <v>395000</v>
      </c>
      <c r="C2634" t="s">
        <v>45</v>
      </c>
      <c r="D2634" t="s">
        <v>13</v>
      </c>
      <c r="E2634">
        <v>35431.345503999997</v>
      </c>
    </row>
    <row r="2635" spans="1:5" hidden="1" x14ac:dyDescent="0.3">
      <c r="A2635">
        <v>59</v>
      </c>
      <c r="B2635">
        <v>395000</v>
      </c>
      <c r="C2635" t="s">
        <v>45</v>
      </c>
      <c r="D2635" t="s">
        <v>14</v>
      </c>
      <c r="E2635">
        <v>12472.223227</v>
      </c>
    </row>
    <row r="2636" spans="1:5" hidden="1" x14ac:dyDescent="0.3">
      <c r="A2636">
        <v>59</v>
      </c>
      <c r="B2636">
        <v>395000</v>
      </c>
      <c r="C2636" t="s">
        <v>45</v>
      </c>
      <c r="D2636" t="s">
        <v>15</v>
      </c>
      <c r="E2636">
        <v>2.2580490000000002</v>
      </c>
    </row>
    <row r="2637" spans="1:5" hidden="1" x14ac:dyDescent="0.3">
      <c r="A2637">
        <v>59</v>
      </c>
      <c r="B2637">
        <v>395000</v>
      </c>
      <c r="C2637" t="s">
        <v>45</v>
      </c>
      <c r="D2637" t="s">
        <v>16</v>
      </c>
      <c r="E2637">
        <v>40333.001960000001</v>
      </c>
    </row>
    <row r="2638" spans="1:5" hidden="1" x14ac:dyDescent="0.3">
      <c r="A2638">
        <v>59</v>
      </c>
      <c r="B2638">
        <v>395000</v>
      </c>
      <c r="C2638" t="s">
        <v>45</v>
      </c>
      <c r="D2638" t="s">
        <v>17</v>
      </c>
      <c r="E2638">
        <v>0.62526499999999996</v>
      </c>
    </row>
    <row r="2639" spans="1:5" hidden="1" x14ac:dyDescent="0.3">
      <c r="A2639">
        <v>59</v>
      </c>
      <c r="B2639">
        <v>395000</v>
      </c>
      <c r="C2639" t="s">
        <v>45</v>
      </c>
      <c r="D2639" t="s">
        <v>18</v>
      </c>
      <c r="E2639">
        <v>88.834290999999993</v>
      </c>
    </row>
    <row r="2640" spans="1:5" hidden="1" x14ac:dyDescent="0.3">
      <c r="A2640">
        <v>59</v>
      </c>
      <c r="B2640">
        <v>395000</v>
      </c>
      <c r="C2640" t="s">
        <v>45</v>
      </c>
      <c r="D2640" t="s">
        <v>19</v>
      </c>
      <c r="E2640">
        <v>8833.3345329999993</v>
      </c>
    </row>
    <row r="2641" spans="1:5" hidden="1" x14ac:dyDescent="0.3">
      <c r="A2641">
        <v>59</v>
      </c>
      <c r="B2641">
        <v>395000</v>
      </c>
      <c r="C2641" t="s">
        <v>45</v>
      </c>
      <c r="D2641" t="s">
        <v>20</v>
      </c>
      <c r="E2641">
        <v>15166.667960999999</v>
      </c>
    </row>
    <row r="2642" spans="1:5" hidden="1" x14ac:dyDescent="0.3">
      <c r="A2642">
        <v>59</v>
      </c>
      <c r="B2642">
        <v>395000</v>
      </c>
      <c r="C2642" t="s">
        <v>45</v>
      </c>
      <c r="D2642" t="s">
        <v>21</v>
      </c>
      <c r="E2642">
        <v>0.18267</v>
      </c>
    </row>
    <row r="2643" spans="1:5" hidden="1" x14ac:dyDescent="0.3">
      <c r="A2643">
        <v>59</v>
      </c>
      <c r="B2643">
        <v>395000</v>
      </c>
      <c r="C2643" t="s">
        <v>45</v>
      </c>
      <c r="D2643" t="s">
        <v>22</v>
      </c>
      <c r="E2643">
        <v>504.14818400000001</v>
      </c>
    </row>
    <row r="2644" spans="1:5" hidden="1" x14ac:dyDescent="0.3">
      <c r="A2644">
        <v>59</v>
      </c>
      <c r="B2644">
        <v>395000</v>
      </c>
      <c r="C2644" t="s">
        <v>45</v>
      </c>
      <c r="D2644" t="s">
        <v>23</v>
      </c>
      <c r="E2644">
        <v>4444.4459479999996</v>
      </c>
    </row>
    <row r="2645" spans="1:5" hidden="1" x14ac:dyDescent="0.3">
      <c r="A2645">
        <v>59</v>
      </c>
      <c r="B2645">
        <v>395000</v>
      </c>
      <c r="C2645" t="s">
        <v>45</v>
      </c>
      <c r="D2645" t="s">
        <v>24</v>
      </c>
      <c r="E2645">
        <v>3.7920219999999998</v>
      </c>
    </row>
    <row r="2646" spans="1:5" hidden="1" x14ac:dyDescent="0.3">
      <c r="A2646">
        <v>59</v>
      </c>
      <c r="B2646">
        <v>395000</v>
      </c>
      <c r="C2646" t="s">
        <v>45</v>
      </c>
      <c r="D2646" t="s">
        <v>25</v>
      </c>
      <c r="E2646">
        <v>2944.4440490000002</v>
      </c>
    </row>
    <row r="2647" spans="1:5" hidden="1" x14ac:dyDescent="0.3">
      <c r="A2647">
        <v>59</v>
      </c>
      <c r="B2647">
        <v>395000</v>
      </c>
      <c r="C2647" t="s">
        <v>45</v>
      </c>
      <c r="D2647" t="s">
        <v>26</v>
      </c>
      <c r="E2647">
        <v>0.27344299999999999</v>
      </c>
    </row>
    <row r="2648" spans="1:5" hidden="1" x14ac:dyDescent="0.3">
      <c r="A2648">
        <v>60</v>
      </c>
      <c r="B2648">
        <v>400000</v>
      </c>
      <c r="C2648" t="s">
        <v>45</v>
      </c>
      <c r="D2648" t="s">
        <v>6</v>
      </c>
      <c r="E2648">
        <v>1.8545609999999999</v>
      </c>
    </row>
    <row r="2649" spans="1:5" hidden="1" x14ac:dyDescent="0.3">
      <c r="A2649">
        <v>60</v>
      </c>
      <c r="B2649">
        <v>400000</v>
      </c>
      <c r="C2649" t="s">
        <v>45</v>
      </c>
      <c r="D2649" t="s">
        <v>7</v>
      </c>
      <c r="E2649">
        <v>52999.999613</v>
      </c>
    </row>
    <row r="2650" spans="1:5" hidden="1" x14ac:dyDescent="0.3">
      <c r="A2650">
        <v>60</v>
      </c>
      <c r="B2650">
        <v>400000</v>
      </c>
      <c r="C2650" t="s">
        <v>45</v>
      </c>
      <c r="D2650" t="s">
        <v>8</v>
      </c>
      <c r="E2650">
        <v>388.88628499999999</v>
      </c>
    </row>
    <row r="2651" spans="1:5" hidden="1" x14ac:dyDescent="0.3">
      <c r="A2651">
        <v>60</v>
      </c>
      <c r="B2651">
        <v>400000</v>
      </c>
      <c r="C2651" t="s">
        <v>45</v>
      </c>
      <c r="D2651" t="s">
        <v>9</v>
      </c>
      <c r="E2651">
        <v>120840.12525300001</v>
      </c>
    </row>
    <row r="2652" spans="1:5" hidden="1" x14ac:dyDescent="0.3">
      <c r="A2652">
        <v>60</v>
      </c>
      <c r="B2652">
        <v>400000</v>
      </c>
      <c r="C2652" t="s">
        <v>45</v>
      </c>
      <c r="D2652" t="s">
        <v>10</v>
      </c>
      <c r="E2652">
        <v>27019.377026999999</v>
      </c>
    </row>
    <row r="2653" spans="1:5" hidden="1" x14ac:dyDescent="0.3">
      <c r="A2653">
        <v>60</v>
      </c>
      <c r="B2653">
        <v>400000</v>
      </c>
      <c r="C2653" t="s">
        <v>45</v>
      </c>
      <c r="D2653" t="s">
        <v>11</v>
      </c>
      <c r="E2653">
        <v>34138.888531999997</v>
      </c>
    </row>
    <row r="2654" spans="1:5" hidden="1" x14ac:dyDescent="0.3">
      <c r="A2654">
        <v>60</v>
      </c>
      <c r="B2654">
        <v>400000</v>
      </c>
      <c r="C2654" t="s">
        <v>45</v>
      </c>
      <c r="D2654" t="s">
        <v>12</v>
      </c>
      <c r="E2654">
        <v>44388.888157000001</v>
      </c>
    </row>
    <row r="2655" spans="1:5" hidden="1" x14ac:dyDescent="0.3">
      <c r="A2655">
        <v>60</v>
      </c>
      <c r="B2655">
        <v>400000</v>
      </c>
      <c r="C2655" t="s">
        <v>45</v>
      </c>
      <c r="D2655" t="s">
        <v>13</v>
      </c>
      <c r="E2655">
        <v>35431.344538999998</v>
      </c>
    </row>
    <row r="2656" spans="1:5" hidden="1" x14ac:dyDescent="0.3">
      <c r="A2656">
        <v>60</v>
      </c>
      <c r="B2656">
        <v>400000</v>
      </c>
      <c r="C2656" t="s">
        <v>45</v>
      </c>
      <c r="D2656" t="s">
        <v>14</v>
      </c>
      <c r="E2656">
        <v>12472.222415</v>
      </c>
    </row>
    <row r="2657" spans="1:5" hidden="1" x14ac:dyDescent="0.3">
      <c r="A2657">
        <v>60</v>
      </c>
      <c r="B2657">
        <v>400000</v>
      </c>
      <c r="C2657" t="s">
        <v>45</v>
      </c>
      <c r="D2657" t="s">
        <v>15</v>
      </c>
      <c r="E2657">
        <v>1.0668139999999999</v>
      </c>
    </row>
    <row r="2658" spans="1:5" hidden="1" x14ac:dyDescent="0.3">
      <c r="A2658">
        <v>60</v>
      </c>
      <c r="B2658">
        <v>400000</v>
      </c>
      <c r="C2658" t="s">
        <v>45</v>
      </c>
      <c r="D2658" t="s">
        <v>16</v>
      </c>
      <c r="E2658">
        <v>40333.000384999999</v>
      </c>
    </row>
    <row r="2659" spans="1:5" hidden="1" x14ac:dyDescent="0.3">
      <c r="A2659">
        <v>60</v>
      </c>
      <c r="B2659">
        <v>400000</v>
      </c>
      <c r="C2659" t="s">
        <v>45</v>
      </c>
      <c r="D2659" t="s">
        <v>17</v>
      </c>
      <c r="E2659">
        <v>0.462339</v>
      </c>
    </row>
    <row r="2660" spans="1:5" hidden="1" x14ac:dyDescent="0.3">
      <c r="A2660">
        <v>60</v>
      </c>
      <c r="B2660">
        <v>400000</v>
      </c>
      <c r="C2660" t="s">
        <v>45</v>
      </c>
      <c r="D2660" t="s">
        <v>18</v>
      </c>
      <c r="E2660">
        <v>88.833443000000003</v>
      </c>
    </row>
    <row r="2661" spans="1:5" hidden="1" x14ac:dyDescent="0.3">
      <c r="A2661">
        <v>60</v>
      </c>
      <c r="B2661">
        <v>400000</v>
      </c>
      <c r="C2661" t="s">
        <v>45</v>
      </c>
      <c r="D2661" t="s">
        <v>19</v>
      </c>
      <c r="E2661">
        <v>8833.3336330000002</v>
      </c>
    </row>
    <row r="2662" spans="1:5" hidden="1" x14ac:dyDescent="0.3">
      <c r="A2662">
        <v>60</v>
      </c>
      <c r="B2662">
        <v>400000</v>
      </c>
      <c r="C2662" t="s">
        <v>45</v>
      </c>
      <c r="D2662" t="s">
        <v>20</v>
      </c>
      <c r="E2662">
        <v>15166.666961000001</v>
      </c>
    </row>
    <row r="2663" spans="1:5" hidden="1" x14ac:dyDescent="0.3">
      <c r="A2663">
        <v>60</v>
      </c>
      <c r="B2663">
        <v>400000</v>
      </c>
      <c r="C2663" t="s">
        <v>45</v>
      </c>
      <c r="D2663" t="s">
        <v>21</v>
      </c>
      <c r="E2663">
        <v>7.5831999999999997E-2</v>
      </c>
    </row>
    <row r="2664" spans="1:5" hidden="1" x14ac:dyDescent="0.3">
      <c r="A2664">
        <v>60</v>
      </c>
      <c r="B2664">
        <v>400000</v>
      </c>
      <c r="C2664" t="s">
        <v>45</v>
      </c>
      <c r="D2664" t="s">
        <v>22</v>
      </c>
      <c r="E2664">
        <v>504.14741099999998</v>
      </c>
    </row>
    <row r="2665" spans="1:5" hidden="1" x14ac:dyDescent="0.3">
      <c r="A2665">
        <v>60</v>
      </c>
      <c r="B2665">
        <v>400000</v>
      </c>
      <c r="C2665" t="s">
        <v>45</v>
      </c>
      <c r="D2665" t="s">
        <v>23</v>
      </c>
      <c r="E2665">
        <v>4444.4448640000001</v>
      </c>
    </row>
    <row r="2666" spans="1:5" hidden="1" x14ac:dyDescent="0.3">
      <c r="A2666">
        <v>60</v>
      </c>
      <c r="B2666">
        <v>400000</v>
      </c>
      <c r="C2666" t="s">
        <v>45</v>
      </c>
      <c r="D2666" t="s">
        <v>24</v>
      </c>
      <c r="E2666">
        <v>1.8219970000000001</v>
      </c>
    </row>
    <row r="2667" spans="1:5" hidden="1" x14ac:dyDescent="0.3">
      <c r="A2667">
        <v>60</v>
      </c>
      <c r="B2667">
        <v>400000</v>
      </c>
      <c r="C2667" t="s">
        <v>45</v>
      </c>
      <c r="D2667" t="s">
        <v>25</v>
      </c>
      <c r="E2667">
        <v>2944.4442089999998</v>
      </c>
    </row>
    <row r="2668" spans="1:5" hidden="1" x14ac:dyDescent="0.3">
      <c r="A2668">
        <v>60</v>
      </c>
      <c r="B2668">
        <v>400000</v>
      </c>
      <c r="C2668" t="s">
        <v>45</v>
      </c>
      <c r="D2668" t="s">
        <v>26</v>
      </c>
      <c r="E2668">
        <v>0.12955900000000001</v>
      </c>
    </row>
    <row r="2669" spans="1:5" hidden="1" x14ac:dyDescent="0.3">
      <c r="A2669">
        <v>61</v>
      </c>
      <c r="B2669">
        <v>405000</v>
      </c>
      <c r="C2669" t="s">
        <v>45</v>
      </c>
      <c r="D2669" t="s">
        <v>6</v>
      </c>
      <c r="E2669">
        <v>0.17327699999999999</v>
      </c>
    </row>
    <row r="2670" spans="1:5" hidden="1" x14ac:dyDescent="0.3">
      <c r="A2670">
        <v>61</v>
      </c>
      <c r="B2670">
        <v>405000</v>
      </c>
      <c r="C2670" t="s">
        <v>45</v>
      </c>
      <c r="D2670" t="s">
        <v>7</v>
      </c>
      <c r="E2670">
        <v>53000.000183999997</v>
      </c>
    </row>
    <row r="2671" spans="1:5" hidden="1" x14ac:dyDescent="0.3">
      <c r="A2671">
        <v>61</v>
      </c>
      <c r="B2671">
        <v>405000</v>
      </c>
      <c r="C2671" t="s">
        <v>45</v>
      </c>
      <c r="D2671" t="s">
        <v>8</v>
      </c>
      <c r="E2671">
        <v>388.88862699999999</v>
      </c>
    </row>
    <row r="2672" spans="1:5" hidden="1" x14ac:dyDescent="0.3">
      <c r="A2672">
        <v>61</v>
      </c>
      <c r="B2672">
        <v>405000</v>
      </c>
      <c r="C2672" t="s">
        <v>45</v>
      </c>
      <c r="D2672" t="s">
        <v>9</v>
      </c>
      <c r="E2672">
        <v>120840.165524</v>
      </c>
    </row>
    <row r="2673" spans="1:5" hidden="1" x14ac:dyDescent="0.3">
      <c r="A2673">
        <v>61</v>
      </c>
      <c r="B2673">
        <v>405000</v>
      </c>
      <c r="C2673" t="s">
        <v>45</v>
      </c>
      <c r="D2673" t="s">
        <v>10</v>
      </c>
      <c r="E2673">
        <v>32024.045427000001</v>
      </c>
    </row>
    <row r="2674" spans="1:5" hidden="1" x14ac:dyDescent="0.3">
      <c r="A2674">
        <v>61</v>
      </c>
      <c r="B2674">
        <v>405000</v>
      </c>
      <c r="C2674" t="s">
        <v>45</v>
      </c>
      <c r="D2674" t="s">
        <v>11</v>
      </c>
      <c r="E2674">
        <v>34138.889075999999</v>
      </c>
    </row>
    <row r="2675" spans="1:5" hidden="1" x14ac:dyDescent="0.3">
      <c r="A2675">
        <v>61</v>
      </c>
      <c r="B2675">
        <v>405000</v>
      </c>
      <c r="C2675" t="s">
        <v>45</v>
      </c>
      <c r="D2675" t="s">
        <v>12</v>
      </c>
      <c r="E2675">
        <v>44388.889073999999</v>
      </c>
    </row>
    <row r="2676" spans="1:5" hidden="1" x14ac:dyDescent="0.3">
      <c r="A2676">
        <v>61</v>
      </c>
      <c r="B2676">
        <v>405000</v>
      </c>
      <c r="C2676" t="s">
        <v>45</v>
      </c>
      <c r="D2676" t="s">
        <v>13</v>
      </c>
      <c r="E2676">
        <v>35431.344654</v>
      </c>
    </row>
    <row r="2677" spans="1:5" hidden="1" x14ac:dyDescent="0.3">
      <c r="A2677">
        <v>61</v>
      </c>
      <c r="B2677">
        <v>405000</v>
      </c>
      <c r="C2677" t="s">
        <v>45</v>
      </c>
      <c r="D2677" t="s">
        <v>14</v>
      </c>
      <c r="E2677">
        <v>12472.222431</v>
      </c>
    </row>
    <row r="2678" spans="1:5" hidden="1" x14ac:dyDescent="0.3">
      <c r="A2678">
        <v>61</v>
      </c>
      <c r="B2678">
        <v>405000</v>
      </c>
      <c r="C2678" t="s">
        <v>45</v>
      </c>
      <c r="D2678" t="s">
        <v>15</v>
      </c>
      <c r="E2678">
        <v>0.16606899999999999</v>
      </c>
    </row>
    <row r="2679" spans="1:5" hidden="1" x14ac:dyDescent="0.3">
      <c r="A2679">
        <v>61</v>
      </c>
      <c r="B2679">
        <v>405000</v>
      </c>
      <c r="C2679" t="s">
        <v>45</v>
      </c>
      <c r="D2679" t="s">
        <v>16</v>
      </c>
      <c r="E2679">
        <v>40333.000239000001</v>
      </c>
    </row>
    <row r="2680" spans="1:5" hidden="1" x14ac:dyDescent="0.3">
      <c r="A2680">
        <v>61</v>
      </c>
      <c r="B2680">
        <v>405000</v>
      </c>
      <c r="C2680" t="s">
        <v>45</v>
      </c>
      <c r="D2680" t="s">
        <v>17</v>
      </c>
      <c r="E2680">
        <v>5.3226999999999997E-2</v>
      </c>
    </row>
    <row r="2681" spans="1:5" hidden="1" x14ac:dyDescent="0.3">
      <c r="A2681">
        <v>61</v>
      </c>
      <c r="B2681">
        <v>405000</v>
      </c>
      <c r="C2681" t="s">
        <v>45</v>
      </c>
      <c r="D2681" t="s">
        <v>18</v>
      </c>
      <c r="E2681">
        <v>88.833534</v>
      </c>
    </row>
    <row r="2682" spans="1:5" hidden="1" x14ac:dyDescent="0.3">
      <c r="A2682">
        <v>61</v>
      </c>
      <c r="B2682">
        <v>405000</v>
      </c>
      <c r="C2682" t="s">
        <v>45</v>
      </c>
      <c r="D2682" t="s">
        <v>19</v>
      </c>
      <c r="E2682">
        <v>8833.3335580000003</v>
      </c>
    </row>
    <row r="2683" spans="1:5" hidden="1" x14ac:dyDescent="0.3">
      <c r="A2683">
        <v>61</v>
      </c>
      <c r="B2683">
        <v>405000</v>
      </c>
      <c r="C2683" t="s">
        <v>45</v>
      </c>
      <c r="D2683" t="s">
        <v>20</v>
      </c>
      <c r="E2683">
        <v>15166.666896000001</v>
      </c>
    </row>
    <row r="2684" spans="1:5" hidden="1" x14ac:dyDescent="0.3">
      <c r="A2684">
        <v>61</v>
      </c>
      <c r="B2684">
        <v>405000</v>
      </c>
      <c r="C2684" t="s">
        <v>45</v>
      </c>
      <c r="D2684" t="s">
        <v>21</v>
      </c>
      <c r="E2684">
        <v>1.444E-2</v>
      </c>
    </row>
    <row r="2685" spans="1:5" hidden="1" x14ac:dyDescent="0.3">
      <c r="A2685">
        <v>61</v>
      </c>
      <c r="B2685">
        <v>405000</v>
      </c>
      <c r="C2685" t="s">
        <v>45</v>
      </c>
      <c r="D2685" t="s">
        <v>22</v>
      </c>
      <c r="E2685">
        <v>504.14744100000001</v>
      </c>
    </row>
    <row r="2686" spans="1:5" hidden="1" x14ac:dyDescent="0.3">
      <c r="A2686">
        <v>61</v>
      </c>
      <c r="B2686">
        <v>405000</v>
      </c>
      <c r="C2686" t="s">
        <v>45</v>
      </c>
      <c r="D2686" t="s">
        <v>23</v>
      </c>
      <c r="E2686">
        <v>4444.4446959999996</v>
      </c>
    </row>
    <row r="2687" spans="1:5" hidden="1" x14ac:dyDescent="0.3">
      <c r="A2687">
        <v>61</v>
      </c>
      <c r="B2687">
        <v>405000</v>
      </c>
      <c r="C2687" t="s">
        <v>45</v>
      </c>
      <c r="D2687" t="s">
        <v>24</v>
      </c>
      <c r="E2687">
        <v>0.27078200000000002</v>
      </c>
    </row>
    <row r="2688" spans="1:5" hidden="1" x14ac:dyDescent="0.3">
      <c r="A2688">
        <v>61</v>
      </c>
      <c r="B2688">
        <v>405000</v>
      </c>
      <c r="C2688" t="s">
        <v>45</v>
      </c>
      <c r="D2688" t="s">
        <v>25</v>
      </c>
      <c r="E2688">
        <v>2944.4445529999998</v>
      </c>
    </row>
    <row r="2689" spans="1:5" hidden="1" x14ac:dyDescent="0.3">
      <c r="A2689">
        <v>61</v>
      </c>
      <c r="B2689">
        <v>405000</v>
      </c>
      <c r="C2689" t="s">
        <v>45</v>
      </c>
      <c r="D2689" t="s">
        <v>26</v>
      </c>
      <c r="E2689">
        <v>1.2642E-2</v>
      </c>
    </row>
    <row r="2690" spans="1:5" hidden="1" x14ac:dyDescent="0.3">
      <c r="A2690">
        <v>62</v>
      </c>
      <c r="B2690">
        <v>410000</v>
      </c>
      <c r="C2690" t="s">
        <v>45</v>
      </c>
      <c r="D2690" t="s">
        <v>6</v>
      </c>
      <c r="E2690">
        <v>1.142957</v>
      </c>
    </row>
    <row r="2691" spans="1:5" hidden="1" x14ac:dyDescent="0.3">
      <c r="A2691">
        <v>62</v>
      </c>
      <c r="B2691">
        <v>410000</v>
      </c>
      <c r="C2691" t="s">
        <v>45</v>
      </c>
      <c r="D2691" t="s">
        <v>7</v>
      </c>
      <c r="E2691">
        <v>53000.000784999997</v>
      </c>
    </row>
    <row r="2692" spans="1:5" hidden="1" x14ac:dyDescent="0.3">
      <c r="A2692">
        <v>62</v>
      </c>
      <c r="B2692">
        <v>410000</v>
      </c>
      <c r="C2692" t="s">
        <v>45</v>
      </c>
      <c r="D2692" t="s">
        <v>8</v>
      </c>
      <c r="E2692">
        <v>388.88728500000002</v>
      </c>
    </row>
    <row r="2693" spans="1:5" hidden="1" x14ac:dyDescent="0.3">
      <c r="A2693">
        <v>62</v>
      </c>
      <c r="B2693">
        <v>410000</v>
      </c>
      <c r="C2693" t="s">
        <v>45</v>
      </c>
      <c r="D2693" t="s">
        <v>9</v>
      </c>
      <c r="E2693">
        <v>120840.149315</v>
      </c>
    </row>
    <row r="2694" spans="1:5" hidden="1" x14ac:dyDescent="0.3">
      <c r="A2694">
        <v>62</v>
      </c>
      <c r="B2694">
        <v>410000</v>
      </c>
      <c r="C2694" t="s">
        <v>45</v>
      </c>
      <c r="D2694" t="s">
        <v>10</v>
      </c>
      <c r="E2694">
        <v>37021.419725</v>
      </c>
    </row>
    <row r="2695" spans="1:5" hidden="1" x14ac:dyDescent="0.3">
      <c r="A2695">
        <v>62</v>
      </c>
      <c r="B2695">
        <v>410000</v>
      </c>
      <c r="C2695" t="s">
        <v>45</v>
      </c>
      <c r="D2695" t="s">
        <v>11</v>
      </c>
      <c r="E2695">
        <v>34138.889477999997</v>
      </c>
    </row>
    <row r="2696" spans="1:5" hidden="1" x14ac:dyDescent="0.3">
      <c r="A2696">
        <v>62</v>
      </c>
      <c r="B2696">
        <v>410000</v>
      </c>
      <c r="C2696" t="s">
        <v>45</v>
      </c>
      <c r="D2696" t="s">
        <v>12</v>
      </c>
      <c r="E2696">
        <v>44388.889442</v>
      </c>
    </row>
    <row r="2697" spans="1:5" hidden="1" x14ac:dyDescent="0.3">
      <c r="A2697">
        <v>62</v>
      </c>
      <c r="B2697">
        <v>410000</v>
      </c>
      <c r="C2697" t="s">
        <v>45</v>
      </c>
      <c r="D2697" t="s">
        <v>13</v>
      </c>
      <c r="E2697">
        <v>35431.345158999997</v>
      </c>
    </row>
    <row r="2698" spans="1:5" hidden="1" x14ac:dyDescent="0.3">
      <c r="A2698">
        <v>62</v>
      </c>
      <c r="B2698">
        <v>410000</v>
      </c>
      <c r="C2698" t="s">
        <v>45</v>
      </c>
      <c r="D2698" t="s">
        <v>14</v>
      </c>
      <c r="E2698">
        <v>12472.222927999999</v>
      </c>
    </row>
    <row r="2699" spans="1:5" hidden="1" x14ac:dyDescent="0.3">
      <c r="A2699">
        <v>62</v>
      </c>
      <c r="B2699">
        <v>410000</v>
      </c>
      <c r="C2699" t="s">
        <v>45</v>
      </c>
      <c r="D2699" t="s">
        <v>15</v>
      </c>
      <c r="E2699">
        <v>0.71458999999999995</v>
      </c>
    </row>
    <row r="2700" spans="1:5" hidden="1" x14ac:dyDescent="0.3">
      <c r="A2700">
        <v>62</v>
      </c>
      <c r="B2700">
        <v>410000</v>
      </c>
      <c r="C2700" t="s">
        <v>45</v>
      </c>
      <c r="D2700" t="s">
        <v>16</v>
      </c>
      <c r="E2700">
        <v>40333.001036000001</v>
      </c>
    </row>
    <row r="2701" spans="1:5" hidden="1" x14ac:dyDescent="0.3">
      <c r="A2701">
        <v>62</v>
      </c>
      <c r="B2701">
        <v>410000</v>
      </c>
      <c r="C2701" t="s">
        <v>45</v>
      </c>
      <c r="D2701" t="s">
        <v>17</v>
      </c>
      <c r="E2701">
        <v>0.20628099999999999</v>
      </c>
    </row>
    <row r="2702" spans="1:5" hidden="1" x14ac:dyDescent="0.3">
      <c r="A2702">
        <v>62</v>
      </c>
      <c r="B2702">
        <v>410000</v>
      </c>
      <c r="C2702" t="s">
        <v>45</v>
      </c>
      <c r="D2702" t="s">
        <v>18</v>
      </c>
      <c r="E2702">
        <v>88.833945</v>
      </c>
    </row>
    <row r="2703" spans="1:5" hidden="1" x14ac:dyDescent="0.3">
      <c r="A2703">
        <v>62</v>
      </c>
      <c r="B2703">
        <v>410000</v>
      </c>
      <c r="C2703" t="s">
        <v>45</v>
      </c>
      <c r="D2703" t="s">
        <v>19</v>
      </c>
      <c r="E2703">
        <v>8833.3341060000002</v>
      </c>
    </row>
    <row r="2704" spans="1:5" hidden="1" x14ac:dyDescent="0.3">
      <c r="A2704">
        <v>62</v>
      </c>
      <c r="B2704">
        <v>410000</v>
      </c>
      <c r="C2704" t="s">
        <v>45</v>
      </c>
      <c r="D2704" t="s">
        <v>20</v>
      </c>
      <c r="E2704">
        <v>15166.667466000001</v>
      </c>
    </row>
    <row r="2705" spans="1:5" hidden="1" x14ac:dyDescent="0.3">
      <c r="A2705">
        <v>62</v>
      </c>
      <c r="B2705">
        <v>410000</v>
      </c>
      <c r="C2705" t="s">
        <v>45</v>
      </c>
      <c r="D2705" t="s">
        <v>21</v>
      </c>
      <c r="E2705">
        <v>5.6773999999999998E-2</v>
      </c>
    </row>
    <row r="2706" spans="1:5" hidden="1" x14ac:dyDescent="0.3">
      <c r="A2706">
        <v>62</v>
      </c>
      <c r="B2706">
        <v>410000</v>
      </c>
      <c r="C2706" t="s">
        <v>45</v>
      </c>
      <c r="D2706" t="s">
        <v>22</v>
      </c>
      <c r="E2706">
        <v>504.14799199999999</v>
      </c>
    </row>
    <row r="2707" spans="1:5" hidden="1" x14ac:dyDescent="0.3">
      <c r="A2707">
        <v>62</v>
      </c>
      <c r="B2707">
        <v>410000</v>
      </c>
      <c r="C2707" t="s">
        <v>45</v>
      </c>
      <c r="D2707" t="s">
        <v>23</v>
      </c>
      <c r="E2707">
        <v>4444.4453469999999</v>
      </c>
    </row>
    <row r="2708" spans="1:5" hidden="1" x14ac:dyDescent="0.3">
      <c r="A2708">
        <v>62</v>
      </c>
      <c r="B2708">
        <v>410000</v>
      </c>
      <c r="C2708" t="s">
        <v>45</v>
      </c>
      <c r="D2708" t="s">
        <v>24</v>
      </c>
      <c r="E2708">
        <v>1.1175060000000001</v>
      </c>
    </row>
    <row r="2709" spans="1:5" hidden="1" x14ac:dyDescent="0.3">
      <c r="A2709">
        <v>62</v>
      </c>
      <c r="B2709">
        <v>410000</v>
      </c>
      <c r="C2709" t="s">
        <v>45</v>
      </c>
      <c r="D2709" t="s">
        <v>25</v>
      </c>
      <c r="E2709">
        <v>2944.4448130000001</v>
      </c>
    </row>
    <row r="2710" spans="1:5" hidden="1" x14ac:dyDescent="0.3">
      <c r="A2710">
        <v>62</v>
      </c>
      <c r="B2710">
        <v>410000</v>
      </c>
      <c r="C2710" t="s">
        <v>45</v>
      </c>
      <c r="D2710" t="s">
        <v>26</v>
      </c>
      <c r="E2710">
        <v>0.10646600000000001</v>
      </c>
    </row>
    <row r="2711" spans="1:5" hidden="1" x14ac:dyDescent="0.3">
      <c r="A2711">
        <v>63</v>
      </c>
      <c r="B2711">
        <v>415000</v>
      </c>
      <c r="C2711" t="s">
        <v>45</v>
      </c>
      <c r="D2711" t="s">
        <v>6</v>
      </c>
      <c r="E2711">
        <v>1.324899</v>
      </c>
    </row>
    <row r="2712" spans="1:5" hidden="1" x14ac:dyDescent="0.3">
      <c r="A2712">
        <v>63</v>
      </c>
      <c r="B2712">
        <v>415000</v>
      </c>
      <c r="C2712" t="s">
        <v>45</v>
      </c>
      <c r="D2712" t="s">
        <v>7</v>
      </c>
      <c r="E2712">
        <v>53000.002790999999</v>
      </c>
    </row>
    <row r="2713" spans="1:5" hidden="1" x14ac:dyDescent="0.3">
      <c r="A2713">
        <v>63</v>
      </c>
      <c r="B2713">
        <v>415000</v>
      </c>
      <c r="C2713" t="s">
        <v>45</v>
      </c>
      <c r="D2713" t="s">
        <v>8</v>
      </c>
      <c r="E2713">
        <v>388.888194</v>
      </c>
    </row>
    <row r="2714" spans="1:5" hidden="1" x14ac:dyDescent="0.3">
      <c r="A2714">
        <v>63</v>
      </c>
      <c r="B2714">
        <v>415000</v>
      </c>
      <c r="C2714" t="s">
        <v>45</v>
      </c>
      <c r="D2714" t="s">
        <v>9</v>
      </c>
      <c r="E2714">
        <v>120840.139985</v>
      </c>
    </row>
    <row r="2715" spans="1:5" hidden="1" x14ac:dyDescent="0.3">
      <c r="A2715">
        <v>63</v>
      </c>
      <c r="B2715">
        <v>415000</v>
      </c>
      <c r="C2715" t="s">
        <v>45</v>
      </c>
      <c r="D2715" t="s">
        <v>10</v>
      </c>
      <c r="E2715">
        <v>42018.741596</v>
      </c>
    </row>
    <row r="2716" spans="1:5" hidden="1" x14ac:dyDescent="0.3">
      <c r="A2716">
        <v>63</v>
      </c>
      <c r="B2716">
        <v>415000</v>
      </c>
      <c r="C2716" t="s">
        <v>45</v>
      </c>
      <c r="D2716" t="s">
        <v>11</v>
      </c>
      <c r="E2716">
        <v>34138.891568999999</v>
      </c>
    </row>
    <row r="2717" spans="1:5" hidden="1" x14ac:dyDescent="0.3">
      <c r="A2717">
        <v>63</v>
      </c>
      <c r="B2717">
        <v>415000</v>
      </c>
      <c r="C2717" t="s">
        <v>45</v>
      </c>
      <c r="D2717" t="s">
        <v>12</v>
      </c>
      <c r="E2717">
        <v>44388.891481999999</v>
      </c>
    </row>
    <row r="2718" spans="1:5" hidden="1" x14ac:dyDescent="0.3">
      <c r="A2718">
        <v>63</v>
      </c>
      <c r="B2718">
        <v>415000</v>
      </c>
      <c r="C2718" t="s">
        <v>45</v>
      </c>
      <c r="D2718" t="s">
        <v>13</v>
      </c>
      <c r="E2718">
        <v>35431.347410000002</v>
      </c>
    </row>
    <row r="2719" spans="1:5" hidden="1" x14ac:dyDescent="0.3">
      <c r="A2719">
        <v>63</v>
      </c>
      <c r="B2719">
        <v>415000</v>
      </c>
      <c r="C2719" t="s">
        <v>45</v>
      </c>
      <c r="D2719" t="s">
        <v>14</v>
      </c>
      <c r="E2719">
        <v>12472.225221999999</v>
      </c>
    </row>
    <row r="2720" spans="1:5" hidden="1" x14ac:dyDescent="0.3">
      <c r="A2720">
        <v>63</v>
      </c>
      <c r="B2720">
        <v>415000</v>
      </c>
      <c r="C2720" t="s">
        <v>45</v>
      </c>
      <c r="D2720" t="s">
        <v>15</v>
      </c>
      <c r="E2720">
        <v>1.541339</v>
      </c>
    </row>
    <row r="2721" spans="1:5" hidden="1" x14ac:dyDescent="0.3">
      <c r="A2721">
        <v>63</v>
      </c>
      <c r="B2721">
        <v>415000</v>
      </c>
      <c r="C2721" t="s">
        <v>45</v>
      </c>
      <c r="D2721" t="s">
        <v>16</v>
      </c>
      <c r="E2721">
        <v>40333.002858</v>
      </c>
    </row>
    <row r="2722" spans="1:5" hidden="1" x14ac:dyDescent="0.3">
      <c r="A2722">
        <v>63</v>
      </c>
      <c r="B2722">
        <v>415000</v>
      </c>
      <c r="C2722" t="s">
        <v>45</v>
      </c>
      <c r="D2722" t="s">
        <v>17</v>
      </c>
      <c r="E2722">
        <v>0.378222</v>
      </c>
    </row>
    <row r="2723" spans="1:5" hidden="1" x14ac:dyDescent="0.3">
      <c r="A2723">
        <v>63</v>
      </c>
      <c r="B2723">
        <v>415000</v>
      </c>
      <c r="C2723" t="s">
        <v>45</v>
      </c>
      <c r="D2723" t="s">
        <v>18</v>
      </c>
      <c r="E2723">
        <v>88.836326999999997</v>
      </c>
    </row>
    <row r="2724" spans="1:5" hidden="1" x14ac:dyDescent="0.3">
      <c r="A2724">
        <v>63</v>
      </c>
      <c r="B2724">
        <v>415000</v>
      </c>
      <c r="C2724" t="s">
        <v>45</v>
      </c>
      <c r="D2724" t="s">
        <v>19</v>
      </c>
      <c r="E2724">
        <v>8833.3364959999999</v>
      </c>
    </row>
    <row r="2725" spans="1:5" hidden="1" x14ac:dyDescent="0.3">
      <c r="A2725">
        <v>63</v>
      </c>
      <c r="B2725">
        <v>415000</v>
      </c>
      <c r="C2725" t="s">
        <v>45</v>
      </c>
      <c r="D2725" t="s">
        <v>20</v>
      </c>
      <c r="E2725">
        <v>15166.669849</v>
      </c>
    </row>
    <row r="2726" spans="1:5" hidden="1" x14ac:dyDescent="0.3">
      <c r="A2726">
        <v>63</v>
      </c>
      <c r="B2726">
        <v>415000</v>
      </c>
      <c r="C2726" t="s">
        <v>45</v>
      </c>
      <c r="D2726" t="s">
        <v>21</v>
      </c>
      <c r="E2726">
        <v>0.127389</v>
      </c>
    </row>
    <row r="2727" spans="1:5" hidden="1" x14ac:dyDescent="0.3">
      <c r="A2727">
        <v>63</v>
      </c>
      <c r="B2727">
        <v>415000</v>
      </c>
      <c r="C2727" t="s">
        <v>45</v>
      </c>
      <c r="D2727" t="s">
        <v>22</v>
      </c>
      <c r="E2727">
        <v>504.15039999999999</v>
      </c>
    </row>
    <row r="2728" spans="1:5" hidden="1" x14ac:dyDescent="0.3">
      <c r="A2728">
        <v>63</v>
      </c>
      <c r="B2728">
        <v>415000</v>
      </c>
      <c r="C2728" t="s">
        <v>45</v>
      </c>
      <c r="D2728" t="s">
        <v>23</v>
      </c>
      <c r="E2728">
        <v>4444.4478660000004</v>
      </c>
    </row>
    <row r="2729" spans="1:5" hidden="1" x14ac:dyDescent="0.3">
      <c r="A2729">
        <v>63</v>
      </c>
      <c r="B2729">
        <v>415000</v>
      </c>
      <c r="C2729" t="s">
        <v>45</v>
      </c>
      <c r="D2729" t="s">
        <v>24</v>
      </c>
      <c r="E2729">
        <v>2.4733429999999998</v>
      </c>
    </row>
    <row r="2730" spans="1:5" hidden="1" x14ac:dyDescent="0.3">
      <c r="A2730">
        <v>63</v>
      </c>
      <c r="B2730">
        <v>415000</v>
      </c>
      <c r="C2730" t="s">
        <v>45</v>
      </c>
      <c r="D2730" t="s">
        <v>25</v>
      </c>
      <c r="E2730">
        <v>2944.4467209999998</v>
      </c>
    </row>
    <row r="2731" spans="1:5" hidden="1" x14ac:dyDescent="0.3">
      <c r="A2731">
        <v>63</v>
      </c>
      <c r="B2731">
        <v>415000</v>
      </c>
      <c r="C2731" t="s">
        <v>45</v>
      </c>
      <c r="D2731" t="s">
        <v>26</v>
      </c>
      <c r="E2731">
        <v>0.21726300000000001</v>
      </c>
    </row>
    <row r="2732" spans="1:5" hidden="1" x14ac:dyDescent="0.3">
      <c r="A2732">
        <v>64</v>
      </c>
      <c r="B2732">
        <v>420000</v>
      </c>
      <c r="C2732" t="s">
        <v>45</v>
      </c>
      <c r="D2732" t="s">
        <v>6</v>
      </c>
      <c r="E2732">
        <v>3.1705839999999998</v>
      </c>
    </row>
    <row r="2733" spans="1:5" hidden="1" x14ac:dyDescent="0.3">
      <c r="A2733">
        <v>64</v>
      </c>
      <c r="B2733">
        <v>420000</v>
      </c>
      <c r="C2733" t="s">
        <v>45</v>
      </c>
      <c r="D2733" t="s">
        <v>7</v>
      </c>
      <c r="E2733">
        <v>53000.003482</v>
      </c>
    </row>
    <row r="2734" spans="1:5" hidden="1" x14ac:dyDescent="0.3">
      <c r="A2734">
        <v>64</v>
      </c>
      <c r="B2734">
        <v>420000</v>
      </c>
      <c r="C2734" t="s">
        <v>45</v>
      </c>
      <c r="D2734" t="s">
        <v>8</v>
      </c>
      <c r="E2734">
        <v>388.88361099999997</v>
      </c>
    </row>
    <row r="2735" spans="1:5" hidden="1" x14ac:dyDescent="0.3">
      <c r="A2735">
        <v>64</v>
      </c>
      <c r="B2735">
        <v>420000</v>
      </c>
      <c r="C2735" t="s">
        <v>45</v>
      </c>
      <c r="D2735" t="s">
        <v>9</v>
      </c>
      <c r="E2735">
        <v>120840.171611</v>
      </c>
    </row>
    <row r="2736" spans="1:5" hidden="1" x14ac:dyDescent="0.3">
      <c r="A2736">
        <v>64</v>
      </c>
      <c r="B2736">
        <v>420000</v>
      </c>
      <c r="C2736" t="s">
        <v>45</v>
      </c>
      <c r="D2736" t="s">
        <v>10</v>
      </c>
      <c r="E2736">
        <v>47013.489027000003</v>
      </c>
    </row>
    <row r="2737" spans="1:5" hidden="1" x14ac:dyDescent="0.3">
      <c r="A2737">
        <v>64</v>
      </c>
      <c r="B2737">
        <v>420000</v>
      </c>
      <c r="C2737" t="s">
        <v>45</v>
      </c>
      <c r="D2737" t="s">
        <v>11</v>
      </c>
      <c r="E2737">
        <v>34138.892011999997</v>
      </c>
    </row>
    <row r="2738" spans="1:5" hidden="1" x14ac:dyDescent="0.3">
      <c r="A2738">
        <v>64</v>
      </c>
      <c r="B2738">
        <v>420000</v>
      </c>
      <c r="C2738" t="s">
        <v>45</v>
      </c>
      <c r="D2738" t="s">
        <v>12</v>
      </c>
      <c r="E2738">
        <v>44388.892038999998</v>
      </c>
    </row>
    <row r="2739" spans="1:5" hidden="1" x14ac:dyDescent="0.3">
      <c r="A2739">
        <v>64</v>
      </c>
      <c r="B2739">
        <v>420000</v>
      </c>
      <c r="C2739" t="s">
        <v>45</v>
      </c>
      <c r="D2739" t="s">
        <v>13</v>
      </c>
      <c r="E2739">
        <v>35431.347960999999</v>
      </c>
    </row>
    <row r="2740" spans="1:5" hidden="1" x14ac:dyDescent="0.3">
      <c r="A2740">
        <v>64</v>
      </c>
      <c r="B2740">
        <v>420000</v>
      </c>
      <c r="C2740" t="s">
        <v>45</v>
      </c>
      <c r="D2740" t="s">
        <v>14</v>
      </c>
      <c r="E2740">
        <v>12472.225664</v>
      </c>
    </row>
    <row r="2741" spans="1:5" hidden="1" x14ac:dyDescent="0.3">
      <c r="A2741">
        <v>64</v>
      </c>
      <c r="B2741">
        <v>420000</v>
      </c>
      <c r="C2741" t="s">
        <v>45</v>
      </c>
      <c r="D2741" t="s">
        <v>15</v>
      </c>
      <c r="E2741">
        <v>2.4576310000000001</v>
      </c>
    </row>
    <row r="2742" spans="1:5" hidden="1" x14ac:dyDescent="0.3">
      <c r="A2742">
        <v>64</v>
      </c>
      <c r="B2742">
        <v>420000</v>
      </c>
      <c r="C2742" t="s">
        <v>45</v>
      </c>
      <c r="D2742" t="s">
        <v>16</v>
      </c>
      <c r="E2742">
        <v>40332.943272999997</v>
      </c>
    </row>
    <row r="2743" spans="1:5" hidden="1" x14ac:dyDescent="0.3">
      <c r="A2743">
        <v>64</v>
      </c>
      <c r="B2743">
        <v>420000</v>
      </c>
      <c r="C2743" t="s">
        <v>45</v>
      </c>
      <c r="D2743" t="s">
        <v>17</v>
      </c>
      <c r="E2743">
        <v>1.1431640000000001</v>
      </c>
    </row>
    <row r="2744" spans="1:5" hidden="1" x14ac:dyDescent="0.3">
      <c r="A2744">
        <v>64</v>
      </c>
      <c r="B2744">
        <v>420000</v>
      </c>
      <c r="C2744" t="s">
        <v>45</v>
      </c>
      <c r="D2744" t="s">
        <v>18</v>
      </c>
      <c r="E2744">
        <v>88.836625999999995</v>
      </c>
    </row>
    <row r="2745" spans="1:5" hidden="1" x14ac:dyDescent="0.3">
      <c r="A2745">
        <v>64</v>
      </c>
      <c r="B2745">
        <v>420000</v>
      </c>
      <c r="C2745" t="s">
        <v>45</v>
      </c>
      <c r="D2745" t="s">
        <v>19</v>
      </c>
      <c r="E2745">
        <v>8833.3370790000008</v>
      </c>
    </row>
    <row r="2746" spans="1:5" hidden="1" x14ac:dyDescent="0.3">
      <c r="A2746">
        <v>64</v>
      </c>
      <c r="B2746">
        <v>420000</v>
      </c>
      <c r="C2746" t="s">
        <v>45</v>
      </c>
      <c r="D2746" t="s">
        <v>20</v>
      </c>
      <c r="E2746">
        <v>15166.670531</v>
      </c>
    </row>
    <row r="2747" spans="1:5" hidden="1" x14ac:dyDescent="0.3">
      <c r="A2747">
        <v>64</v>
      </c>
      <c r="B2747">
        <v>420000</v>
      </c>
      <c r="C2747" t="s">
        <v>45</v>
      </c>
      <c r="D2747" t="s">
        <v>21</v>
      </c>
      <c r="E2747">
        <v>0.25552799999999998</v>
      </c>
    </row>
    <row r="2748" spans="1:5" hidden="1" x14ac:dyDescent="0.3">
      <c r="A2748">
        <v>64</v>
      </c>
      <c r="B2748">
        <v>420000</v>
      </c>
      <c r="C2748" t="s">
        <v>45</v>
      </c>
      <c r="D2748" t="s">
        <v>22</v>
      </c>
      <c r="E2748">
        <v>504.15069399999999</v>
      </c>
    </row>
    <row r="2749" spans="1:5" hidden="1" x14ac:dyDescent="0.3">
      <c r="A2749">
        <v>64</v>
      </c>
      <c r="B2749">
        <v>420000</v>
      </c>
      <c r="C2749" t="s">
        <v>45</v>
      </c>
      <c r="D2749" t="s">
        <v>23</v>
      </c>
      <c r="E2749">
        <v>4444.448703</v>
      </c>
    </row>
    <row r="2750" spans="1:5" hidden="1" x14ac:dyDescent="0.3">
      <c r="A2750">
        <v>64</v>
      </c>
      <c r="B2750">
        <v>420000</v>
      </c>
      <c r="C2750" t="s">
        <v>45</v>
      </c>
      <c r="D2750" t="s">
        <v>24</v>
      </c>
      <c r="E2750">
        <v>3.9489740000000002</v>
      </c>
    </row>
    <row r="2751" spans="1:5" hidden="1" x14ac:dyDescent="0.3">
      <c r="A2751">
        <v>64</v>
      </c>
      <c r="B2751">
        <v>420000</v>
      </c>
      <c r="C2751" t="s">
        <v>45</v>
      </c>
      <c r="D2751" t="s">
        <v>25</v>
      </c>
      <c r="E2751">
        <v>2944.4458610000001</v>
      </c>
    </row>
    <row r="2752" spans="1:5" hidden="1" x14ac:dyDescent="0.3">
      <c r="A2752">
        <v>64</v>
      </c>
      <c r="B2752">
        <v>420000</v>
      </c>
      <c r="C2752" t="s">
        <v>45</v>
      </c>
      <c r="D2752" t="s">
        <v>26</v>
      </c>
      <c r="E2752">
        <v>0.39487100000000003</v>
      </c>
    </row>
    <row r="2753" spans="1:5" hidden="1" x14ac:dyDescent="0.3">
      <c r="A2753">
        <v>65</v>
      </c>
      <c r="B2753">
        <v>425000</v>
      </c>
      <c r="C2753" t="s">
        <v>45</v>
      </c>
      <c r="D2753" t="s">
        <v>6</v>
      </c>
      <c r="E2753">
        <v>2.2236720000000001</v>
      </c>
    </row>
    <row r="2754" spans="1:5" hidden="1" x14ac:dyDescent="0.3">
      <c r="A2754">
        <v>65</v>
      </c>
      <c r="B2754">
        <v>425000</v>
      </c>
      <c r="C2754" t="s">
        <v>45</v>
      </c>
      <c r="D2754" t="s">
        <v>7</v>
      </c>
      <c r="E2754">
        <v>52999.996512999998</v>
      </c>
    </row>
    <row r="2755" spans="1:5" hidden="1" x14ac:dyDescent="0.3">
      <c r="A2755">
        <v>65</v>
      </c>
      <c r="B2755">
        <v>425000</v>
      </c>
      <c r="C2755" t="s">
        <v>45</v>
      </c>
      <c r="D2755" t="s">
        <v>8</v>
      </c>
      <c r="E2755">
        <v>388.88500499999998</v>
      </c>
    </row>
    <row r="2756" spans="1:5" hidden="1" x14ac:dyDescent="0.3">
      <c r="A2756">
        <v>65</v>
      </c>
      <c r="B2756">
        <v>425000</v>
      </c>
      <c r="C2756" t="s">
        <v>45</v>
      </c>
      <c r="D2756" t="s">
        <v>9</v>
      </c>
      <c r="E2756">
        <v>120839.21798099999</v>
      </c>
    </row>
    <row r="2757" spans="1:5" hidden="1" x14ac:dyDescent="0.3">
      <c r="A2757">
        <v>65</v>
      </c>
      <c r="B2757">
        <v>425000</v>
      </c>
      <c r="C2757" t="s">
        <v>45</v>
      </c>
      <c r="D2757" t="s">
        <v>10</v>
      </c>
      <c r="E2757">
        <v>52014.960627</v>
      </c>
    </row>
    <row r="2758" spans="1:5" hidden="1" x14ac:dyDescent="0.3">
      <c r="A2758">
        <v>65</v>
      </c>
      <c r="B2758">
        <v>425000</v>
      </c>
      <c r="C2758" t="s">
        <v>45</v>
      </c>
      <c r="D2758" t="s">
        <v>11</v>
      </c>
      <c r="E2758">
        <v>34138.888471999999</v>
      </c>
    </row>
    <row r="2759" spans="1:5" hidden="1" x14ac:dyDescent="0.3">
      <c r="A2759">
        <v>65</v>
      </c>
      <c r="B2759">
        <v>425000</v>
      </c>
      <c r="C2759" t="s">
        <v>45</v>
      </c>
      <c r="D2759" t="s">
        <v>12</v>
      </c>
      <c r="E2759">
        <v>44388.885927000003</v>
      </c>
    </row>
    <row r="2760" spans="1:5" hidden="1" x14ac:dyDescent="0.3">
      <c r="A2760">
        <v>65</v>
      </c>
      <c r="B2760">
        <v>425000</v>
      </c>
      <c r="C2760" t="s">
        <v>45</v>
      </c>
      <c r="D2760" t="s">
        <v>13</v>
      </c>
      <c r="E2760">
        <v>35431.344860999998</v>
      </c>
    </row>
    <row r="2761" spans="1:5" hidden="1" x14ac:dyDescent="0.3">
      <c r="A2761">
        <v>65</v>
      </c>
      <c r="B2761">
        <v>425000</v>
      </c>
      <c r="C2761" t="s">
        <v>45</v>
      </c>
      <c r="D2761" t="s">
        <v>14</v>
      </c>
      <c r="E2761">
        <v>12472.222874999999</v>
      </c>
    </row>
    <row r="2762" spans="1:5" hidden="1" x14ac:dyDescent="0.3">
      <c r="A2762">
        <v>65</v>
      </c>
      <c r="B2762">
        <v>425000</v>
      </c>
      <c r="C2762" t="s">
        <v>45</v>
      </c>
      <c r="D2762" t="s">
        <v>15</v>
      </c>
      <c r="E2762">
        <v>2.6755399999999998</v>
      </c>
    </row>
    <row r="2763" spans="1:5" hidden="1" x14ac:dyDescent="0.3">
      <c r="A2763">
        <v>65</v>
      </c>
      <c r="B2763">
        <v>425000</v>
      </c>
      <c r="C2763" t="s">
        <v>45</v>
      </c>
      <c r="D2763" t="s">
        <v>16</v>
      </c>
      <c r="E2763">
        <v>40333.000906000001</v>
      </c>
    </row>
    <row r="2764" spans="1:5" hidden="1" x14ac:dyDescent="0.3">
      <c r="A2764">
        <v>65</v>
      </c>
      <c r="B2764">
        <v>425000</v>
      </c>
      <c r="C2764" t="s">
        <v>45</v>
      </c>
      <c r="D2764" t="s">
        <v>17</v>
      </c>
      <c r="E2764">
        <v>0.685917</v>
      </c>
    </row>
    <row r="2765" spans="1:5" hidden="1" x14ac:dyDescent="0.3">
      <c r="A2765">
        <v>65</v>
      </c>
      <c r="B2765">
        <v>425000</v>
      </c>
      <c r="C2765" t="s">
        <v>45</v>
      </c>
      <c r="D2765" t="s">
        <v>18</v>
      </c>
      <c r="E2765">
        <v>88.834243999999998</v>
      </c>
    </row>
    <row r="2766" spans="1:5" hidden="1" x14ac:dyDescent="0.3">
      <c r="A2766">
        <v>65</v>
      </c>
      <c r="B2766">
        <v>425000</v>
      </c>
      <c r="C2766" t="s">
        <v>45</v>
      </c>
      <c r="D2766" t="s">
        <v>19</v>
      </c>
      <c r="E2766">
        <v>8833.3342379999995</v>
      </c>
    </row>
    <row r="2767" spans="1:5" hidden="1" x14ac:dyDescent="0.3">
      <c r="A2767">
        <v>65</v>
      </c>
      <c r="B2767">
        <v>425000</v>
      </c>
      <c r="C2767" t="s">
        <v>45</v>
      </c>
      <c r="D2767" t="s">
        <v>20</v>
      </c>
      <c r="E2767">
        <v>15166.667579000001</v>
      </c>
    </row>
    <row r="2768" spans="1:5" hidden="1" x14ac:dyDescent="0.3">
      <c r="A2768">
        <v>65</v>
      </c>
      <c r="B2768">
        <v>425000</v>
      </c>
      <c r="C2768" t="s">
        <v>45</v>
      </c>
      <c r="D2768" t="s">
        <v>21</v>
      </c>
      <c r="E2768">
        <v>0.19960900000000001</v>
      </c>
    </row>
    <row r="2769" spans="1:5" hidden="1" x14ac:dyDescent="0.3">
      <c r="A2769">
        <v>65</v>
      </c>
      <c r="B2769">
        <v>425000</v>
      </c>
      <c r="C2769" t="s">
        <v>45</v>
      </c>
      <c r="D2769" t="s">
        <v>22</v>
      </c>
      <c r="E2769">
        <v>504.14815700000003</v>
      </c>
    </row>
    <row r="2770" spans="1:5" hidden="1" x14ac:dyDescent="0.3">
      <c r="A2770">
        <v>65</v>
      </c>
      <c r="B2770">
        <v>425000</v>
      </c>
      <c r="C2770" t="s">
        <v>45</v>
      </c>
      <c r="D2770" t="s">
        <v>23</v>
      </c>
      <c r="E2770">
        <v>4444.4456829999999</v>
      </c>
    </row>
    <row r="2771" spans="1:5" hidden="1" x14ac:dyDescent="0.3">
      <c r="A2771">
        <v>65</v>
      </c>
      <c r="B2771">
        <v>425000</v>
      </c>
      <c r="C2771" t="s">
        <v>45</v>
      </c>
      <c r="D2771" t="s">
        <v>24</v>
      </c>
      <c r="E2771">
        <v>4.6395229999999996</v>
      </c>
    </row>
    <row r="2772" spans="1:5" hidden="1" x14ac:dyDescent="0.3">
      <c r="A2772">
        <v>65</v>
      </c>
      <c r="B2772">
        <v>425000</v>
      </c>
      <c r="C2772" t="s">
        <v>45</v>
      </c>
      <c r="D2772" t="s">
        <v>25</v>
      </c>
      <c r="E2772">
        <v>2944.443777</v>
      </c>
    </row>
    <row r="2773" spans="1:5" hidden="1" x14ac:dyDescent="0.3">
      <c r="A2773">
        <v>65</v>
      </c>
      <c r="B2773">
        <v>425000</v>
      </c>
      <c r="C2773" t="s">
        <v>45</v>
      </c>
      <c r="D2773" t="s">
        <v>26</v>
      </c>
      <c r="E2773">
        <v>0.33899899999999999</v>
      </c>
    </row>
    <row r="2774" spans="1:5" hidden="1" x14ac:dyDescent="0.3">
      <c r="A2774">
        <v>66</v>
      </c>
      <c r="B2774">
        <v>430000</v>
      </c>
      <c r="C2774" t="s">
        <v>45</v>
      </c>
      <c r="D2774" t="s">
        <v>6</v>
      </c>
      <c r="E2774">
        <v>0.25465900000000002</v>
      </c>
    </row>
    <row r="2775" spans="1:5" hidden="1" x14ac:dyDescent="0.3">
      <c r="A2775">
        <v>66</v>
      </c>
      <c r="B2775">
        <v>430000</v>
      </c>
      <c r="C2775" t="s">
        <v>45</v>
      </c>
      <c r="D2775" t="s">
        <v>7</v>
      </c>
      <c r="E2775">
        <v>52999.999986000003</v>
      </c>
    </row>
    <row r="2776" spans="1:5" hidden="1" x14ac:dyDescent="0.3">
      <c r="A2776">
        <v>66</v>
      </c>
      <c r="B2776">
        <v>430000</v>
      </c>
      <c r="C2776" t="s">
        <v>45</v>
      </c>
      <c r="D2776" t="s">
        <v>8</v>
      </c>
      <c r="E2776">
        <v>388.88827300000003</v>
      </c>
    </row>
    <row r="2777" spans="1:5" hidden="1" x14ac:dyDescent="0.3">
      <c r="A2777">
        <v>66</v>
      </c>
      <c r="B2777">
        <v>430000</v>
      </c>
      <c r="C2777" t="s">
        <v>45</v>
      </c>
      <c r="D2777" t="s">
        <v>9</v>
      </c>
      <c r="E2777">
        <v>120840.166667</v>
      </c>
    </row>
    <row r="2778" spans="1:5" hidden="1" x14ac:dyDescent="0.3">
      <c r="A2778">
        <v>66</v>
      </c>
      <c r="B2778">
        <v>430000</v>
      </c>
      <c r="C2778" t="s">
        <v>45</v>
      </c>
      <c r="D2778" t="s">
        <v>10</v>
      </c>
      <c r="E2778">
        <v>57023.692644000002</v>
      </c>
    </row>
    <row r="2779" spans="1:5" hidden="1" x14ac:dyDescent="0.3">
      <c r="A2779">
        <v>66</v>
      </c>
      <c r="B2779">
        <v>430000</v>
      </c>
      <c r="C2779" t="s">
        <v>45</v>
      </c>
      <c r="D2779" t="s">
        <v>11</v>
      </c>
      <c r="E2779">
        <v>34138.888872000003</v>
      </c>
    </row>
    <row r="2780" spans="1:5" hidden="1" x14ac:dyDescent="0.3">
      <c r="A2780">
        <v>66</v>
      </c>
      <c r="B2780">
        <v>430000</v>
      </c>
      <c r="C2780" t="s">
        <v>45</v>
      </c>
      <c r="D2780" t="s">
        <v>12</v>
      </c>
      <c r="E2780">
        <v>44388.888866000001</v>
      </c>
    </row>
    <row r="2781" spans="1:5" hidden="1" x14ac:dyDescent="0.3">
      <c r="A2781">
        <v>66</v>
      </c>
      <c r="B2781">
        <v>430000</v>
      </c>
      <c r="C2781" t="s">
        <v>45</v>
      </c>
      <c r="D2781" t="s">
        <v>13</v>
      </c>
      <c r="E2781">
        <v>35431.344450999997</v>
      </c>
    </row>
    <row r="2782" spans="1:5" hidden="1" x14ac:dyDescent="0.3">
      <c r="A2782">
        <v>66</v>
      </c>
      <c r="B2782">
        <v>430000</v>
      </c>
      <c r="C2782" t="s">
        <v>45</v>
      </c>
      <c r="D2782" t="s">
        <v>14</v>
      </c>
      <c r="E2782">
        <v>12472.222229999999</v>
      </c>
    </row>
    <row r="2783" spans="1:5" hidden="1" x14ac:dyDescent="0.3">
      <c r="A2783">
        <v>66</v>
      </c>
      <c r="B2783">
        <v>430000</v>
      </c>
      <c r="C2783" t="s">
        <v>45</v>
      </c>
      <c r="D2783" t="s">
        <v>15</v>
      </c>
      <c r="E2783">
        <v>0.24440799999999999</v>
      </c>
    </row>
    <row r="2784" spans="1:5" hidden="1" x14ac:dyDescent="0.3">
      <c r="A2784">
        <v>66</v>
      </c>
      <c r="B2784">
        <v>430000</v>
      </c>
      <c r="C2784" t="s">
        <v>45</v>
      </c>
      <c r="D2784" t="s">
        <v>16</v>
      </c>
      <c r="E2784">
        <v>40333.000046000001</v>
      </c>
    </row>
    <row r="2785" spans="1:5" hidden="1" x14ac:dyDescent="0.3">
      <c r="A2785">
        <v>66</v>
      </c>
      <c r="B2785">
        <v>430000</v>
      </c>
      <c r="C2785" t="s">
        <v>45</v>
      </c>
      <c r="D2785" t="s">
        <v>17</v>
      </c>
      <c r="E2785">
        <v>4.2701000000000003E-2</v>
      </c>
    </row>
    <row r="2786" spans="1:5" hidden="1" x14ac:dyDescent="0.3">
      <c r="A2786">
        <v>66</v>
      </c>
      <c r="B2786">
        <v>430000</v>
      </c>
      <c r="C2786" t="s">
        <v>45</v>
      </c>
      <c r="D2786" t="s">
        <v>18</v>
      </c>
      <c r="E2786">
        <v>88.833314999999999</v>
      </c>
    </row>
    <row r="2787" spans="1:5" hidden="1" x14ac:dyDescent="0.3">
      <c r="A2787">
        <v>66</v>
      </c>
      <c r="B2787">
        <v>430000</v>
      </c>
      <c r="C2787" t="s">
        <v>45</v>
      </c>
      <c r="D2787" t="s">
        <v>19</v>
      </c>
      <c r="E2787">
        <v>8833.3333619999994</v>
      </c>
    </row>
    <row r="2788" spans="1:5" hidden="1" x14ac:dyDescent="0.3">
      <c r="A2788">
        <v>66</v>
      </c>
      <c r="B2788">
        <v>430000</v>
      </c>
      <c r="C2788" t="s">
        <v>45</v>
      </c>
      <c r="D2788" t="s">
        <v>20</v>
      </c>
      <c r="E2788">
        <v>15166.666695</v>
      </c>
    </row>
    <row r="2789" spans="1:5" hidden="1" x14ac:dyDescent="0.3">
      <c r="A2789">
        <v>66</v>
      </c>
      <c r="B2789">
        <v>430000</v>
      </c>
      <c r="C2789" t="s">
        <v>45</v>
      </c>
      <c r="D2789" t="s">
        <v>21</v>
      </c>
      <c r="E2789">
        <v>1.6577999999999999E-2</v>
      </c>
    </row>
    <row r="2790" spans="1:5" hidden="1" x14ac:dyDescent="0.3">
      <c r="A2790">
        <v>66</v>
      </c>
      <c r="B2790">
        <v>430000</v>
      </c>
      <c r="C2790" t="s">
        <v>45</v>
      </c>
      <c r="D2790" t="s">
        <v>22</v>
      </c>
      <c r="E2790">
        <v>504.14723400000003</v>
      </c>
    </row>
    <row r="2791" spans="1:5" hidden="1" x14ac:dyDescent="0.3">
      <c r="A2791">
        <v>66</v>
      </c>
      <c r="B2791">
        <v>430000</v>
      </c>
      <c r="C2791" t="s">
        <v>45</v>
      </c>
      <c r="D2791" t="s">
        <v>23</v>
      </c>
      <c r="E2791">
        <v>4444.4444990000002</v>
      </c>
    </row>
    <row r="2792" spans="1:5" hidden="1" x14ac:dyDescent="0.3">
      <c r="A2792">
        <v>66</v>
      </c>
      <c r="B2792">
        <v>430000</v>
      </c>
      <c r="C2792" t="s">
        <v>45</v>
      </c>
      <c r="D2792" t="s">
        <v>24</v>
      </c>
      <c r="E2792">
        <v>0.45581100000000002</v>
      </c>
    </row>
    <row r="2793" spans="1:5" hidden="1" x14ac:dyDescent="0.3">
      <c r="A2793">
        <v>66</v>
      </c>
      <c r="B2793">
        <v>430000</v>
      </c>
      <c r="C2793" t="s">
        <v>45</v>
      </c>
      <c r="D2793" t="s">
        <v>25</v>
      </c>
      <c r="E2793">
        <v>2944.4443339999998</v>
      </c>
    </row>
    <row r="2794" spans="1:5" hidden="1" x14ac:dyDescent="0.3">
      <c r="A2794">
        <v>66</v>
      </c>
      <c r="B2794">
        <v>430000</v>
      </c>
      <c r="C2794" t="s">
        <v>45</v>
      </c>
      <c r="D2794" t="s">
        <v>26</v>
      </c>
      <c r="E2794">
        <v>2.6668000000000001E-2</v>
      </c>
    </row>
    <row r="2795" spans="1:5" hidden="1" x14ac:dyDescent="0.3">
      <c r="A2795">
        <v>67</v>
      </c>
      <c r="B2795">
        <v>435000</v>
      </c>
      <c r="C2795" t="s">
        <v>45</v>
      </c>
      <c r="D2795" t="s">
        <v>6</v>
      </c>
      <c r="E2795">
        <v>0.52124499999999996</v>
      </c>
    </row>
    <row r="2796" spans="1:5" hidden="1" x14ac:dyDescent="0.3">
      <c r="A2796">
        <v>67</v>
      </c>
      <c r="B2796">
        <v>435000</v>
      </c>
      <c r="C2796" t="s">
        <v>45</v>
      </c>
      <c r="D2796" t="s">
        <v>7</v>
      </c>
      <c r="E2796">
        <v>53000.000668000001</v>
      </c>
    </row>
    <row r="2797" spans="1:5" hidden="1" x14ac:dyDescent="0.3">
      <c r="A2797">
        <v>67</v>
      </c>
      <c r="B2797">
        <v>435000</v>
      </c>
      <c r="C2797" t="s">
        <v>45</v>
      </c>
      <c r="D2797" t="s">
        <v>8</v>
      </c>
      <c r="E2797">
        <v>388.88821999999999</v>
      </c>
    </row>
    <row r="2798" spans="1:5" hidden="1" x14ac:dyDescent="0.3">
      <c r="A2798">
        <v>67</v>
      </c>
      <c r="B2798">
        <v>435000</v>
      </c>
      <c r="C2798" t="s">
        <v>45</v>
      </c>
      <c r="D2798" t="s">
        <v>9</v>
      </c>
      <c r="E2798">
        <v>120840.04203300001</v>
      </c>
    </row>
    <row r="2799" spans="1:5" hidden="1" x14ac:dyDescent="0.3">
      <c r="A2799">
        <v>67</v>
      </c>
      <c r="B2799">
        <v>435000</v>
      </c>
      <c r="C2799" t="s">
        <v>45</v>
      </c>
      <c r="D2799" t="s">
        <v>10</v>
      </c>
      <c r="E2799">
        <v>62022.127490999999</v>
      </c>
    </row>
    <row r="2800" spans="1:5" hidden="1" x14ac:dyDescent="0.3">
      <c r="A2800">
        <v>67</v>
      </c>
      <c r="B2800">
        <v>435000</v>
      </c>
      <c r="C2800" t="s">
        <v>45</v>
      </c>
      <c r="D2800" t="s">
        <v>11</v>
      </c>
      <c r="E2800">
        <v>34138.889536000002</v>
      </c>
    </row>
    <row r="2801" spans="1:5" hidden="1" x14ac:dyDescent="0.3">
      <c r="A2801">
        <v>67</v>
      </c>
      <c r="B2801">
        <v>435000</v>
      </c>
      <c r="C2801" t="s">
        <v>45</v>
      </c>
      <c r="D2801" t="s">
        <v>12</v>
      </c>
      <c r="E2801">
        <v>44388.889574000001</v>
      </c>
    </row>
    <row r="2802" spans="1:5" hidden="1" x14ac:dyDescent="0.3">
      <c r="A2802">
        <v>67</v>
      </c>
      <c r="B2802">
        <v>435000</v>
      </c>
      <c r="C2802" t="s">
        <v>45</v>
      </c>
      <c r="D2802" t="s">
        <v>13</v>
      </c>
      <c r="E2802">
        <v>35431.345029999997</v>
      </c>
    </row>
    <row r="2803" spans="1:5" hidden="1" x14ac:dyDescent="0.3">
      <c r="A2803">
        <v>67</v>
      </c>
      <c r="B2803">
        <v>435000</v>
      </c>
      <c r="C2803" t="s">
        <v>45</v>
      </c>
      <c r="D2803" t="s">
        <v>14</v>
      </c>
      <c r="E2803">
        <v>12472.222754</v>
      </c>
    </row>
    <row r="2804" spans="1:5" hidden="1" x14ac:dyDescent="0.3">
      <c r="A2804">
        <v>67</v>
      </c>
      <c r="B2804">
        <v>435000</v>
      </c>
      <c r="C2804" t="s">
        <v>45</v>
      </c>
      <c r="D2804" t="s">
        <v>15</v>
      </c>
      <c r="E2804">
        <v>0.71138000000000001</v>
      </c>
    </row>
    <row r="2805" spans="1:5" hidden="1" x14ac:dyDescent="0.3">
      <c r="A2805">
        <v>67</v>
      </c>
      <c r="B2805">
        <v>435000</v>
      </c>
      <c r="C2805" t="s">
        <v>45</v>
      </c>
      <c r="D2805" t="s">
        <v>16</v>
      </c>
      <c r="E2805">
        <v>40333.000639999998</v>
      </c>
    </row>
    <row r="2806" spans="1:5" hidden="1" x14ac:dyDescent="0.3">
      <c r="A2806">
        <v>67</v>
      </c>
      <c r="B2806">
        <v>435000</v>
      </c>
      <c r="C2806" t="s">
        <v>45</v>
      </c>
      <c r="D2806" t="s">
        <v>17</v>
      </c>
      <c r="E2806">
        <v>8.7634000000000004E-2</v>
      </c>
    </row>
    <row r="2807" spans="1:5" hidden="1" x14ac:dyDescent="0.3">
      <c r="A2807">
        <v>67</v>
      </c>
      <c r="B2807">
        <v>435000</v>
      </c>
      <c r="C2807" t="s">
        <v>45</v>
      </c>
      <c r="D2807" t="s">
        <v>18</v>
      </c>
      <c r="E2807">
        <v>88.833826000000002</v>
      </c>
    </row>
    <row r="2808" spans="1:5" hidden="1" x14ac:dyDescent="0.3">
      <c r="A2808">
        <v>67</v>
      </c>
      <c r="B2808">
        <v>435000</v>
      </c>
      <c r="C2808" t="s">
        <v>45</v>
      </c>
      <c r="D2808" t="s">
        <v>19</v>
      </c>
      <c r="E2808">
        <v>8833.3338910000002</v>
      </c>
    </row>
    <row r="2809" spans="1:5" hidden="1" x14ac:dyDescent="0.3">
      <c r="A2809">
        <v>67</v>
      </c>
      <c r="B2809">
        <v>435000</v>
      </c>
      <c r="C2809" t="s">
        <v>45</v>
      </c>
      <c r="D2809" t="s">
        <v>20</v>
      </c>
      <c r="E2809">
        <v>15166.667239</v>
      </c>
    </row>
    <row r="2810" spans="1:5" hidden="1" x14ac:dyDescent="0.3">
      <c r="A2810">
        <v>67</v>
      </c>
      <c r="B2810">
        <v>435000</v>
      </c>
      <c r="C2810" t="s">
        <v>45</v>
      </c>
      <c r="D2810" t="s">
        <v>21</v>
      </c>
      <c r="E2810">
        <v>3.9574999999999999E-2</v>
      </c>
    </row>
    <row r="2811" spans="1:5" hidden="1" x14ac:dyDescent="0.3">
      <c r="A2811">
        <v>67</v>
      </c>
      <c r="B2811">
        <v>435000</v>
      </c>
      <c r="C2811" t="s">
        <v>45</v>
      </c>
      <c r="D2811" t="s">
        <v>22</v>
      </c>
      <c r="E2811">
        <v>504.14776599999999</v>
      </c>
    </row>
    <row r="2812" spans="1:5" hidden="1" x14ac:dyDescent="0.3">
      <c r="A2812">
        <v>67</v>
      </c>
      <c r="B2812">
        <v>435000</v>
      </c>
      <c r="C2812" t="s">
        <v>45</v>
      </c>
      <c r="D2812" t="s">
        <v>23</v>
      </c>
      <c r="E2812">
        <v>4444.4450639999995</v>
      </c>
    </row>
    <row r="2813" spans="1:5" hidden="1" x14ac:dyDescent="0.3">
      <c r="A2813">
        <v>67</v>
      </c>
      <c r="B2813">
        <v>435000</v>
      </c>
      <c r="C2813" t="s">
        <v>45</v>
      </c>
      <c r="D2813" t="s">
        <v>24</v>
      </c>
      <c r="E2813">
        <v>1.303145</v>
      </c>
    </row>
    <row r="2814" spans="1:5" hidden="1" x14ac:dyDescent="0.3">
      <c r="A2814">
        <v>67</v>
      </c>
      <c r="B2814">
        <v>435000</v>
      </c>
      <c r="C2814" t="s">
        <v>45</v>
      </c>
      <c r="D2814" t="s">
        <v>25</v>
      </c>
      <c r="E2814">
        <v>2944.4447030000001</v>
      </c>
    </row>
    <row r="2815" spans="1:5" hidden="1" x14ac:dyDescent="0.3">
      <c r="A2815">
        <v>67</v>
      </c>
      <c r="B2815">
        <v>435000</v>
      </c>
      <c r="C2815" t="s">
        <v>45</v>
      </c>
      <c r="D2815" t="s">
        <v>26</v>
      </c>
      <c r="E2815">
        <v>7.4384000000000006E-2</v>
      </c>
    </row>
    <row r="2816" spans="1:5" hidden="1" x14ac:dyDescent="0.3">
      <c r="A2816">
        <v>68</v>
      </c>
      <c r="B2816">
        <v>440000</v>
      </c>
      <c r="C2816" t="s">
        <v>45</v>
      </c>
      <c r="D2816" t="s">
        <v>6</v>
      </c>
      <c r="E2816">
        <v>1.529212</v>
      </c>
    </row>
    <row r="2817" spans="1:5" hidden="1" x14ac:dyDescent="0.3">
      <c r="A2817">
        <v>68</v>
      </c>
      <c r="B2817">
        <v>440000</v>
      </c>
      <c r="C2817" t="s">
        <v>45</v>
      </c>
      <c r="D2817" t="s">
        <v>7</v>
      </c>
      <c r="E2817">
        <v>53000.002089000001</v>
      </c>
    </row>
    <row r="2818" spans="1:5" hidden="1" x14ac:dyDescent="0.3">
      <c r="A2818">
        <v>68</v>
      </c>
      <c r="B2818">
        <v>440000</v>
      </c>
      <c r="C2818" t="s">
        <v>45</v>
      </c>
      <c r="D2818" t="s">
        <v>8</v>
      </c>
      <c r="E2818">
        <v>388.88709599999999</v>
      </c>
    </row>
    <row r="2819" spans="1:5" hidden="1" x14ac:dyDescent="0.3">
      <c r="A2819">
        <v>68</v>
      </c>
      <c r="B2819">
        <v>440000</v>
      </c>
      <c r="C2819" t="s">
        <v>45</v>
      </c>
      <c r="D2819" t="s">
        <v>9</v>
      </c>
      <c r="E2819">
        <v>120839.30882999999</v>
      </c>
    </row>
    <row r="2820" spans="1:5" hidden="1" x14ac:dyDescent="0.3">
      <c r="A2820">
        <v>68</v>
      </c>
      <c r="B2820">
        <v>440000</v>
      </c>
      <c r="C2820" t="s">
        <v>45</v>
      </c>
      <c r="D2820" t="s">
        <v>10</v>
      </c>
      <c r="E2820">
        <v>67016.659669000001</v>
      </c>
    </row>
    <row r="2821" spans="1:5" hidden="1" x14ac:dyDescent="0.3">
      <c r="A2821">
        <v>68</v>
      </c>
      <c r="B2821">
        <v>440000</v>
      </c>
      <c r="C2821" t="s">
        <v>45</v>
      </c>
      <c r="D2821" t="s">
        <v>11</v>
      </c>
      <c r="E2821">
        <v>34138.890505000003</v>
      </c>
    </row>
    <row r="2822" spans="1:5" hidden="1" x14ac:dyDescent="0.3">
      <c r="A2822">
        <v>68</v>
      </c>
      <c r="B2822">
        <v>440000</v>
      </c>
      <c r="C2822" t="s">
        <v>45</v>
      </c>
      <c r="D2822" t="s">
        <v>12</v>
      </c>
      <c r="E2822">
        <v>44388.890490999998</v>
      </c>
    </row>
    <row r="2823" spans="1:5" hidden="1" x14ac:dyDescent="0.3">
      <c r="A2823">
        <v>68</v>
      </c>
      <c r="B2823">
        <v>440000</v>
      </c>
      <c r="C2823" t="s">
        <v>45</v>
      </c>
      <c r="D2823" t="s">
        <v>13</v>
      </c>
      <c r="E2823">
        <v>35431.346247000001</v>
      </c>
    </row>
    <row r="2824" spans="1:5" hidden="1" x14ac:dyDescent="0.3">
      <c r="A2824">
        <v>68</v>
      </c>
      <c r="B2824">
        <v>440000</v>
      </c>
      <c r="C2824" t="s">
        <v>45</v>
      </c>
      <c r="D2824" t="s">
        <v>14</v>
      </c>
      <c r="E2824">
        <v>12472.223977</v>
      </c>
    </row>
    <row r="2825" spans="1:5" hidden="1" x14ac:dyDescent="0.3">
      <c r="A2825">
        <v>68</v>
      </c>
      <c r="B2825">
        <v>440000</v>
      </c>
      <c r="C2825" t="s">
        <v>45</v>
      </c>
      <c r="D2825" t="s">
        <v>15</v>
      </c>
      <c r="E2825">
        <v>2.132558</v>
      </c>
    </row>
    <row r="2826" spans="1:5" hidden="1" x14ac:dyDescent="0.3">
      <c r="A2826">
        <v>68</v>
      </c>
      <c r="B2826">
        <v>440000</v>
      </c>
      <c r="C2826" t="s">
        <v>45</v>
      </c>
      <c r="D2826" t="s">
        <v>16</v>
      </c>
      <c r="E2826">
        <v>40333.002023000001</v>
      </c>
    </row>
    <row r="2827" spans="1:5" hidden="1" x14ac:dyDescent="0.3">
      <c r="A2827">
        <v>68</v>
      </c>
      <c r="B2827">
        <v>440000</v>
      </c>
      <c r="C2827" t="s">
        <v>45</v>
      </c>
      <c r="D2827" t="s">
        <v>17</v>
      </c>
      <c r="E2827">
        <v>0.28997200000000001</v>
      </c>
    </row>
    <row r="2828" spans="1:5" hidden="1" x14ac:dyDescent="0.3">
      <c r="A2828">
        <v>68</v>
      </c>
      <c r="B2828">
        <v>440000</v>
      </c>
      <c r="C2828" t="s">
        <v>45</v>
      </c>
      <c r="D2828" t="s">
        <v>18</v>
      </c>
      <c r="E2828">
        <v>88.835183999999998</v>
      </c>
    </row>
    <row r="2829" spans="1:5" hidden="1" x14ac:dyDescent="0.3">
      <c r="A2829">
        <v>68</v>
      </c>
      <c r="B2829">
        <v>440000</v>
      </c>
      <c r="C2829" t="s">
        <v>45</v>
      </c>
      <c r="D2829" t="s">
        <v>19</v>
      </c>
      <c r="E2829">
        <v>8833.3352350000005</v>
      </c>
    </row>
    <row r="2830" spans="1:5" hidden="1" x14ac:dyDescent="0.3">
      <c r="A2830">
        <v>68</v>
      </c>
      <c r="B2830">
        <v>440000</v>
      </c>
      <c r="C2830" t="s">
        <v>45</v>
      </c>
      <c r="D2830" t="s">
        <v>20</v>
      </c>
      <c r="E2830">
        <v>15166.668608</v>
      </c>
    </row>
    <row r="2831" spans="1:5" hidden="1" x14ac:dyDescent="0.3">
      <c r="A2831">
        <v>68</v>
      </c>
      <c r="B2831">
        <v>440000</v>
      </c>
      <c r="C2831" t="s">
        <v>45</v>
      </c>
      <c r="D2831" t="s">
        <v>21</v>
      </c>
      <c r="E2831">
        <v>0.13971900000000001</v>
      </c>
    </row>
    <row r="2832" spans="1:5" hidden="1" x14ac:dyDescent="0.3">
      <c r="A2832">
        <v>68</v>
      </c>
      <c r="B2832">
        <v>440000</v>
      </c>
      <c r="C2832" t="s">
        <v>45</v>
      </c>
      <c r="D2832" t="s">
        <v>22</v>
      </c>
      <c r="E2832">
        <v>504.14910300000003</v>
      </c>
    </row>
    <row r="2833" spans="1:5" hidden="1" x14ac:dyDescent="0.3">
      <c r="A2833">
        <v>68</v>
      </c>
      <c r="B2833">
        <v>440000</v>
      </c>
      <c r="C2833" t="s">
        <v>45</v>
      </c>
      <c r="D2833" t="s">
        <v>23</v>
      </c>
      <c r="E2833">
        <v>4444.4465849999997</v>
      </c>
    </row>
    <row r="2834" spans="1:5" hidden="1" x14ac:dyDescent="0.3">
      <c r="A2834">
        <v>68</v>
      </c>
      <c r="B2834">
        <v>440000</v>
      </c>
      <c r="C2834" t="s">
        <v>45</v>
      </c>
      <c r="D2834" t="s">
        <v>24</v>
      </c>
      <c r="E2834">
        <v>4.6438649999999999</v>
      </c>
    </row>
    <row r="2835" spans="1:5" hidden="1" x14ac:dyDescent="0.3">
      <c r="A2835">
        <v>68</v>
      </c>
      <c r="B2835">
        <v>440000</v>
      </c>
      <c r="C2835" t="s">
        <v>45</v>
      </c>
      <c r="D2835" t="s">
        <v>25</v>
      </c>
      <c r="E2835">
        <v>2944.4453159999998</v>
      </c>
    </row>
    <row r="2836" spans="1:5" hidden="1" x14ac:dyDescent="0.3">
      <c r="A2836">
        <v>68</v>
      </c>
      <c r="B2836">
        <v>440000</v>
      </c>
      <c r="C2836" t="s">
        <v>45</v>
      </c>
      <c r="D2836" t="s">
        <v>26</v>
      </c>
      <c r="E2836">
        <v>0.22719800000000001</v>
      </c>
    </row>
    <row r="2837" spans="1:5" hidden="1" x14ac:dyDescent="0.3">
      <c r="A2837">
        <v>69</v>
      </c>
      <c r="B2837">
        <v>445000</v>
      </c>
      <c r="C2837" t="s">
        <v>45</v>
      </c>
      <c r="D2837" t="s">
        <v>6</v>
      </c>
      <c r="E2837">
        <v>2.5419649999999998</v>
      </c>
    </row>
    <row r="2838" spans="1:5" hidden="1" x14ac:dyDescent="0.3">
      <c r="A2838">
        <v>69</v>
      </c>
      <c r="B2838">
        <v>445000</v>
      </c>
      <c r="C2838" t="s">
        <v>45</v>
      </c>
      <c r="D2838" t="s">
        <v>7</v>
      </c>
      <c r="E2838">
        <v>53000.004240000002</v>
      </c>
    </row>
    <row r="2839" spans="1:5" hidden="1" x14ac:dyDescent="0.3">
      <c r="A2839">
        <v>69</v>
      </c>
      <c r="B2839">
        <v>445000</v>
      </c>
      <c r="C2839" t="s">
        <v>45</v>
      </c>
      <c r="D2839" t="s">
        <v>8</v>
      </c>
      <c r="E2839">
        <v>388.88617499999998</v>
      </c>
    </row>
    <row r="2840" spans="1:5" hidden="1" x14ac:dyDescent="0.3">
      <c r="A2840">
        <v>69</v>
      </c>
      <c r="B2840">
        <v>445000</v>
      </c>
      <c r="C2840" t="s">
        <v>45</v>
      </c>
      <c r="D2840" t="s">
        <v>9</v>
      </c>
      <c r="E2840">
        <v>120838.79954199999</v>
      </c>
    </row>
    <row r="2841" spans="1:5" hidden="1" x14ac:dyDescent="0.3">
      <c r="A2841">
        <v>69</v>
      </c>
      <c r="B2841">
        <v>445000</v>
      </c>
      <c r="C2841" t="s">
        <v>45</v>
      </c>
      <c r="D2841" t="s">
        <v>10</v>
      </c>
      <c r="E2841">
        <v>72008.001357999994</v>
      </c>
    </row>
    <row r="2842" spans="1:5" hidden="1" x14ac:dyDescent="0.3">
      <c r="A2842">
        <v>69</v>
      </c>
      <c r="B2842">
        <v>445000</v>
      </c>
      <c r="C2842" t="s">
        <v>45</v>
      </c>
      <c r="D2842" t="s">
        <v>11</v>
      </c>
      <c r="E2842">
        <v>34138.893575000002</v>
      </c>
    </row>
    <row r="2843" spans="1:5" hidden="1" x14ac:dyDescent="0.3">
      <c r="A2843">
        <v>69</v>
      </c>
      <c r="B2843">
        <v>445000</v>
      </c>
      <c r="C2843" t="s">
        <v>45</v>
      </c>
      <c r="D2843" t="s">
        <v>12</v>
      </c>
      <c r="E2843">
        <v>44388.891368999997</v>
      </c>
    </row>
    <row r="2844" spans="1:5" hidden="1" x14ac:dyDescent="0.3">
      <c r="A2844">
        <v>69</v>
      </c>
      <c r="B2844">
        <v>445000</v>
      </c>
      <c r="C2844" t="s">
        <v>45</v>
      </c>
      <c r="D2844" t="s">
        <v>13</v>
      </c>
      <c r="E2844">
        <v>35431.349707000001</v>
      </c>
    </row>
    <row r="2845" spans="1:5" hidden="1" x14ac:dyDescent="0.3">
      <c r="A2845">
        <v>69</v>
      </c>
      <c r="B2845">
        <v>445000</v>
      </c>
      <c r="C2845" t="s">
        <v>45</v>
      </c>
      <c r="D2845" t="s">
        <v>14</v>
      </c>
      <c r="E2845">
        <v>12472.227602000001</v>
      </c>
    </row>
    <row r="2846" spans="1:5" hidden="1" x14ac:dyDescent="0.3">
      <c r="A2846">
        <v>69</v>
      </c>
      <c r="B2846">
        <v>445000</v>
      </c>
      <c r="C2846" t="s">
        <v>45</v>
      </c>
      <c r="D2846" t="s">
        <v>15</v>
      </c>
      <c r="E2846">
        <v>4.1513080000000002</v>
      </c>
    </row>
    <row r="2847" spans="1:5" hidden="1" x14ac:dyDescent="0.3">
      <c r="A2847">
        <v>69</v>
      </c>
      <c r="B2847">
        <v>445000</v>
      </c>
      <c r="C2847" t="s">
        <v>45</v>
      </c>
      <c r="D2847" t="s">
        <v>16</v>
      </c>
      <c r="E2847">
        <v>40333.005731999998</v>
      </c>
    </row>
    <row r="2848" spans="1:5" hidden="1" x14ac:dyDescent="0.3">
      <c r="A2848">
        <v>69</v>
      </c>
      <c r="B2848">
        <v>445000</v>
      </c>
      <c r="C2848" t="s">
        <v>45</v>
      </c>
      <c r="D2848" t="s">
        <v>17</v>
      </c>
      <c r="E2848">
        <v>0.89938099999999999</v>
      </c>
    </row>
    <row r="2849" spans="1:5" hidden="1" x14ac:dyDescent="0.3">
      <c r="A2849">
        <v>69</v>
      </c>
      <c r="B2849">
        <v>445000</v>
      </c>
      <c r="C2849" t="s">
        <v>45</v>
      </c>
      <c r="D2849" t="s">
        <v>18</v>
      </c>
      <c r="E2849">
        <v>88.838530000000006</v>
      </c>
    </row>
    <row r="2850" spans="1:5" hidden="1" x14ac:dyDescent="0.3">
      <c r="A2850">
        <v>69</v>
      </c>
      <c r="B2850">
        <v>445000</v>
      </c>
      <c r="C2850" t="s">
        <v>45</v>
      </c>
      <c r="D2850" t="s">
        <v>19</v>
      </c>
      <c r="E2850">
        <v>8833.3389480000005</v>
      </c>
    </row>
    <row r="2851" spans="1:5" hidden="1" x14ac:dyDescent="0.3">
      <c r="A2851">
        <v>69</v>
      </c>
      <c r="B2851">
        <v>445000</v>
      </c>
      <c r="C2851" t="s">
        <v>45</v>
      </c>
      <c r="D2851" t="s">
        <v>20</v>
      </c>
      <c r="E2851">
        <v>15166.672358</v>
      </c>
    </row>
    <row r="2852" spans="1:5" hidden="1" x14ac:dyDescent="0.3">
      <c r="A2852">
        <v>69</v>
      </c>
      <c r="B2852">
        <v>445000</v>
      </c>
      <c r="C2852" t="s">
        <v>45</v>
      </c>
      <c r="D2852" t="s">
        <v>21</v>
      </c>
      <c r="E2852">
        <v>0.244897</v>
      </c>
    </row>
    <row r="2853" spans="1:5" hidden="1" x14ac:dyDescent="0.3">
      <c r="A2853">
        <v>69</v>
      </c>
      <c r="B2853">
        <v>445000</v>
      </c>
      <c r="C2853" t="s">
        <v>45</v>
      </c>
      <c r="D2853" t="s">
        <v>22</v>
      </c>
      <c r="E2853">
        <v>504.15270400000003</v>
      </c>
    </row>
    <row r="2854" spans="1:5" hidden="1" x14ac:dyDescent="0.3">
      <c r="A2854">
        <v>69</v>
      </c>
      <c r="B2854">
        <v>445000</v>
      </c>
      <c r="C2854" t="s">
        <v>45</v>
      </c>
      <c r="D2854" t="s">
        <v>23</v>
      </c>
      <c r="E2854">
        <v>4444.450452</v>
      </c>
    </row>
    <row r="2855" spans="1:5" hidden="1" x14ac:dyDescent="0.3">
      <c r="A2855">
        <v>69</v>
      </c>
      <c r="B2855">
        <v>445000</v>
      </c>
      <c r="C2855" t="s">
        <v>45</v>
      </c>
      <c r="D2855" t="s">
        <v>24</v>
      </c>
      <c r="E2855">
        <v>9.9492890000000003</v>
      </c>
    </row>
    <row r="2856" spans="1:5" hidden="1" x14ac:dyDescent="0.3">
      <c r="A2856">
        <v>69</v>
      </c>
      <c r="B2856">
        <v>445000</v>
      </c>
      <c r="C2856" t="s">
        <v>45</v>
      </c>
      <c r="D2856" t="s">
        <v>25</v>
      </c>
      <c r="E2856">
        <v>2944.448077</v>
      </c>
    </row>
    <row r="2857" spans="1:5" hidden="1" x14ac:dyDescent="0.3">
      <c r="A2857">
        <v>69</v>
      </c>
      <c r="B2857">
        <v>445000</v>
      </c>
      <c r="C2857" t="s">
        <v>45</v>
      </c>
      <c r="D2857" t="s">
        <v>26</v>
      </c>
      <c r="E2857">
        <v>0.39543899999999998</v>
      </c>
    </row>
    <row r="2858" spans="1:5" hidden="1" x14ac:dyDescent="0.3">
      <c r="A2858">
        <v>70</v>
      </c>
      <c r="B2858">
        <v>450000</v>
      </c>
      <c r="C2858" t="s">
        <v>45</v>
      </c>
      <c r="D2858" t="s">
        <v>6</v>
      </c>
      <c r="E2858">
        <v>0.238285</v>
      </c>
    </row>
    <row r="2859" spans="1:5" hidden="1" x14ac:dyDescent="0.3">
      <c r="A2859">
        <v>70</v>
      </c>
      <c r="B2859">
        <v>450000</v>
      </c>
      <c r="C2859" t="s">
        <v>45</v>
      </c>
      <c r="D2859" t="s">
        <v>7</v>
      </c>
      <c r="E2859">
        <v>53000.000519000001</v>
      </c>
    </row>
    <row r="2860" spans="1:5" hidden="1" x14ac:dyDescent="0.3">
      <c r="A2860">
        <v>70</v>
      </c>
      <c r="B2860">
        <v>450000</v>
      </c>
      <c r="C2860" t="s">
        <v>45</v>
      </c>
      <c r="D2860" t="s">
        <v>8</v>
      </c>
      <c r="E2860">
        <v>388.88861300000002</v>
      </c>
    </row>
    <row r="2861" spans="1:5" hidden="1" x14ac:dyDescent="0.3">
      <c r="A2861">
        <v>70</v>
      </c>
      <c r="B2861">
        <v>450000</v>
      </c>
      <c r="C2861" t="s">
        <v>45</v>
      </c>
      <c r="D2861" t="s">
        <v>9</v>
      </c>
      <c r="E2861">
        <v>120840.167089</v>
      </c>
    </row>
    <row r="2862" spans="1:5" hidden="1" x14ac:dyDescent="0.3">
      <c r="A2862">
        <v>70</v>
      </c>
      <c r="B2862">
        <v>450000</v>
      </c>
      <c r="C2862" t="s">
        <v>45</v>
      </c>
      <c r="D2862" t="s">
        <v>10</v>
      </c>
      <c r="E2862">
        <v>77022.388944999999</v>
      </c>
    </row>
    <row r="2863" spans="1:5" hidden="1" x14ac:dyDescent="0.3">
      <c r="A2863">
        <v>70</v>
      </c>
      <c r="B2863">
        <v>450000</v>
      </c>
      <c r="C2863" t="s">
        <v>45</v>
      </c>
      <c r="D2863" t="s">
        <v>11</v>
      </c>
      <c r="E2863">
        <v>34138.889366000003</v>
      </c>
    </row>
    <row r="2864" spans="1:5" hidden="1" x14ac:dyDescent="0.3">
      <c r="A2864">
        <v>70</v>
      </c>
      <c r="B2864">
        <v>450000</v>
      </c>
      <c r="C2864" t="s">
        <v>45</v>
      </c>
      <c r="D2864" t="s">
        <v>12</v>
      </c>
      <c r="E2864">
        <v>44388.889362000002</v>
      </c>
    </row>
    <row r="2865" spans="1:5" hidden="1" x14ac:dyDescent="0.3">
      <c r="A2865">
        <v>70</v>
      </c>
      <c r="B2865">
        <v>450000</v>
      </c>
      <c r="C2865" t="s">
        <v>45</v>
      </c>
      <c r="D2865" t="s">
        <v>13</v>
      </c>
      <c r="E2865">
        <v>35431.344958000001</v>
      </c>
    </row>
    <row r="2866" spans="1:5" hidden="1" x14ac:dyDescent="0.3">
      <c r="A2866">
        <v>70</v>
      </c>
      <c r="B2866">
        <v>450000</v>
      </c>
      <c r="C2866" t="s">
        <v>45</v>
      </c>
      <c r="D2866" t="s">
        <v>14</v>
      </c>
      <c r="E2866">
        <v>12472.222739999999</v>
      </c>
    </row>
    <row r="2867" spans="1:5" hidden="1" x14ac:dyDescent="0.3">
      <c r="A2867">
        <v>70</v>
      </c>
      <c r="B2867">
        <v>450000</v>
      </c>
      <c r="C2867" t="s">
        <v>45</v>
      </c>
      <c r="D2867" t="s">
        <v>15</v>
      </c>
      <c r="E2867">
        <v>0.49402800000000002</v>
      </c>
    </row>
    <row r="2868" spans="1:5" hidden="1" x14ac:dyDescent="0.3">
      <c r="A2868">
        <v>70</v>
      </c>
      <c r="B2868">
        <v>450000</v>
      </c>
      <c r="C2868" t="s">
        <v>45</v>
      </c>
      <c r="D2868" t="s">
        <v>16</v>
      </c>
      <c r="E2868">
        <v>40333.000562000001</v>
      </c>
    </row>
    <row r="2869" spans="1:5" hidden="1" x14ac:dyDescent="0.3">
      <c r="A2869">
        <v>70</v>
      </c>
      <c r="B2869">
        <v>450000</v>
      </c>
      <c r="C2869" t="s">
        <v>45</v>
      </c>
      <c r="D2869" t="s">
        <v>17</v>
      </c>
      <c r="E2869">
        <v>7.4371000000000007E-2</v>
      </c>
    </row>
    <row r="2870" spans="1:5" hidden="1" x14ac:dyDescent="0.3">
      <c r="A2870">
        <v>70</v>
      </c>
      <c r="B2870">
        <v>450000</v>
      </c>
      <c r="C2870" t="s">
        <v>45</v>
      </c>
      <c r="D2870" t="s">
        <v>18</v>
      </c>
      <c r="E2870">
        <v>88.833845999999994</v>
      </c>
    </row>
    <row r="2871" spans="1:5" hidden="1" x14ac:dyDescent="0.3">
      <c r="A2871">
        <v>70</v>
      </c>
      <c r="B2871">
        <v>450000</v>
      </c>
      <c r="C2871" t="s">
        <v>45</v>
      </c>
      <c r="D2871" t="s">
        <v>19</v>
      </c>
      <c r="E2871">
        <v>8833.3338779999995</v>
      </c>
    </row>
    <row r="2872" spans="1:5" hidden="1" x14ac:dyDescent="0.3">
      <c r="A2872">
        <v>70</v>
      </c>
      <c r="B2872">
        <v>450000</v>
      </c>
      <c r="C2872" t="s">
        <v>45</v>
      </c>
      <c r="D2872" t="s">
        <v>20</v>
      </c>
      <c r="E2872">
        <v>15166.667216</v>
      </c>
    </row>
    <row r="2873" spans="1:5" hidden="1" x14ac:dyDescent="0.3">
      <c r="A2873">
        <v>70</v>
      </c>
      <c r="B2873">
        <v>450000</v>
      </c>
      <c r="C2873" t="s">
        <v>45</v>
      </c>
      <c r="D2873" t="s">
        <v>21</v>
      </c>
      <c r="E2873">
        <v>2.6799E-2</v>
      </c>
    </row>
    <row r="2874" spans="1:5" hidden="1" x14ac:dyDescent="0.3">
      <c r="A2874">
        <v>70</v>
      </c>
      <c r="B2874">
        <v>450000</v>
      </c>
      <c r="C2874" t="s">
        <v>45</v>
      </c>
      <c r="D2874" t="s">
        <v>22</v>
      </c>
      <c r="E2874">
        <v>504.147762</v>
      </c>
    </row>
    <row r="2875" spans="1:5" hidden="1" x14ac:dyDescent="0.3">
      <c r="A2875">
        <v>70</v>
      </c>
      <c r="B2875">
        <v>450000</v>
      </c>
      <c r="C2875" t="s">
        <v>45</v>
      </c>
      <c r="D2875" t="s">
        <v>23</v>
      </c>
      <c r="E2875">
        <v>4444.4450319999996</v>
      </c>
    </row>
    <row r="2876" spans="1:5" hidden="1" x14ac:dyDescent="0.3">
      <c r="A2876">
        <v>70</v>
      </c>
      <c r="B2876">
        <v>450000</v>
      </c>
      <c r="C2876" t="s">
        <v>45</v>
      </c>
      <c r="D2876" t="s">
        <v>24</v>
      </c>
      <c r="E2876">
        <v>1.472235</v>
      </c>
    </row>
    <row r="2877" spans="1:5" hidden="1" x14ac:dyDescent="0.3">
      <c r="A2877">
        <v>70</v>
      </c>
      <c r="B2877">
        <v>450000</v>
      </c>
      <c r="C2877" t="s">
        <v>45</v>
      </c>
      <c r="D2877" t="s">
        <v>25</v>
      </c>
      <c r="E2877">
        <v>2944.4447850000001</v>
      </c>
    </row>
    <row r="2878" spans="1:5" hidden="1" x14ac:dyDescent="0.3">
      <c r="A2878">
        <v>70</v>
      </c>
      <c r="B2878">
        <v>450000</v>
      </c>
      <c r="C2878" t="s">
        <v>45</v>
      </c>
      <c r="D2878" t="s">
        <v>26</v>
      </c>
      <c r="E2878">
        <v>4.3706000000000002E-2</v>
      </c>
    </row>
    <row r="2879" spans="1:5" hidden="1" x14ac:dyDescent="0.3">
      <c r="A2879">
        <v>71</v>
      </c>
      <c r="B2879">
        <v>455000</v>
      </c>
      <c r="C2879" t="s">
        <v>45</v>
      </c>
      <c r="D2879" t="s">
        <v>6</v>
      </c>
      <c r="E2879">
        <v>0.88313799999999998</v>
      </c>
    </row>
    <row r="2880" spans="1:5" hidden="1" x14ac:dyDescent="0.3">
      <c r="A2880">
        <v>71</v>
      </c>
      <c r="B2880">
        <v>455000</v>
      </c>
      <c r="C2880" t="s">
        <v>45</v>
      </c>
      <c r="D2880" t="s">
        <v>7</v>
      </c>
      <c r="E2880">
        <v>53000.001277000003</v>
      </c>
    </row>
    <row r="2881" spans="1:5" hidden="1" x14ac:dyDescent="0.3">
      <c r="A2881">
        <v>71</v>
      </c>
      <c r="B2881">
        <v>455000</v>
      </c>
      <c r="C2881" t="s">
        <v>45</v>
      </c>
      <c r="D2881" t="s">
        <v>8</v>
      </c>
      <c r="E2881">
        <v>388.88764400000002</v>
      </c>
    </row>
    <row r="2882" spans="1:5" hidden="1" x14ac:dyDescent="0.3">
      <c r="A2882">
        <v>71</v>
      </c>
      <c r="B2882">
        <v>455000</v>
      </c>
      <c r="C2882" t="s">
        <v>45</v>
      </c>
      <c r="D2882" t="s">
        <v>9</v>
      </c>
      <c r="E2882">
        <v>120840.134968</v>
      </c>
    </row>
    <row r="2883" spans="1:5" hidden="1" x14ac:dyDescent="0.3">
      <c r="A2883">
        <v>71</v>
      </c>
      <c r="B2883">
        <v>455000</v>
      </c>
      <c r="C2883" t="s">
        <v>45</v>
      </c>
      <c r="D2883" t="s">
        <v>10</v>
      </c>
      <c r="E2883">
        <v>82015.218703000006</v>
      </c>
    </row>
    <row r="2884" spans="1:5" hidden="1" x14ac:dyDescent="0.3">
      <c r="A2884">
        <v>71</v>
      </c>
      <c r="B2884">
        <v>455000</v>
      </c>
      <c r="C2884" t="s">
        <v>45</v>
      </c>
      <c r="D2884" t="s">
        <v>11</v>
      </c>
      <c r="E2884">
        <v>34138.890028000002</v>
      </c>
    </row>
    <row r="2885" spans="1:5" hidden="1" x14ac:dyDescent="0.3">
      <c r="A2885">
        <v>71</v>
      </c>
      <c r="B2885">
        <v>455000</v>
      </c>
      <c r="C2885" t="s">
        <v>45</v>
      </c>
      <c r="D2885" t="s">
        <v>12</v>
      </c>
      <c r="E2885">
        <v>44388.890026000001</v>
      </c>
    </row>
    <row r="2886" spans="1:5" hidden="1" x14ac:dyDescent="0.3">
      <c r="A2886">
        <v>71</v>
      </c>
      <c r="B2886">
        <v>455000</v>
      </c>
      <c r="C2886" t="s">
        <v>45</v>
      </c>
      <c r="D2886" t="s">
        <v>13</v>
      </c>
      <c r="E2886">
        <v>35431.345728</v>
      </c>
    </row>
    <row r="2887" spans="1:5" hidden="1" x14ac:dyDescent="0.3">
      <c r="A2887">
        <v>71</v>
      </c>
      <c r="B2887">
        <v>455000</v>
      </c>
      <c r="C2887" t="s">
        <v>45</v>
      </c>
      <c r="D2887" t="s">
        <v>14</v>
      </c>
      <c r="E2887">
        <v>12472.223457</v>
      </c>
    </row>
    <row r="2888" spans="1:5" hidden="1" x14ac:dyDescent="0.3">
      <c r="A2888">
        <v>71</v>
      </c>
      <c r="B2888">
        <v>455000</v>
      </c>
      <c r="C2888" t="s">
        <v>45</v>
      </c>
      <c r="D2888" t="s">
        <v>15</v>
      </c>
      <c r="E2888">
        <v>2.072362</v>
      </c>
    </row>
    <row r="2889" spans="1:5" hidden="1" x14ac:dyDescent="0.3">
      <c r="A2889">
        <v>71</v>
      </c>
      <c r="B2889">
        <v>455000</v>
      </c>
      <c r="C2889" t="s">
        <v>45</v>
      </c>
      <c r="D2889" t="s">
        <v>16</v>
      </c>
      <c r="E2889">
        <v>40333.001848</v>
      </c>
    </row>
    <row r="2890" spans="1:5" hidden="1" x14ac:dyDescent="0.3">
      <c r="A2890">
        <v>71</v>
      </c>
      <c r="B2890">
        <v>455000</v>
      </c>
      <c r="C2890" t="s">
        <v>45</v>
      </c>
      <c r="D2890" t="s">
        <v>17</v>
      </c>
      <c r="E2890">
        <v>0.36606499999999997</v>
      </c>
    </row>
    <row r="2891" spans="1:5" hidden="1" x14ac:dyDescent="0.3">
      <c r="A2891">
        <v>71</v>
      </c>
      <c r="B2891">
        <v>455000</v>
      </c>
      <c r="C2891" t="s">
        <v>45</v>
      </c>
      <c r="D2891" t="s">
        <v>18</v>
      </c>
      <c r="E2891">
        <v>88.834698000000003</v>
      </c>
    </row>
    <row r="2892" spans="1:5" hidden="1" x14ac:dyDescent="0.3">
      <c r="A2892">
        <v>71</v>
      </c>
      <c r="B2892">
        <v>455000</v>
      </c>
      <c r="C2892" t="s">
        <v>45</v>
      </c>
      <c r="D2892" t="s">
        <v>19</v>
      </c>
      <c r="E2892">
        <v>8833.3346619999993</v>
      </c>
    </row>
    <row r="2893" spans="1:5" hidden="1" x14ac:dyDescent="0.3">
      <c r="A2893">
        <v>71</v>
      </c>
      <c r="B2893">
        <v>455000</v>
      </c>
      <c r="C2893" t="s">
        <v>45</v>
      </c>
      <c r="D2893" t="s">
        <v>20</v>
      </c>
      <c r="E2893">
        <v>15166.668062000001</v>
      </c>
    </row>
    <row r="2894" spans="1:5" hidden="1" x14ac:dyDescent="0.3">
      <c r="A2894">
        <v>71</v>
      </c>
      <c r="B2894">
        <v>455000</v>
      </c>
      <c r="C2894" t="s">
        <v>45</v>
      </c>
      <c r="D2894" t="s">
        <v>21</v>
      </c>
      <c r="E2894">
        <v>0.119032</v>
      </c>
    </row>
    <row r="2895" spans="1:5" hidden="1" x14ac:dyDescent="0.3">
      <c r="A2895">
        <v>71</v>
      </c>
      <c r="B2895">
        <v>455000</v>
      </c>
      <c r="C2895" t="s">
        <v>45</v>
      </c>
      <c r="D2895" t="s">
        <v>22</v>
      </c>
      <c r="E2895">
        <v>504.14856600000002</v>
      </c>
    </row>
    <row r="2896" spans="1:5" hidden="1" x14ac:dyDescent="0.3">
      <c r="A2896">
        <v>71</v>
      </c>
      <c r="B2896">
        <v>455000</v>
      </c>
      <c r="C2896" t="s">
        <v>45</v>
      </c>
      <c r="D2896" t="s">
        <v>23</v>
      </c>
      <c r="E2896">
        <v>4444.4459749999996</v>
      </c>
    </row>
    <row r="2897" spans="1:5" hidden="1" x14ac:dyDescent="0.3">
      <c r="A2897">
        <v>71</v>
      </c>
      <c r="B2897">
        <v>455000</v>
      </c>
      <c r="C2897" t="s">
        <v>45</v>
      </c>
      <c r="D2897" t="s">
        <v>24</v>
      </c>
      <c r="E2897">
        <v>5.9477909999999996</v>
      </c>
    </row>
    <row r="2898" spans="1:5" hidden="1" x14ac:dyDescent="0.3">
      <c r="A2898">
        <v>71</v>
      </c>
      <c r="B2898">
        <v>455000</v>
      </c>
      <c r="C2898" t="s">
        <v>45</v>
      </c>
      <c r="D2898" t="s">
        <v>25</v>
      </c>
      <c r="E2898">
        <v>2944.4448870000001</v>
      </c>
    </row>
    <row r="2899" spans="1:5" hidden="1" x14ac:dyDescent="0.3">
      <c r="A2899">
        <v>71</v>
      </c>
      <c r="B2899">
        <v>455000</v>
      </c>
      <c r="C2899" t="s">
        <v>45</v>
      </c>
      <c r="D2899" t="s">
        <v>26</v>
      </c>
      <c r="E2899">
        <v>0.18032000000000001</v>
      </c>
    </row>
    <row r="2900" spans="1:5" hidden="1" x14ac:dyDescent="0.3">
      <c r="A2900">
        <v>72</v>
      </c>
      <c r="B2900">
        <v>460000</v>
      </c>
      <c r="C2900" t="s">
        <v>45</v>
      </c>
      <c r="D2900" t="s">
        <v>6</v>
      </c>
      <c r="E2900">
        <v>1.069008</v>
      </c>
    </row>
    <row r="2901" spans="1:5" hidden="1" x14ac:dyDescent="0.3">
      <c r="A2901">
        <v>72</v>
      </c>
      <c r="B2901">
        <v>460000</v>
      </c>
      <c r="C2901" t="s">
        <v>45</v>
      </c>
      <c r="D2901" t="s">
        <v>7</v>
      </c>
      <c r="E2901">
        <v>53000.002713000002</v>
      </c>
    </row>
    <row r="2902" spans="1:5" hidden="1" x14ac:dyDescent="0.3">
      <c r="A2902">
        <v>72</v>
      </c>
      <c r="B2902">
        <v>460000</v>
      </c>
      <c r="C2902" t="s">
        <v>45</v>
      </c>
      <c r="D2902" t="s">
        <v>8</v>
      </c>
      <c r="E2902">
        <v>388.88664299999999</v>
      </c>
    </row>
    <row r="2903" spans="1:5" hidden="1" x14ac:dyDescent="0.3">
      <c r="A2903">
        <v>72</v>
      </c>
      <c r="B2903">
        <v>460000</v>
      </c>
      <c r="C2903" t="s">
        <v>45</v>
      </c>
      <c r="D2903" t="s">
        <v>9</v>
      </c>
      <c r="E2903">
        <v>120840.081479</v>
      </c>
    </row>
    <row r="2904" spans="1:5" hidden="1" x14ac:dyDescent="0.3">
      <c r="A2904">
        <v>72</v>
      </c>
      <c r="B2904">
        <v>460000</v>
      </c>
      <c r="C2904" t="s">
        <v>45</v>
      </c>
      <c r="D2904" t="s">
        <v>10</v>
      </c>
      <c r="E2904">
        <v>87000.335496999993</v>
      </c>
    </row>
    <row r="2905" spans="1:5" hidden="1" x14ac:dyDescent="0.3">
      <c r="A2905">
        <v>72</v>
      </c>
      <c r="B2905">
        <v>460000</v>
      </c>
      <c r="C2905" t="s">
        <v>45</v>
      </c>
      <c r="D2905" t="s">
        <v>11</v>
      </c>
      <c r="E2905">
        <v>34138.891337000001</v>
      </c>
    </row>
    <row r="2906" spans="1:5" hidden="1" x14ac:dyDescent="0.3">
      <c r="A2906">
        <v>72</v>
      </c>
      <c r="B2906">
        <v>460000</v>
      </c>
      <c r="C2906" t="s">
        <v>45</v>
      </c>
      <c r="D2906" t="s">
        <v>12</v>
      </c>
      <c r="E2906">
        <v>44388.891323999997</v>
      </c>
    </row>
    <row r="2907" spans="1:5" hidden="1" x14ac:dyDescent="0.3">
      <c r="A2907">
        <v>72</v>
      </c>
      <c r="B2907">
        <v>460000</v>
      </c>
      <c r="C2907" t="s">
        <v>45</v>
      </c>
      <c r="D2907" t="s">
        <v>13</v>
      </c>
      <c r="E2907">
        <v>35431.347136999997</v>
      </c>
    </row>
    <row r="2908" spans="1:5" hidden="1" x14ac:dyDescent="0.3">
      <c r="A2908">
        <v>72</v>
      </c>
      <c r="B2908">
        <v>460000</v>
      </c>
      <c r="C2908" t="s">
        <v>45</v>
      </c>
      <c r="D2908" t="s">
        <v>14</v>
      </c>
      <c r="E2908">
        <v>12472.224909</v>
      </c>
    </row>
    <row r="2909" spans="1:5" hidden="1" x14ac:dyDescent="0.3">
      <c r="A2909">
        <v>72</v>
      </c>
      <c r="B2909">
        <v>460000</v>
      </c>
      <c r="C2909" t="s">
        <v>45</v>
      </c>
      <c r="D2909" t="s">
        <v>15</v>
      </c>
      <c r="E2909">
        <v>4.3269070000000003</v>
      </c>
    </row>
    <row r="2910" spans="1:5" hidden="1" x14ac:dyDescent="0.3">
      <c r="A2910">
        <v>72</v>
      </c>
      <c r="B2910">
        <v>460000</v>
      </c>
      <c r="C2910" t="s">
        <v>45</v>
      </c>
      <c r="D2910" t="s">
        <v>16</v>
      </c>
      <c r="E2910">
        <v>40333.002961999999</v>
      </c>
    </row>
    <row r="2911" spans="1:5" hidden="1" x14ac:dyDescent="0.3">
      <c r="A2911">
        <v>72</v>
      </c>
      <c r="B2911">
        <v>460000</v>
      </c>
      <c r="C2911" t="s">
        <v>45</v>
      </c>
      <c r="D2911" t="s">
        <v>17</v>
      </c>
      <c r="E2911">
        <v>0.58381899999999998</v>
      </c>
    </row>
    <row r="2912" spans="1:5" hidden="1" x14ac:dyDescent="0.3">
      <c r="A2912">
        <v>72</v>
      </c>
      <c r="B2912">
        <v>460000</v>
      </c>
      <c r="C2912" t="s">
        <v>45</v>
      </c>
      <c r="D2912" t="s">
        <v>18</v>
      </c>
      <c r="E2912">
        <v>88.836108999999993</v>
      </c>
    </row>
    <row r="2913" spans="1:5" hidden="1" x14ac:dyDescent="0.3">
      <c r="A2913">
        <v>72</v>
      </c>
      <c r="B2913">
        <v>460000</v>
      </c>
      <c r="C2913" t="s">
        <v>45</v>
      </c>
      <c r="D2913" t="s">
        <v>19</v>
      </c>
      <c r="E2913">
        <v>8833.3362020000004</v>
      </c>
    </row>
    <row r="2914" spans="1:5" hidden="1" x14ac:dyDescent="0.3">
      <c r="A2914">
        <v>72</v>
      </c>
      <c r="B2914">
        <v>460000</v>
      </c>
      <c r="C2914" t="s">
        <v>45</v>
      </c>
      <c r="D2914" t="s">
        <v>20</v>
      </c>
      <c r="E2914">
        <v>15166.669582</v>
      </c>
    </row>
    <row r="2915" spans="1:5" hidden="1" x14ac:dyDescent="0.3">
      <c r="A2915">
        <v>72</v>
      </c>
      <c r="B2915">
        <v>460000</v>
      </c>
      <c r="C2915" t="s">
        <v>45</v>
      </c>
      <c r="D2915" t="s">
        <v>21</v>
      </c>
      <c r="E2915">
        <v>0.19516900000000001</v>
      </c>
    </row>
    <row r="2916" spans="1:5" hidden="1" x14ac:dyDescent="0.3">
      <c r="A2916">
        <v>72</v>
      </c>
      <c r="B2916">
        <v>460000</v>
      </c>
      <c r="C2916" t="s">
        <v>45</v>
      </c>
      <c r="D2916" t="s">
        <v>22</v>
      </c>
      <c r="E2916">
        <v>504.15006899999997</v>
      </c>
    </row>
    <row r="2917" spans="1:5" hidden="1" x14ac:dyDescent="0.3">
      <c r="A2917">
        <v>72</v>
      </c>
      <c r="B2917">
        <v>460000</v>
      </c>
      <c r="C2917" t="s">
        <v>45</v>
      </c>
      <c r="D2917" t="s">
        <v>23</v>
      </c>
      <c r="E2917">
        <v>4444.4476260000001</v>
      </c>
    </row>
    <row r="2918" spans="1:5" hidden="1" x14ac:dyDescent="0.3">
      <c r="A2918">
        <v>72</v>
      </c>
      <c r="B2918">
        <v>460000</v>
      </c>
      <c r="C2918" t="s">
        <v>45</v>
      </c>
      <c r="D2918" t="s">
        <v>24</v>
      </c>
      <c r="E2918">
        <v>18.043697000000002</v>
      </c>
    </row>
    <row r="2919" spans="1:5" hidden="1" x14ac:dyDescent="0.3">
      <c r="A2919">
        <v>72</v>
      </c>
      <c r="B2919">
        <v>460000</v>
      </c>
      <c r="C2919" t="s">
        <v>45</v>
      </c>
      <c r="D2919" t="s">
        <v>25</v>
      </c>
      <c r="E2919">
        <v>2944.4458279999999</v>
      </c>
    </row>
    <row r="2920" spans="1:5" hidden="1" x14ac:dyDescent="0.3">
      <c r="A2920">
        <v>72</v>
      </c>
      <c r="B2920">
        <v>460000</v>
      </c>
      <c r="C2920" t="s">
        <v>45</v>
      </c>
      <c r="D2920" t="s">
        <v>26</v>
      </c>
      <c r="E2920">
        <v>0.310502</v>
      </c>
    </row>
    <row r="2921" spans="1:5" hidden="1" x14ac:dyDescent="0.3">
      <c r="A2921">
        <v>73</v>
      </c>
      <c r="B2921">
        <v>465000</v>
      </c>
      <c r="C2921" t="s">
        <v>45</v>
      </c>
      <c r="D2921" t="s">
        <v>6</v>
      </c>
      <c r="E2921">
        <v>1.157362</v>
      </c>
    </row>
    <row r="2922" spans="1:5" hidden="1" x14ac:dyDescent="0.3">
      <c r="A2922">
        <v>73</v>
      </c>
      <c r="B2922">
        <v>465000</v>
      </c>
      <c r="C2922" t="s">
        <v>45</v>
      </c>
      <c r="D2922" t="s">
        <v>7</v>
      </c>
      <c r="E2922">
        <v>53000.000470999999</v>
      </c>
    </row>
    <row r="2923" spans="1:5" hidden="1" x14ac:dyDescent="0.3">
      <c r="A2923">
        <v>73</v>
      </c>
      <c r="B2923">
        <v>465000</v>
      </c>
      <c r="C2923" t="s">
        <v>45</v>
      </c>
      <c r="D2923" t="s">
        <v>8</v>
      </c>
      <c r="E2923">
        <v>388.88571899999999</v>
      </c>
    </row>
    <row r="2924" spans="1:5" hidden="1" x14ac:dyDescent="0.3">
      <c r="A2924">
        <v>73</v>
      </c>
      <c r="B2924">
        <v>465000</v>
      </c>
      <c r="C2924" t="s">
        <v>45</v>
      </c>
      <c r="D2924" t="s">
        <v>9</v>
      </c>
      <c r="E2924">
        <v>120840.147199</v>
      </c>
    </row>
    <row r="2925" spans="1:5" hidden="1" x14ac:dyDescent="0.3">
      <c r="A2925">
        <v>73</v>
      </c>
      <c r="B2925">
        <v>465000</v>
      </c>
      <c r="C2925" t="s">
        <v>45</v>
      </c>
      <c r="D2925" t="s">
        <v>10</v>
      </c>
      <c r="E2925">
        <v>92006.382047000006</v>
      </c>
    </row>
    <row r="2926" spans="1:5" hidden="1" x14ac:dyDescent="0.3">
      <c r="A2926">
        <v>73</v>
      </c>
      <c r="B2926">
        <v>465000</v>
      </c>
      <c r="C2926" t="s">
        <v>45</v>
      </c>
      <c r="D2926" t="s">
        <v>11</v>
      </c>
      <c r="E2926">
        <v>34138.889247999999</v>
      </c>
    </row>
    <row r="2927" spans="1:5" hidden="1" x14ac:dyDescent="0.3">
      <c r="A2927">
        <v>73</v>
      </c>
      <c r="B2927">
        <v>465000</v>
      </c>
      <c r="C2927" t="s">
        <v>45</v>
      </c>
      <c r="D2927" t="s">
        <v>12</v>
      </c>
      <c r="E2927">
        <v>44388.889244999998</v>
      </c>
    </row>
    <row r="2928" spans="1:5" hidden="1" x14ac:dyDescent="0.3">
      <c r="A2928">
        <v>73</v>
      </c>
      <c r="B2928">
        <v>465000</v>
      </c>
      <c r="C2928" t="s">
        <v>45</v>
      </c>
      <c r="D2928" t="s">
        <v>13</v>
      </c>
      <c r="E2928">
        <v>35431.344924999998</v>
      </c>
    </row>
    <row r="2929" spans="1:5" hidden="1" x14ac:dyDescent="0.3">
      <c r="A2929">
        <v>73</v>
      </c>
      <c r="B2929">
        <v>465000</v>
      </c>
      <c r="C2929" t="s">
        <v>45</v>
      </c>
      <c r="D2929" t="s">
        <v>14</v>
      </c>
      <c r="E2929">
        <v>12472.222691999999</v>
      </c>
    </row>
    <row r="2930" spans="1:5" hidden="1" x14ac:dyDescent="0.3">
      <c r="A2930">
        <v>73</v>
      </c>
      <c r="B2930">
        <v>465000</v>
      </c>
      <c r="C2930" t="s">
        <v>45</v>
      </c>
      <c r="D2930" t="s">
        <v>15</v>
      </c>
      <c r="E2930">
        <v>2.2999710000000002</v>
      </c>
    </row>
    <row r="2931" spans="1:5" hidden="1" x14ac:dyDescent="0.3">
      <c r="A2931">
        <v>73</v>
      </c>
      <c r="B2931">
        <v>465000</v>
      </c>
      <c r="C2931" t="s">
        <v>45</v>
      </c>
      <c r="D2931" t="s">
        <v>16</v>
      </c>
      <c r="E2931">
        <v>40333.000631000003</v>
      </c>
    </row>
    <row r="2932" spans="1:5" hidden="1" x14ac:dyDescent="0.3">
      <c r="A2932">
        <v>73</v>
      </c>
      <c r="B2932">
        <v>465000</v>
      </c>
      <c r="C2932" t="s">
        <v>45</v>
      </c>
      <c r="D2932" t="s">
        <v>17</v>
      </c>
      <c r="E2932">
        <v>0.36036800000000002</v>
      </c>
    </row>
    <row r="2933" spans="1:5" hidden="1" x14ac:dyDescent="0.3">
      <c r="A2933">
        <v>73</v>
      </c>
      <c r="B2933">
        <v>465000</v>
      </c>
      <c r="C2933" t="s">
        <v>45</v>
      </c>
      <c r="D2933" t="s">
        <v>18</v>
      </c>
      <c r="E2933">
        <v>88.833669999999998</v>
      </c>
    </row>
    <row r="2934" spans="1:5" hidden="1" x14ac:dyDescent="0.3">
      <c r="A2934">
        <v>73</v>
      </c>
      <c r="B2934">
        <v>465000</v>
      </c>
      <c r="C2934" t="s">
        <v>45</v>
      </c>
      <c r="D2934" t="s">
        <v>19</v>
      </c>
      <c r="E2934">
        <v>8833.3338930000009</v>
      </c>
    </row>
    <row r="2935" spans="1:5" hidden="1" x14ac:dyDescent="0.3">
      <c r="A2935">
        <v>73</v>
      </c>
      <c r="B2935">
        <v>465000</v>
      </c>
      <c r="C2935" t="s">
        <v>45</v>
      </c>
      <c r="D2935" t="s">
        <v>20</v>
      </c>
      <c r="E2935">
        <v>15166.667251000001</v>
      </c>
    </row>
    <row r="2936" spans="1:5" hidden="1" x14ac:dyDescent="0.3">
      <c r="A2936">
        <v>73</v>
      </c>
      <c r="B2936">
        <v>465000</v>
      </c>
      <c r="C2936" t="s">
        <v>45</v>
      </c>
      <c r="D2936" t="s">
        <v>21</v>
      </c>
      <c r="E2936">
        <v>9.5867999999999995E-2</v>
      </c>
    </row>
    <row r="2937" spans="1:5" hidden="1" x14ac:dyDescent="0.3">
      <c r="A2937">
        <v>73</v>
      </c>
      <c r="B2937">
        <v>465000</v>
      </c>
      <c r="C2937" t="s">
        <v>45</v>
      </c>
      <c r="D2937" t="s">
        <v>22</v>
      </c>
      <c r="E2937">
        <v>504.14772900000003</v>
      </c>
    </row>
    <row r="2938" spans="1:5" hidden="1" x14ac:dyDescent="0.3">
      <c r="A2938">
        <v>73</v>
      </c>
      <c r="B2938">
        <v>465000</v>
      </c>
      <c r="C2938" t="s">
        <v>45</v>
      </c>
      <c r="D2938" t="s">
        <v>23</v>
      </c>
      <c r="E2938">
        <v>4444.4451520000002</v>
      </c>
    </row>
    <row r="2939" spans="1:5" hidden="1" x14ac:dyDescent="0.3">
      <c r="A2939">
        <v>73</v>
      </c>
      <c r="B2939">
        <v>465000</v>
      </c>
      <c r="C2939" t="s">
        <v>45</v>
      </c>
      <c r="D2939" t="s">
        <v>24</v>
      </c>
      <c r="E2939">
        <v>14.318289</v>
      </c>
    </row>
    <row r="2940" spans="1:5" hidden="1" x14ac:dyDescent="0.3">
      <c r="A2940">
        <v>73</v>
      </c>
      <c r="B2940">
        <v>465000</v>
      </c>
      <c r="C2940" t="s">
        <v>45</v>
      </c>
      <c r="D2940" t="s">
        <v>25</v>
      </c>
      <c r="E2940">
        <v>2944.4442210000002</v>
      </c>
    </row>
    <row r="2941" spans="1:5" hidden="1" x14ac:dyDescent="0.3">
      <c r="A2941">
        <v>73</v>
      </c>
      <c r="B2941">
        <v>465000</v>
      </c>
      <c r="C2941" t="s">
        <v>45</v>
      </c>
      <c r="D2941" t="s">
        <v>26</v>
      </c>
      <c r="E2941">
        <v>0.155252</v>
      </c>
    </row>
    <row r="2942" spans="1:5" hidden="1" x14ac:dyDescent="0.3">
      <c r="A2942">
        <v>74</v>
      </c>
      <c r="B2942">
        <v>470000</v>
      </c>
      <c r="C2942" t="s">
        <v>45</v>
      </c>
      <c r="D2942" t="s">
        <v>6</v>
      </c>
      <c r="E2942">
        <v>0.34440500000000002</v>
      </c>
    </row>
    <row r="2943" spans="1:5" hidden="1" x14ac:dyDescent="0.3">
      <c r="A2943">
        <v>74</v>
      </c>
      <c r="B2943">
        <v>470000</v>
      </c>
      <c r="C2943" t="s">
        <v>45</v>
      </c>
      <c r="D2943" t="s">
        <v>7</v>
      </c>
      <c r="E2943">
        <v>53000.000512999999</v>
      </c>
    </row>
    <row r="2944" spans="1:5" hidden="1" x14ac:dyDescent="0.3">
      <c r="A2944">
        <v>74</v>
      </c>
      <c r="B2944">
        <v>470000</v>
      </c>
      <c r="C2944" t="s">
        <v>45</v>
      </c>
      <c r="D2944" t="s">
        <v>8</v>
      </c>
      <c r="E2944">
        <v>388.88787400000001</v>
      </c>
    </row>
    <row r="2945" spans="1:5" hidden="1" x14ac:dyDescent="0.3">
      <c r="A2945">
        <v>74</v>
      </c>
      <c r="B2945">
        <v>470000</v>
      </c>
      <c r="C2945" t="s">
        <v>45</v>
      </c>
      <c r="D2945" t="s">
        <v>9</v>
      </c>
      <c r="E2945">
        <v>120840.166684</v>
      </c>
    </row>
    <row r="2946" spans="1:5" hidden="1" x14ac:dyDescent="0.3">
      <c r="A2946">
        <v>74</v>
      </c>
      <c r="B2946">
        <v>470000</v>
      </c>
      <c r="C2946" t="s">
        <v>45</v>
      </c>
      <c r="D2946" t="s">
        <v>10</v>
      </c>
      <c r="E2946">
        <v>92999.410520000005</v>
      </c>
    </row>
    <row r="2947" spans="1:5" hidden="1" x14ac:dyDescent="0.3">
      <c r="A2947">
        <v>74</v>
      </c>
      <c r="B2947">
        <v>470000</v>
      </c>
      <c r="C2947" t="s">
        <v>45</v>
      </c>
      <c r="D2947" t="s">
        <v>11</v>
      </c>
      <c r="E2947">
        <v>34138.889324999996</v>
      </c>
    </row>
    <row r="2948" spans="1:5" hidden="1" x14ac:dyDescent="0.3">
      <c r="A2948">
        <v>74</v>
      </c>
      <c r="B2948">
        <v>470000</v>
      </c>
      <c r="C2948" t="s">
        <v>45</v>
      </c>
      <c r="D2948" t="s">
        <v>12</v>
      </c>
      <c r="E2948">
        <v>44388.889329999998</v>
      </c>
    </row>
    <row r="2949" spans="1:5" hidden="1" x14ac:dyDescent="0.3">
      <c r="A2949">
        <v>74</v>
      </c>
      <c r="B2949">
        <v>470000</v>
      </c>
      <c r="C2949" t="s">
        <v>45</v>
      </c>
      <c r="D2949" t="s">
        <v>13</v>
      </c>
      <c r="E2949">
        <v>35431.344946999998</v>
      </c>
    </row>
    <row r="2950" spans="1:5" hidden="1" x14ac:dyDescent="0.3">
      <c r="A2950">
        <v>74</v>
      </c>
      <c r="B2950">
        <v>470000</v>
      </c>
      <c r="C2950" t="s">
        <v>45</v>
      </c>
      <c r="D2950" t="s">
        <v>14</v>
      </c>
      <c r="E2950">
        <v>12472.22271</v>
      </c>
    </row>
    <row r="2951" spans="1:5" hidden="1" x14ac:dyDescent="0.3">
      <c r="A2951">
        <v>74</v>
      </c>
      <c r="B2951">
        <v>470000</v>
      </c>
      <c r="C2951" t="s">
        <v>45</v>
      </c>
      <c r="D2951" t="s">
        <v>15</v>
      </c>
      <c r="E2951">
        <v>1.497865</v>
      </c>
    </row>
    <row r="2952" spans="1:5" hidden="1" x14ac:dyDescent="0.3">
      <c r="A2952">
        <v>74</v>
      </c>
      <c r="B2952">
        <v>470000</v>
      </c>
      <c r="C2952" t="s">
        <v>45</v>
      </c>
      <c r="D2952" t="s">
        <v>16</v>
      </c>
      <c r="E2952">
        <v>40333.000574999998</v>
      </c>
    </row>
    <row r="2953" spans="1:5" hidden="1" x14ac:dyDescent="0.3">
      <c r="A2953">
        <v>74</v>
      </c>
      <c r="B2953">
        <v>470000</v>
      </c>
      <c r="C2953" t="s">
        <v>45</v>
      </c>
      <c r="D2953" t="s">
        <v>17</v>
      </c>
      <c r="E2953">
        <v>0.18234700000000001</v>
      </c>
    </row>
    <row r="2954" spans="1:5" hidden="1" x14ac:dyDescent="0.3">
      <c r="A2954">
        <v>74</v>
      </c>
      <c r="B2954">
        <v>470000</v>
      </c>
      <c r="C2954" t="s">
        <v>45</v>
      </c>
      <c r="D2954" t="s">
        <v>18</v>
      </c>
      <c r="E2954">
        <v>88.833813000000006</v>
      </c>
    </row>
    <row r="2955" spans="1:5" hidden="1" x14ac:dyDescent="0.3">
      <c r="A2955">
        <v>74</v>
      </c>
      <c r="B2955">
        <v>470000</v>
      </c>
      <c r="C2955" t="s">
        <v>45</v>
      </c>
      <c r="D2955" t="s">
        <v>19</v>
      </c>
      <c r="E2955">
        <v>8833.333869</v>
      </c>
    </row>
    <row r="2956" spans="1:5" hidden="1" x14ac:dyDescent="0.3">
      <c r="A2956">
        <v>74</v>
      </c>
      <c r="B2956">
        <v>470000</v>
      </c>
      <c r="C2956" t="s">
        <v>45</v>
      </c>
      <c r="D2956" t="s">
        <v>20</v>
      </c>
      <c r="E2956">
        <v>15166.667219999999</v>
      </c>
    </row>
    <row r="2957" spans="1:5" hidden="1" x14ac:dyDescent="0.3">
      <c r="A2957">
        <v>74</v>
      </c>
      <c r="B2957">
        <v>470000</v>
      </c>
      <c r="C2957" t="s">
        <v>45</v>
      </c>
      <c r="D2957" t="s">
        <v>21</v>
      </c>
      <c r="E2957">
        <v>5.6640999999999997E-2</v>
      </c>
    </row>
    <row r="2958" spans="1:5" hidden="1" x14ac:dyDescent="0.3">
      <c r="A2958">
        <v>74</v>
      </c>
      <c r="B2958">
        <v>470000</v>
      </c>
      <c r="C2958" t="s">
        <v>45</v>
      </c>
      <c r="D2958" t="s">
        <v>22</v>
      </c>
      <c r="E2958">
        <v>504.14774999999997</v>
      </c>
    </row>
    <row r="2959" spans="1:5" hidden="1" x14ac:dyDescent="0.3">
      <c r="A2959">
        <v>74</v>
      </c>
      <c r="B2959">
        <v>470000</v>
      </c>
      <c r="C2959" t="s">
        <v>45</v>
      </c>
      <c r="D2959" t="s">
        <v>23</v>
      </c>
      <c r="E2959">
        <v>4444.4450649999999</v>
      </c>
    </row>
    <row r="2960" spans="1:5" hidden="1" x14ac:dyDescent="0.3">
      <c r="A2960">
        <v>74</v>
      </c>
      <c r="B2960">
        <v>470000</v>
      </c>
      <c r="C2960" t="s">
        <v>45</v>
      </c>
      <c r="D2960" t="s">
        <v>24</v>
      </c>
      <c r="E2960">
        <v>4023.1611029999999</v>
      </c>
    </row>
    <row r="2961" spans="1:5" hidden="1" x14ac:dyDescent="0.3">
      <c r="A2961">
        <v>74</v>
      </c>
      <c r="B2961">
        <v>470000</v>
      </c>
      <c r="C2961" t="s">
        <v>45</v>
      </c>
      <c r="D2961" t="s">
        <v>25</v>
      </c>
      <c r="E2961">
        <v>2944.4445759999999</v>
      </c>
    </row>
    <row r="2962" spans="1:5" hidden="1" x14ac:dyDescent="0.3">
      <c r="A2962">
        <v>74</v>
      </c>
      <c r="B2962">
        <v>470000</v>
      </c>
      <c r="C2962" t="s">
        <v>45</v>
      </c>
      <c r="D2962" t="s">
        <v>26</v>
      </c>
      <c r="E2962">
        <v>8.8998999999999995E-2</v>
      </c>
    </row>
    <row r="2963" spans="1:5" hidden="1" x14ac:dyDescent="0.3">
      <c r="A2963">
        <v>75</v>
      </c>
      <c r="B2963">
        <v>475000</v>
      </c>
      <c r="C2963" t="s">
        <v>45</v>
      </c>
      <c r="D2963" t="s">
        <v>6</v>
      </c>
      <c r="E2963">
        <v>1.8127850000000001</v>
      </c>
    </row>
    <row r="2964" spans="1:5" hidden="1" x14ac:dyDescent="0.3">
      <c r="A2964">
        <v>75</v>
      </c>
      <c r="B2964">
        <v>475000</v>
      </c>
      <c r="C2964" t="s">
        <v>45</v>
      </c>
      <c r="D2964" t="s">
        <v>7</v>
      </c>
      <c r="E2964">
        <v>53000.003349999999</v>
      </c>
    </row>
    <row r="2965" spans="1:5" hidden="1" x14ac:dyDescent="0.3">
      <c r="A2965">
        <v>75</v>
      </c>
      <c r="B2965">
        <v>475000</v>
      </c>
      <c r="C2965" t="s">
        <v>45</v>
      </c>
      <c r="D2965" t="s">
        <v>8</v>
      </c>
      <c r="E2965">
        <v>388.887946</v>
      </c>
    </row>
    <row r="2966" spans="1:5" hidden="1" x14ac:dyDescent="0.3">
      <c r="A2966">
        <v>75</v>
      </c>
      <c r="B2966">
        <v>475000</v>
      </c>
      <c r="C2966" t="s">
        <v>45</v>
      </c>
      <c r="D2966" t="s">
        <v>9</v>
      </c>
      <c r="E2966">
        <v>120840.095418</v>
      </c>
    </row>
    <row r="2967" spans="1:5" hidden="1" x14ac:dyDescent="0.3">
      <c r="A2967">
        <v>75</v>
      </c>
      <c r="B2967">
        <v>475000</v>
      </c>
      <c r="C2967" t="s">
        <v>45</v>
      </c>
      <c r="D2967" t="s">
        <v>10</v>
      </c>
      <c r="E2967">
        <v>92999.944566000006</v>
      </c>
    </row>
    <row r="2968" spans="1:5" hidden="1" x14ac:dyDescent="0.3">
      <c r="A2968">
        <v>75</v>
      </c>
      <c r="B2968">
        <v>475000</v>
      </c>
      <c r="C2968" t="s">
        <v>45</v>
      </c>
      <c r="D2968" t="s">
        <v>11</v>
      </c>
      <c r="E2968">
        <v>34138.892028000002</v>
      </c>
    </row>
    <row r="2969" spans="1:5" hidden="1" x14ac:dyDescent="0.3">
      <c r="A2969">
        <v>75</v>
      </c>
      <c r="B2969">
        <v>475000</v>
      </c>
      <c r="C2969" t="s">
        <v>45</v>
      </c>
      <c r="D2969" t="s">
        <v>12</v>
      </c>
      <c r="E2969">
        <v>44388.892041999999</v>
      </c>
    </row>
    <row r="2970" spans="1:5" hidden="1" x14ac:dyDescent="0.3">
      <c r="A2970">
        <v>75</v>
      </c>
      <c r="B2970">
        <v>475000</v>
      </c>
      <c r="C2970" t="s">
        <v>45</v>
      </c>
      <c r="D2970" t="s">
        <v>13</v>
      </c>
      <c r="E2970">
        <v>35431.347779999996</v>
      </c>
    </row>
    <row r="2971" spans="1:5" hidden="1" x14ac:dyDescent="0.3">
      <c r="A2971">
        <v>75</v>
      </c>
      <c r="B2971">
        <v>475000</v>
      </c>
      <c r="C2971" t="s">
        <v>45</v>
      </c>
      <c r="D2971" t="s">
        <v>14</v>
      </c>
      <c r="E2971">
        <v>12472.225445</v>
      </c>
    </row>
    <row r="2972" spans="1:5" hidden="1" x14ac:dyDescent="0.3">
      <c r="A2972">
        <v>75</v>
      </c>
      <c r="B2972">
        <v>475000</v>
      </c>
      <c r="C2972" t="s">
        <v>45</v>
      </c>
      <c r="D2972" t="s">
        <v>15</v>
      </c>
      <c r="E2972">
        <v>3.7203279999999999</v>
      </c>
    </row>
    <row r="2973" spans="1:5" hidden="1" x14ac:dyDescent="0.3">
      <c r="A2973">
        <v>75</v>
      </c>
      <c r="B2973">
        <v>475000</v>
      </c>
      <c r="C2973" t="s">
        <v>45</v>
      </c>
      <c r="D2973" t="s">
        <v>16</v>
      </c>
      <c r="E2973">
        <v>40333.002712000001</v>
      </c>
    </row>
    <row r="2974" spans="1:5" hidden="1" x14ac:dyDescent="0.3">
      <c r="A2974">
        <v>75</v>
      </c>
      <c r="B2974">
        <v>475000</v>
      </c>
      <c r="C2974" t="s">
        <v>45</v>
      </c>
      <c r="D2974" t="s">
        <v>17</v>
      </c>
      <c r="E2974">
        <v>0.53161499999999995</v>
      </c>
    </row>
    <row r="2975" spans="1:5" hidden="1" x14ac:dyDescent="0.3">
      <c r="A2975">
        <v>75</v>
      </c>
      <c r="B2975">
        <v>475000</v>
      </c>
      <c r="C2975" t="s">
        <v>45</v>
      </c>
      <c r="D2975" t="s">
        <v>18</v>
      </c>
      <c r="E2975">
        <v>88.836534</v>
      </c>
    </row>
    <row r="2976" spans="1:5" hidden="1" x14ac:dyDescent="0.3">
      <c r="A2976">
        <v>75</v>
      </c>
      <c r="B2976">
        <v>475000</v>
      </c>
      <c r="C2976" t="s">
        <v>45</v>
      </c>
      <c r="D2976" t="s">
        <v>19</v>
      </c>
      <c r="E2976">
        <v>8833.3367280000002</v>
      </c>
    </row>
    <row r="2977" spans="1:5" hidden="1" x14ac:dyDescent="0.3">
      <c r="A2977">
        <v>75</v>
      </c>
      <c r="B2977">
        <v>475000</v>
      </c>
      <c r="C2977" t="s">
        <v>45</v>
      </c>
      <c r="D2977" t="s">
        <v>20</v>
      </c>
      <c r="E2977">
        <v>15166.670133</v>
      </c>
    </row>
    <row r="2978" spans="1:5" hidden="1" x14ac:dyDescent="0.3">
      <c r="A2978">
        <v>75</v>
      </c>
      <c r="B2978">
        <v>475000</v>
      </c>
      <c r="C2978" t="s">
        <v>45</v>
      </c>
      <c r="D2978" t="s">
        <v>21</v>
      </c>
      <c r="E2978">
        <v>0.14593</v>
      </c>
    </row>
    <row r="2979" spans="1:5" hidden="1" x14ac:dyDescent="0.3">
      <c r="A2979">
        <v>75</v>
      </c>
      <c r="B2979">
        <v>475000</v>
      </c>
      <c r="C2979" t="s">
        <v>45</v>
      </c>
      <c r="D2979" t="s">
        <v>22</v>
      </c>
      <c r="E2979">
        <v>504.15060799999998</v>
      </c>
    </row>
    <row r="2980" spans="1:5" hidden="1" x14ac:dyDescent="0.3">
      <c r="A2980">
        <v>75</v>
      </c>
      <c r="B2980">
        <v>475000</v>
      </c>
      <c r="C2980" t="s">
        <v>45</v>
      </c>
      <c r="D2980" t="s">
        <v>23</v>
      </c>
      <c r="E2980">
        <v>4444.4481210000004</v>
      </c>
    </row>
    <row r="2981" spans="1:5" hidden="1" x14ac:dyDescent="0.3">
      <c r="A2981">
        <v>75</v>
      </c>
      <c r="B2981">
        <v>475000</v>
      </c>
      <c r="C2981" t="s">
        <v>45</v>
      </c>
      <c r="D2981" t="s">
        <v>24</v>
      </c>
      <c r="E2981">
        <v>9018.4577509999999</v>
      </c>
    </row>
    <row r="2982" spans="1:5" hidden="1" x14ac:dyDescent="0.3">
      <c r="A2982">
        <v>75</v>
      </c>
      <c r="B2982">
        <v>475000</v>
      </c>
      <c r="C2982" t="s">
        <v>45</v>
      </c>
      <c r="D2982" t="s">
        <v>25</v>
      </c>
      <c r="E2982">
        <v>2944.4467009999998</v>
      </c>
    </row>
    <row r="2983" spans="1:5" hidden="1" x14ac:dyDescent="0.3">
      <c r="A2983">
        <v>75</v>
      </c>
      <c r="B2983">
        <v>475000</v>
      </c>
      <c r="C2983" t="s">
        <v>45</v>
      </c>
      <c r="D2983" t="s">
        <v>26</v>
      </c>
      <c r="E2983">
        <v>0.238843</v>
      </c>
    </row>
    <row r="2984" spans="1:5" hidden="1" x14ac:dyDescent="0.3">
      <c r="A2984">
        <v>76</v>
      </c>
      <c r="B2984">
        <v>480000</v>
      </c>
      <c r="C2984" t="s">
        <v>45</v>
      </c>
      <c r="D2984" t="s">
        <v>6</v>
      </c>
      <c r="E2984">
        <v>1.7370829999999999</v>
      </c>
    </row>
    <row r="2985" spans="1:5" hidden="1" x14ac:dyDescent="0.3">
      <c r="A2985">
        <v>76</v>
      </c>
      <c r="B2985">
        <v>480000</v>
      </c>
      <c r="C2985" t="s">
        <v>45</v>
      </c>
      <c r="D2985" t="s">
        <v>7</v>
      </c>
      <c r="E2985">
        <v>53000.002292999998</v>
      </c>
    </row>
    <row r="2986" spans="1:5" hidden="1" x14ac:dyDescent="0.3">
      <c r="A2986">
        <v>76</v>
      </c>
      <c r="B2986">
        <v>480000</v>
      </c>
      <c r="C2986" t="s">
        <v>45</v>
      </c>
      <c r="D2986" t="s">
        <v>8</v>
      </c>
      <c r="E2986">
        <v>388.88537700000001</v>
      </c>
    </row>
    <row r="2987" spans="1:5" hidden="1" x14ac:dyDescent="0.3">
      <c r="A2987">
        <v>76</v>
      </c>
      <c r="B2987">
        <v>480000</v>
      </c>
      <c r="C2987" t="s">
        <v>45</v>
      </c>
      <c r="D2987" t="s">
        <v>9</v>
      </c>
      <c r="E2987">
        <v>120840.14096800001</v>
      </c>
    </row>
    <row r="2988" spans="1:5" hidden="1" x14ac:dyDescent="0.3">
      <c r="A2988">
        <v>76</v>
      </c>
      <c r="B2988">
        <v>480000</v>
      </c>
      <c r="C2988" t="s">
        <v>45</v>
      </c>
      <c r="D2988" t="s">
        <v>10</v>
      </c>
      <c r="E2988">
        <v>92999.971176999999</v>
      </c>
    </row>
    <row r="2989" spans="1:5" hidden="1" x14ac:dyDescent="0.3">
      <c r="A2989">
        <v>76</v>
      </c>
      <c r="B2989">
        <v>480000</v>
      </c>
      <c r="C2989" t="s">
        <v>45</v>
      </c>
      <c r="D2989" t="s">
        <v>11</v>
      </c>
      <c r="E2989">
        <v>34138.890949000001</v>
      </c>
    </row>
    <row r="2990" spans="1:5" hidden="1" x14ac:dyDescent="0.3">
      <c r="A2990">
        <v>76</v>
      </c>
      <c r="B2990">
        <v>480000</v>
      </c>
      <c r="C2990" t="s">
        <v>45</v>
      </c>
      <c r="D2990" t="s">
        <v>12</v>
      </c>
      <c r="E2990">
        <v>44388.890955000003</v>
      </c>
    </row>
    <row r="2991" spans="1:5" hidden="1" x14ac:dyDescent="0.3">
      <c r="A2991">
        <v>76</v>
      </c>
      <c r="B2991">
        <v>480000</v>
      </c>
      <c r="C2991" t="s">
        <v>45</v>
      </c>
      <c r="D2991" t="s">
        <v>13</v>
      </c>
      <c r="E2991">
        <v>35431.346752999998</v>
      </c>
    </row>
    <row r="2992" spans="1:5" hidden="1" x14ac:dyDescent="0.3">
      <c r="A2992">
        <v>76</v>
      </c>
      <c r="B2992">
        <v>480000</v>
      </c>
      <c r="C2992" t="s">
        <v>45</v>
      </c>
      <c r="D2992" t="s">
        <v>14</v>
      </c>
      <c r="E2992">
        <v>12472.224488</v>
      </c>
    </row>
    <row r="2993" spans="1:5" hidden="1" x14ac:dyDescent="0.3">
      <c r="A2993">
        <v>76</v>
      </c>
      <c r="B2993">
        <v>480000</v>
      </c>
      <c r="C2993" t="s">
        <v>45</v>
      </c>
      <c r="D2993" t="s">
        <v>15</v>
      </c>
      <c r="E2993">
        <v>5.5492210000000002</v>
      </c>
    </row>
    <row r="2994" spans="1:5" hidden="1" x14ac:dyDescent="0.3">
      <c r="A2994">
        <v>76</v>
      </c>
      <c r="B2994">
        <v>480000</v>
      </c>
      <c r="C2994" t="s">
        <v>45</v>
      </c>
      <c r="D2994" t="s">
        <v>16</v>
      </c>
      <c r="E2994">
        <v>40333.002542000002</v>
      </c>
    </row>
    <row r="2995" spans="1:5" hidden="1" x14ac:dyDescent="0.3">
      <c r="A2995">
        <v>76</v>
      </c>
      <c r="B2995">
        <v>480000</v>
      </c>
      <c r="C2995" t="s">
        <v>45</v>
      </c>
      <c r="D2995" t="s">
        <v>17</v>
      </c>
      <c r="E2995">
        <v>0.63081799999999999</v>
      </c>
    </row>
    <row r="2996" spans="1:5" hidden="1" x14ac:dyDescent="0.3">
      <c r="A2996">
        <v>76</v>
      </c>
      <c r="B2996">
        <v>480000</v>
      </c>
      <c r="C2996" t="s">
        <v>45</v>
      </c>
      <c r="D2996" t="s">
        <v>18</v>
      </c>
      <c r="E2996">
        <v>88.835521999999997</v>
      </c>
    </row>
    <row r="2997" spans="1:5" hidden="1" x14ac:dyDescent="0.3">
      <c r="A2997">
        <v>76</v>
      </c>
      <c r="B2997">
        <v>480000</v>
      </c>
      <c r="C2997" t="s">
        <v>45</v>
      </c>
      <c r="D2997" t="s">
        <v>19</v>
      </c>
      <c r="E2997">
        <v>8833.3357820000001</v>
      </c>
    </row>
    <row r="2998" spans="1:5" hidden="1" x14ac:dyDescent="0.3">
      <c r="A2998">
        <v>76</v>
      </c>
      <c r="B2998">
        <v>480000</v>
      </c>
      <c r="C2998" t="s">
        <v>45</v>
      </c>
      <c r="D2998" t="s">
        <v>20</v>
      </c>
      <c r="E2998">
        <v>15166.669172</v>
      </c>
    </row>
    <row r="2999" spans="1:5" hidden="1" x14ac:dyDescent="0.3">
      <c r="A2999">
        <v>76</v>
      </c>
      <c r="B2999">
        <v>480000</v>
      </c>
      <c r="C2999" t="s">
        <v>45</v>
      </c>
      <c r="D2999" t="s">
        <v>21</v>
      </c>
      <c r="E2999">
        <v>0.20920900000000001</v>
      </c>
    </row>
    <row r="3000" spans="1:5" hidden="1" x14ac:dyDescent="0.3">
      <c r="A3000">
        <v>76</v>
      </c>
      <c r="B3000">
        <v>480000</v>
      </c>
      <c r="C3000" t="s">
        <v>45</v>
      </c>
      <c r="D3000" t="s">
        <v>22</v>
      </c>
      <c r="E3000">
        <v>504.149587</v>
      </c>
    </row>
    <row r="3001" spans="1:5" hidden="1" x14ac:dyDescent="0.3">
      <c r="A3001">
        <v>76</v>
      </c>
      <c r="B3001">
        <v>480000</v>
      </c>
      <c r="C3001" t="s">
        <v>45</v>
      </c>
      <c r="D3001" t="s">
        <v>23</v>
      </c>
      <c r="E3001">
        <v>4444.4471949999997</v>
      </c>
    </row>
    <row r="3002" spans="1:5" hidden="1" x14ac:dyDescent="0.3">
      <c r="A3002">
        <v>76</v>
      </c>
      <c r="B3002">
        <v>480000</v>
      </c>
      <c r="C3002" t="s">
        <v>45</v>
      </c>
      <c r="D3002" t="s">
        <v>24</v>
      </c>
      <c r="E3002">
        <v>14016.37902</v>
      </c>
    </row>
    <row r="3003" spans="1:5" hidden="1" x14ac:dyDescent="0.3">
      <c r="A3003">
        <v>76</v>
      </c>
      <c r="B3003">
        <v>480000</v>
      </c>
      <c r="C3003" t="s">
        <v>45</v>
      </c>
      <c r="D3003" t="s">
        <v>25</v>
      </c>
      <c r="E3003">
        <v>2944.445299</v>
      </c>
    </row>
    <row r="3004" spans="1:5" hidden="1" x14ac:dyDescent="0.3">
      <c r="A3004">
        <v>76</v>
      </c>
      <c r="B3004">
        <v>480000</v>
      </c>
      <c r="C3004" t="s">
        <v>45</v>
      </c>
      <c r="D3004" t="s">
        <v>26</v>
      </c>
      <c r="E3004">
        <v>0.327959</v>
      </c>
    </row>
    <row r="3005" spans="1:5" hidden="1" x14ac:dyDescent="0.3">
      <c r="A3005">
        <v>77</v>
      </c>
      <c r="B3005">
        <v>485000</v>
      </c>
      <c r="C3005" t="s">
        <v>45</v>
      </c>
      <c r="D3005" t="s">
        <v>6</v>
      </c>
      <c r="E3005">
        <v>0.99592499999999995</v>
      </c>
    </row>
    <row r="3006" spans="1:5" hidden="1" x14ac:dyDescent="0.3">
      <c r="A3006">
        <v>77</v>
      </c>
      <c r="B3006">
        <v>485000</v>
      </c>
      <c r="C3006" t="s">
        <v>45</v>
      </c>
      <c r="D3006" t="s">
        <v>7</v>
      </c>
      <c r="E3006">
        <v>53000.000289000003</v>
      </c>
    </row>
    <row r="3007" spans="1:5" hidden="1" x14ac:dyDescent="0.3">
      <c r="A3007">
        <v>77</v>
      </c>
      <c r="B3007">
        <v>485000</v>
      </c>
      <c r="C3007" t="s">
        <v>45</v>
      </c>
      <c r="D3007" t="s">
        <v>8</v>
      </c>
      <c r="E3007">
        <v>388.88501600000001</v>
      </c>
    </row>
    <row r="3008" spans="1:5" hidden="1" x14ac:dyDescent="0.3">
      <c r="A3008">
        <v>77</v>
      </c>
      <c r="B3008">
        <v>485000</v>
      </c>
      <c r="C3008" t="s">
        <v>45</v>
      </c>
      <c r="D3008" t="s">
        <v>9</v>
      </c>
      <c r="E3008">
        <v>120840.14782</v>
      </c>
    </row>
    <row r="3009" spans="1:5" hidden="1" x14ac:dyDescent="0.3">
      <c r="A3009">
        <v>77</v>
      </c>
      <c r="B3009">
        <v>485000</v>
      </c>
      <c r="C3009" t="s">
        <v>45</v>
      </c>
      <c r="D3009" t="s">
        <v>10</v>
      </c>
      <c r="E3009">
        <v>92998.178895999998</v>
      </c>
    </row>
    <row r="3010" spans="1:5" hidden="1" x14ac:dyDescent="0.3">
      <c r="A3010">
        <v>77</v>
      </c>
      <c r="B3010">
        <v>485000</v>
      </c>
      <c r="C3010" t="s">
        <v>45</v>
      </c>
      <c r="D3010" t="s">
        <v>11</v>
      </c>
      <c r="E3010">
        <v>34138.888996000001</v>
      </c>
    </row>
    <row r="3011" spans="1:5" hidden="1" x14ac:dyDescent="0.3">
      <c r="A3011">
        <v>77</v>
      </c>
      <c r="B3011">
        <v>485000</v>
      </c>
      <c r="C3011" t="s">
        <v>45</v>
      </c>
      <c r="D3011" t="s">
        <v>12</v>
      </c>
      <c r="E3011">
        <v>44388.888998000002</v>
      </c>
    </row>
    <row r="3012" spans="1:5" hidden="1" x14ac:dyDescent="0.3">
      <c r="A3012">
        <v>77</v>
      </c>
      <c r="B3012">
        <v>485000</v>
      </c>
      <c r="C3012" t="s">
        <v>45</v>
      </c>
      <c r="D3012" t="s">
        <v>13</v>
      </c>
      <c r="E3012">
        <v>35431.344762000001</v>
      </c>
    </row>
    <row r="3013" spans="1:5" hidden="1" x14ac:dyDescent="0.3">
      <c r="A3013">
        <v>77</v>
      </c>
      <c r="B3013">
        <v>485000</v>
      </c>
      <c r="C3013" t="s">
        <v>45</v>
      </c>
      <c r="D3013" t="s">
        <v>14</v>
      </c>
      <c r="E3013">
        <v>12472.222513999999</v>
      </c>
    </row>
    <row r="3014" spans="1:5" hidden="1" x14ac:dyDescent="0.3">
      <c r="A3014">
        <v>77</v>
      </c>
      <c r="B3014">
        <v>485000</v>
      </c>
      <c r="C3014" t="s">
        <v>45</v>
      </c>
      <c r="D3014" t="s">
        <v>15</v>
      </c>
      <c r="E3014">
        <v>4.6952480000000003</v>
      </c>
    </row>
    <row r="3015" spans="1:5" hidden="1" x14ac:dyDescent="0.3">
      <c r="A3015">
        <v>77</v>
      </c>
      <c r="B3015">
        <v>485000</v>
      </c>
      <c r="C3015" t="s">
        <v>45</v>
      </c>
      <c r="D3015" t="s">
        <v>16</v>
      </c>
      <c r="E3015">
        <v>40333.000192</v>
      </c>
    </row>
    <row r="3016" spans="1:5" hidden="1" x14ac:dyDescent="0.3">
      <c r="A3016">
        <v>77</v>
      </c>
      <c r="B3016">
        <v>485000</v>
      </c>
      <c r="C3016" t="s">
        <v>45</v>
      </c>
      <c r="D3016" t="s">
        <v>17</v>
      </c>
      <c r="E3016">
        <v>0.565384</v>
      </c>
    </row>
    <row r="3017" spans="1:5" hidden="1" x14ac:dyDescent="0.3">
      <c r="A3017">
        <v>77</v>
      </c>
      <c r="B3017">
        <v>485000</v>
      </c>
      <c r="C3017" t="s">
        <v>45</v>
      </c>
      <c r="D3017" t="s">
        <v>18</v>
      </c>
      <c r="E3017">
        <v>88.83381</v>
      </c>
    </row>
    <row r="3018" spans="1:5" hidden="1" x14ac:dyDescent="0.3">
      <c r="A3018">
        <v>77</v>
      </c>
      <c r="B3018">
        <v>485000</v>
      </c>
      <c r="C3018" t="s">
        <v>45</v>
      </c>
      <c r="D3018" t="s">
        <v>19</v>
      </c>
      <c r="E3018">
        <v>8833.3337800000008</v>
      </c>
    </row>
    <row r="3019" spans="1:5" hidden="1" x14ac:dyDescent="0.3">
      <c r="A3019">
        <v>77</v>
      </c>
      <c r="B3019">
        <v>485000</v>
      </c>
      <c r="C3019" t="s">
        <v>45</v>
      </c>
      <c r="D3019" t="s">
        <v>20</v>
      </c>
      <c r="E3019">
        <v>15166.667153</v>
      </c>
    </row>
    <row r="3020" spans="1:5" hidden="1" x14ac:dyDescent="0.3">
      <c r="A3020">
        <v>77</v>
      </c>
      <c r="B3020">
        <v>485000</v>
      </c>
      <c r="C3020" t="s">
        <v>45</v>
      </c>
      <c r="D3020" t="s">
        <v>21</v>
      </c>
      <c r="E3020">
        <v>0.187722</v>
      </c>
    </row>
    <row r="3021" spans="1:5" hidden="1" x14ac:dyDescent="0.3">
      <c r="A3021">
        <v>77</v>
      </c>
      <c r="B3021">
        <v>485000</v>
      </c>
      <c r="C3021" t="s">
        <v>45</v>
      </c>
      <c r="D3021" t="s">
        <v>22</v>
      </c>
      <c r="E3021">
        <v>504.14768299999997</v>
      </c>
    </row>
    <row r="3022" spans="1:5" hidden="1" x14ac:dyDescent="0.3">
      <c r="A3022">
        <v>77</v>
      </c>
      <c r="B3022">
        <v>485000</v>
      </c>
      <c r="C3022" t="s">
        <v>45</v>
      </c>
      <c r="D3022" t="s">
        <v>23</v>
      </c>
      <c r="E3022">
        <v>4444.4451440000003</v>
      </c>
    </row>
    <row r="3023" spans="1:5" hidden="1" x14ac:dyDescent="0.3">
      <c r="A3023">
        <v>77</v>
      </c>
      <c r="B3023">
        <v>485000</v>
      </c>
      <c r="C3023" t="s">
        <v>45</v>
      </c>
      <c r="D3023" t="s">
        <v>24</v>
      </c>
      <c r="E3023">
        <v>19019.881082</v>
      </c>
    </row>
    <row r="3024" spans="1:5" hidden="1" x14ac:dyDescent="0.3">
      <c r="A3024">
        <v>77</v>
      </c>
      <c r="B3024">
        <v>485000</v>
      </c>
      <c r="C3024" t="s">
        <v>45</v>
      </c>
      <c r="D3024" t="s">
        <v>25</v>
      </c>
      <c r="E3024">
        <v>2944.4436329999999</v>
      </c>
    </row>
    <row r="3025" spans="1:5" hidden="1" x14ac:dyDescent="0.3">
      <c r="A3025">
        <v>77</v>
      </c>
      <c r="B3025">
        <v>485000</v>
      </c>
      <c r="C3025" t="s">
        <v>45</v>
      </c>
      <c r="D3025" t="s">
        <v>26</v>
      </c>
      <c r="E3025">
        <v>0.27150099999999999</v>
      </c>
    </row>
    <row r="3026" spans="1:5" hidden="1" x14ac:dyDescent="0.3">
      <c r="A3026">
        <v>78</v>
      </c>
      <c r="B3026">
        <v>490000</v>
      </c>
      <c r="C3026" t="s">
        <v>45</v>
      </c>
      <c r="D3026" t="s">
        <v>6</v>
      </c>
      <c r="E3026">
        <v>0.92408800000000002</v>
      </c>
    </row>
    <row r="3027" spans="1:5" hidden="1" x14ac:dyDescent="0.3">
      <c r="A3027">
        <v>78</v>
      </c>
      <c r="B3027">
        <v>490000</v>
      </c>
      <c r="C3027" t="s">
        <v>45</v>
      </c>
      <c r="D3027" t="s">
        <v>7</v>
      </c>
      <c r="E3027">
        <v>53000.002025000002</v>
      </c>
    </row>
    <row r="3028" spans="1:5" hidden="1" x14ac:dyDescent="0.3">
      <c r="A3028">
        <v>78</v>
      </c>
      <c r="B3028">
        <v>490000</v>
      </c>
      <c r="C3028" t="s">
        <v>45</v>
      </c>
      <c r="D3028" t="s">
        <v>8</v>
      </c>
      <c r="E3028">
        <v>388.888372</v>
      </c>
    </row>
    <row r="3029" spans="1:5" hidden="1" x14ac:dyDescent="0.3">
      <c r="A3029">
        <v>78</v>
      </c>
      <c r="B3029">
        <v>490000</v>
      </c>
      <c r="C3029" t="s">
        <v>45</v>
      </c>
      <c r="D3029" t="s">
        <v>9</v>
      </c>
      <c r="E3029">
        <v>120840.13541</v>
      </c>
    </row>
    <row r="3030" spans="1:5" hidden="1" x14ac:dyDescent="0.3">
      <c r="A3030">
        <v>78</v>
      </c>
      <c r="B3030">
        <v>490000</v>
      </c>
      <c r="C3030" t="s">
        <v>45</v>
      </c>
      <c r="D3030" t="s">
        <v>10</v>
      </c>
      <c r="E3030">
        <v>92999.497096999999</v>
      </c>
    </row>
    <row r="3031" spans="1:5" hidden="1" x14ac:dyDescent="0.3">
      <c r="A3031">
        <v>78</v>
      </c>
      <c r="B3031">
        <v>490000</v>
      </c>
      <c r="C3031" t="s">
        <v>45</v>
      </c>
      <c r="D3031" t="s">
        <v>11</v>
      </c>
      <c r="E3031">
        <v>34138.890811999998</v>
      </c>
    </row>
    <row r="3032" spans="1:5" hidden="1" x14ac:dyDescent="0.3">
      <c r="A3032">
        <v>78</v>
      </c>
      <c r="B3032">
        <v>490000</v>
      </c>
      <c r="C3032" t="s">
        <v>45</v>
      </c>
      <c r="D3032" t="s">
        <v>12</v>
      </c>
      <c r="E3032">
        <v>44388.890813999998</v>
      </c>
    </row>
    <row r="3033" spans="1:5" hidden="1" x14ac:dyDescent="0.3">
      <c r="A3033">
        <v>78</v>
      </c>
      <c r="B3033">
        <v>490000</v>
      </c>
      <c r="C3033" t="s">
        <v>45</v>
      </c>
      <c r="D3033" t="s">
        <v>13</v>
      </c>
      <c r="E3033">
        <v>35431.346477999999</v>
      </c>
    </row>
    <row r="3034" spans="1:5" hidden="1" x14ac:dyDescent="0.3">
      <c r="A3034">
        <v>78</v>
      </c>
      <c r="B3034">
        <v>490000</v>
      </c>
      <c r="C3034" t="s">
        <v>45</v>
      </c>
      <c r="D3034" t="s">
        <v>14</v>
      </c>
      <c r="E3034">
        <v>12472.224241</v>
      </c>
    </row>
    <row r="3035" spans="1:5" hidden="1" x14ac:dyDescent="0.3">
      <c r="A3035">
        <v>78</v>
      </c>
      <c r="B3035">
        <v>490000</v>
      </c>
      <c r="C3035" t="s">
        <v>45</v>
      </c>
      <c r="D3035" t="s">
        <v>15</v>
      </c>
      <c r="E3035">
        <v>2.4016069999999998</v>
      </c>
    </row>
    <row r="3036" spans="1:5" hidden="1" x14ac:dyDescent="0.3">
      <c r="A3036">
        <v>78</v>
      </c>
      <c r="B3036">
        <v>490000</v>
      </c>
      <c r="C3036" t="s">
        <v>45</v>
      </c>
      <c r="D3036" t="s">
        <v>16</v>
      </c>
      <c r="E3036">
        <v>40333.002162999997</v>
      </c>
    </row>
    <row r="3037" spans="1:5" hidden="1" x14ac:dyDescent="0.3">
      <c r="A3037">
        <v>78</v>
      </c>
      <c r="B3037">
        <v>490000</v>
      </c>
      <c r="C3037" t="s">
        <v>45</v>
      </c>
      <c r="D3037" t="s">
        <v>17</v>
      </c>
      <c r="E3037">
        <v>0.25563000000000002</v>
      </c>
    </row>
    <row r="3038" spans="1:5" hidden="1" x14ac:dyDescent="0.3">
      <c r="A3038">
        <v>78</v>
      </c>
      <c r="B3038">
        <v>490000</v>
      </c>
      <c r="C3038" t="s">
        <v>45</v>
      </c>
      <c r="D3038" t="s">
        <v>18</v>
      </c>
      <c r="E3038">
        <v>88.835325999999995</v>
      </c>
    </row>
    <row r="3039" spans="1:5" hidden="1" x14ac:dyDescent="0.3">
      <c r="A3039">
        <v>78</v>
      </c>
      <c r="B3039">
        <v>490000</v>
      </c>
      <c r="C3039" t="s">
        <v>45</v>
      </c>
      <c r="D3039" t="s">
        <v>19</v>
      </c>
      <c r="E3039">
        <v>8833.3354350000009</v>
      </c>
    </row>
    <row r="3040" spans="1:5" hidden="1" x14ac:dyDescent="0.3">
      <c r="A3040">
        <v>78</v>
      </c>
      <c r="B3040">
        <v>490000</v>
      </c>
      <c r="C3040" t="s">
        <v>45</v>
      </c>
      <c r="D3040" t="s">
        <v>20</v>
      </c>
      <c r="E3040">
        <v>15166.668791</v>
      </c>
    </row>
    <row r="3041" spans="1:5" hidden="1" x14ac:dyDescent="0.3">
      <c r="A3041">
        <v>78</v>
      </c>
      <c r="B3041">
        <v>490000</v>
      </c>
      <c r="C3041" t="s">
        <v>45</v>
      </c>
      <c r="D3041" t="s">
        <v>21</v>
      </c>
      <c r="E3041">
        <v>9.1568999999999998E-2</v>
      </c>
    </row>
    <row r="3042" spans="1:5" hidden="1" x14ac:dyDescent="0.3">
      <c r="A3042">
        <v>78</v>
      </c>
      <c r="B3042">
        <v>490000</v>
      </c>
      <c r="C3042" t="s">
        <v>45</v>
      </c>
      <c r="D3042" t="s">
        <v>22</v>
      </c>
      <c r="E3042">
        <v>504.14929599999999</v>
      </c>
    </row>
    <row r="3043" spans="1:5" hidden="1" x14ac:dyDescent="0.3">
      <c r="A3043">
        <v>78</v>
      </c>
      <c r="B3043">
        <v>490000</v>
      </c>
      <c r="C3043" t="s">
        <v>45</v>
      </c>
      <c r="D3043" t="s">
        <v>23</v>
      </c>
      <c r="E3043">
        <v>4444.4466810000004</v>
      </c>
    </row>
    <row r="3044" spans="1:5" hidden="1" x14ac:dyDescent="0.3">
      <c r="A3044">
        <v>78</v>
      </c>
      <c r="B3044">
        <v>490000</v>
      </c>
      <c r="C3044" t="s">
        <v>45</v>
      </c>
      <c r="D3044" t="s">
        <v>24</v>
      </c>
      <c r="E3044">
        <v>24021.476658</v>
      </c>
    </row>
    <row r="3045" spans="1:5" hidden="1" x14ac:dyDescent="0.3">
      <c r="A3045">
        <v>78</v>
      </c>
      <c r="B3045">
        <v>490000</v>
      </c>
      <c r="C3045" t="s">
        <v>45</v>
      </c>
      <c r="D3045" t="s">
        <v>25</v>
      </c>
      <c r="E3045">
        <v>2944.4458490000002</v>
      </c>
    </row>
    <row r="3046" spans="1:5" hidden="1" x14ac:dyDescent="0.3">
      <c r="A3046">
        <v>78</v>
      </c>
      <c r="B3046">
        <v>490000</v>
      </c>
      <c r="C3046" t="s">
        <v>45</v>
      </c>
      <c r="D3046" t="s">
        <v>26</v>
      </c>
      <c r="E3046">
        <v>0.14449999999999999</v>
      </c>
    </row>
    <row r="3047" spans="1:5" hidden="1" x14ac:dyDescent="0.3">
      <c r="A3047">
        <v>79</v>
      </c>
      <c r="B3047">
        <v>495000</v>
      </c>
      <c r="C3047" t="s">
        <v>45</v>
      </c>
      <c r="D3047" t="s">
        <v>6</v>
      </c>
      <c r="E3047">
        <v>1.0540639999999999</v>
      </c>
    </row>
    <row r="3048" spans="1:5" hidden="1" x14ac:dyDescent="0.3">
      <c r="A3048">
        <v>79</v>
      </c>
      <c r="B3048">
        <v>495000</v>
      </c>
      <c r="C3048" t="s">
        <v>45</v>
      </c>
      <c r="D3048" t="s">
        <v>7</v>
      </c>
      <c r="E3048">
        <v>53000.000156000002</v>
      </c>
    </row>
    <row r="3049" spans="1:5" hidden="1" x14ac:dyDescent="0.3">
      <c r="A3049">
        <v>79</v>
      </c>
      <c r="B3049">
        <v>495000</v>
      </c>
      <c r="C3049" t="s">
        <v>45</v>
      </c>
      <c r="D3049" t="s">
        <v>8</v>
      </c>
      <c r="E3049">
        <v>388.88638900000001</v>
      </c>
    </row>
    <row r="3050" spans="1:5" hidden="1" x14ac:dyDescent="0.3">
      <c r="A3050">
        <v>79</v>
      </c>
      <c r="B3050">
        <v>495000</v>
      </c>
      <c r="C3050" t="s">
        <v>45</v>
      </c>
      <c r="D3050" t="s">
        <v>9</v>
      </c>
      <c r="E3050">
        <v>120840.159619</v>
      </c>
    </row>
    <row r="3051" spans="1:5" hidden="1" x14ac:dyDescent="0.3">
      <c r="A3051">
        <v>79</v>
      </c>
      <c r="B3051">
        <v>495000</v>
      </c>
      <c r="C3051" t="s">
        <v>45</v>
      </c>
      <c r="D3051" t="s">
        <v>10</v>
      </c>
      <c r="E3051">
        <v>92999.959801999998</v>
      </c>
    </row>
    <row r="3052" spans="1:5" hidden="1" x14ac:dyDescent="0.3">
      <c r="A3052">
        <v>79</v>
      </c>
      <c r="B3052">
        <v>495000</v>
      </c>
      <c r="C3052" t="s">
        <v>45</v>
      </c>
      <c r="D3052" t="s">
        <v>11</v>
      </c>
      <c r="E3052">
        <v>34138.888980999996</v>
      </c>
    </row>
    <row r="3053" spans="1:5" hidden="1" x14ac:dyDescent="0.3">
      <c r="A3053">
        <v>79</v>
      </c>
      <c r="B3053">
        <v>495000</v>
      </c>
      <c r="C3053" t="s">
        <v>45</v>
      </c>
      <c r="D3053" t="s">
        <v>12</v>
      </c>
      <c r="E3053">
        <v>44388.888971</v>
      </c>
    </row>
    <row r="3054" spans="1:5" hidden="1" x14ac:dyDescent="0.3">
      <c r="A3054">
        <v>79</v>
      </c>
      <c r="B3054">
        <v>495000</v>
      </c>
      <c r="C3054" t="s">
        <v>45</v>
      </c>
      <c r="D3054" t="s">
        <v>13</v>
      </c>
      <c r="E3054">
        <v>35431.344627999999</v>
      </c>
    </row>
    <row r="3055" spans="1:5" hidden="1" x14ac:dyDescent="0.3">
      <c r="A3055">
        <v>79</v>
      </c>
      <c r="B3055">
        <v>495000</v>
      </c>
      <c r="C3055" t="s">
        <v>45</v>
      </c>
      <c r="D3055" t="s">
        <v>14</v>
      </c>
      <c r="E3055">
        <v>12472.222435</v>
      </c>
    </row>
    <row r="3056" spans="1:5" hidden="1" x14ac:dyDescent="0.3">
      <c r="A3056">
        <v>79</v>
      </c>
      <c r="B3056">
        <v>495000</v>
      </c>
      <c r="C3056" t="s">
        <v>45</v>
      </c>
      <c r="D3056" t="s">
        <v>15</v>
      </c>
      <c r="E3056">
        <v>2.3121230000000002</v>
      </c>
    </row>
    <row r="3057" spans="1:5" hidden="1" x14ac:dyDescent="0.3">
      <c r="A3057">
        <v>79</v>
      </c>
      <c r="B3057">
        <v>495000</v>
      </c>
      <c r="C3057" t="s">
        <v>45</v>
      </c>
      <c r="D3057" t="s">
        <v>16</v>
      </c>
      <c r="E3057">
        <v>40333.000295999998</v>
      </c>
    </row>
    <row r="3058" spans="1:5" hidden="1" x14ac:dyDescent="0.3">
      <c r="A3058">
        <v>79</v>
      </c>
      <c r="B3058">
        <v>495000</v>
      </c>
      <c r="C3058" t="s">
        <v>45</v>
      </c>
      <c r="D3058" t="s">
        <v>17</v>
      </c>
      <c r="E3058">
        <v>0.28728100000000001</v>
      </c>
    </row>
    <row r="3059" spans="1:5" hidden="1" x14ac:dyDescent="0.3">
      <c r="A3059">
        <v>79</v>
      </c>
      <c r="B3059">
        <v>495000</v>
      </c>
      <c r="C3059" t="s">
        <v>45</v>
      </c>
      <c r="D3059" t="s">
        <v>18</v>
      </c>
      <c r="E3059">
        <v>88.833408000000006</v>
      </c>
    </row>
    <row r="3060" spans="1:5" hidden="1" x14ac:dyDescent="0.3">
      <c r="A3060">
        <v>79</v>
      </c>
      <c r="B3060">
        <v>495000</v>
      </c>
      <c r="C3060" t="s">
        <v>45</v>
      </c>
      <c r="D3060" t="s">
        <v>19</v>
      </c>
      <c r="E3060">
        <v>8833.3336149999996</v>
      </c>
    </row>
    <row r="3061" spans="1:5" hidden="1" x14ac:dyDescent="0.3">
      <c r="A3061">
        <v>79</v>
      </c>
      <c r="B3061">
        <v>495000</v>
      </c>
      <c r="C3061" t="s">
        <v>45</v>
      </c>
      <c r="D3061" t="s">
        <v>20</v>
      </c>
      <c r="E3061">
        <v>15166.666939999999</v>
      </c>
    </row>
    <row r="3062" spans="1:5" hidden="1" x14ac:dyDescent="0.3">
      <c r="A3062">
        <v>79</v>
      </c>
      <c r="B3062">
        <v>495000</v>
      </c>
      <c r="C3062" t="s">
        <v>45</v>
      </c>
      <c r="D3062" t="s">
        <v>21</v>
      </c>
      <c r="E3062">
        <v>7.8412999999999997E-2</v>
      </c>
    </row>
    <row r="3063" spans="1:5" hidden="1" x14ac:dyDescent="0.3">
      <c r="A3063">
        <v>79</v>
      </c>
      <c r="B3063">
        <v>495000</v>
      </c>
      <c r="C3063" t="s">
        <v>45</v>
      </c>
      <c r="D3063" t="s">
        <v>22</v>
      </c>
      <c r="E3063">
        <v>504.14739500000002</v>
      </c>
    </row>
    <row r="3064" spans="1:5" hidden="1" x14ac:dyDescent="0.3">
      <c r="A3064">
        <v>79</v>
      </c>
      <c r="B3064">
        <v>495000</v>
      </c>
      <c r="C3064" t="s">
        <v>45</v>
      </c>
      <c r="D3064" t="s">
        <v>23</v>
      </c>
      <c r="E3064">
        <v>4444.4448229999998</v>
      </c>
    </row>
    <row r="3065" spans="1:5" hidden="1" x14ac:dyDescent="0.3">
      <c r="A3065">
        <v>79</v>
      </c>
      <c r="B3065">
        <v>495000</v>
      </c>
      <c r="C3065" t="s">
        <v>45</v>
      </c>
      <c r="D3065" t="s">
        <v>24</v>
      </c>
      <c r="E3065">
        <v>29020.943630999998</v>
      </c>
    </row>
    <row r="3066" spans="1:5" hidden="1" x14ac:dyDescent="0.3">
      <c r="A3066">
        <v>79</v>
      </c>
      <c r="B3066">
        <v>495000</v>
      </c>
      <c r="C3066" t="s">
        <v>45</v>
      </c>
      <c r="D3066" t="s">
        <v>25</v>
      </c>
      <c r="E3066">
        <v>2944.444047</v>
      </c>
    </row>
    <row r="3067" spans="1:5" hidden="1" x14ac:dyDescent="0.3">
      <c r="A3067">
        <v>79</v>
      </c>
      <c r="B3067">
        <v>495000</v>
      </c>
      <c r="C3067" t="s">
        <v>45</v>
      </c>
      <c r="D3067" t="s">
        <v>26</v>
      </c>
      <c r="E3067">
        <v>0.115624</v>
      </c>
    </row>
    <row r="3068" spans="1:5" hidden="1" x14ac:dyDescent="0.3">
      <c r="A3068">
        <v>80</v>
      </c>
      <c r="B3068">
        <v>500000</v>
      </c>
      <c r="C3068" t="s">
        <v>45</v>
      </c>
      <c r="D3068" t="s">
        <v>6</v>
      </c>
      <c r="E3068">
        <v>1.4221630000000001</v>
      </c>
    </row>
    <row r="3069" spans="1:5" hidden="1" x14ac:dyDescent="0.3">
      <c r="A3069">
        <v>80</v>
      </c>
      <c r="B3069">
        <v>500000</v>
      </c>
      <c r="C3069" t="s">
        <v>45</v>
      </c>
      <c r="D3069" t="s">
        <v>7</v>
      </c>
      <c r="E3069">
        <v>53000.000321</v>
      </c>
    </row>
    <row r="3070" spans="1:5" hidden="1" x14ac:dyDescent="0.3">
      <c r="A3070">
        <v>80</v>
      </c>
      <c r="B3070">
        <v>500000</v>
      </c>
      <c r="C3070" t="s">
        <v>45</v>
      </c>
      <c r="D3070" t="s">
        <v>8</v>
      </c>
      <c r="E3070">
        <v>388.88328300000001</v>
      </c>
    </row>
    <row r="3071" spans="1:5" hidden="1" x14ac:dyDescent="0.3">
      <c r="A3071">
        <v>80</v>
      </c>
      <c r="B3071">
        <v>500000</v>
      </c>
      <c r="C3071" t="s">
        <v>45</v>
      </c>
      <c r="D3071" t="s">
        <v>9</v>
      </c>
      <c r="E3071">
        <v>120840.16601299999</v>
      </c>
    </row>
    <row r="3072" spans="1:5" hidden="1" x14ac:dyDescent="0.3">
      <c r="A3072">
        <v>80</v>
      </c>
      <c r="B3072">
        <v>500000</v>
      </c>
      <c r="C3072" t="s">
        <v>45</v>
      </c>
      <c r="D3072" t="s">
        <v>10</v>
      </c>
      <c r="E3072">
        <v>92998.974214999995</v>
      </c>
    </row>
    <row r="3073" spans="1:5" hidden="1" x14ac:dyDescent="0.3">
      <c r="A3073">
        <v>80</v>
      </c>
      <c r="B3073">
        <v>500000</v>
      </c>
      <c r="C3073" t="s">
        <v>45</v>
      </c>
      <c r="D3073" t="s">
        <v>11</v>
      </c>
      <c r="E3073">
        <v>34138.888980000003</v>
      </c>
    </row>
    <row r="3074" spans="1:5" hidden="1" x14ac:dyDescent="0.3">
      <c r="A3074">
        <v>80</v>
      </c>
      <c r="B3074">
        <v>500000</v>
      </c>
      <c r="C3074" t="s">
        <v>45</v>
      </c>
      <c r="D3074" t="s">
        <v>12</v>
      </c>
      <c r="E3074">
        <v>44388.888991</v>
      </c>
    </row>
    <row r="3075" spans="1:5" hidden="1" x14ac:dyDescent="0.3">
      <c r="A3075">
        <v>80</v>
      </c>
      <c r="B3075">
        <v>500000</v>
      </c>
      <c r="C3075" t="s">
        <v>45</v>
      </c>
      <c r="D3075" t="s">
        <v>13</v>
      </c>
      <c r="E3075">
        <v>35431.344736999999</v>
      </c>
    </row>
    <row r="3076" spans="1:5" hidden="1" x14ac:dyDescent="0.3">
      <c r="A3076">
        <v>80</v>
      </c>
      <c r="B3076">
        <v>500000</v>
      </c>
      <c r="C3076" t="s">
        <v>45</v>
      </c>
      <c r="D3076" t="s">
        <v>14</v>
      </c>
      <c r="E3076">
        <v>12472.222470000001</v>
      </c>
    </row>
    <row r="3077" spans="1:5" hidden="1" x14ac:dyDescent="0.3">
      <c r="A3077">
        <v>80</v>
      </c>
      <c r="B3077">
        <v>500000</v>
      </c>
      <c r="C3077" t="s">
        <v>45</v>
      </c>
      <c r="D3077" t="s">
        <v>15</v>
      </c>
      <c r="E3077">
        <v>4.3384530000000003</v>
      </c>
    </row>
    <row r="3078" spans="1:5" hidden="1" x14ac:dyDescent="0.3">
      <c r="A3078">
        <v>80</v>
      </c>
      <c r="B3078">
        <v>500000</v>
      </c>
      <c r="C3078" t="s">
        <v>45</v>
      </c>
      <c r="D3078" t="s">
        <v>16</v>
      </c>
      <c r="E3078">
        <v>40333.000466999998</v>
      </c>
    </row>
    <row r="3079" spans="1:5" hidden="1" x14ac:dyDescent="0.3">
      <c r="A3079">
        <v>80</v>
      </c>
      <c r="B3079">
        <v>500000</v>
      </c>
      <c r="C3079" t="s">
        <v>45</v>
      </c>
      <c r="D3079" t="s">
        <v>17</v>
      </c>
      <c r="E3079">
        <v>0.50800299999999998</v>
      </c>
    </row>
    <row r="3080" spans="1:5" hidden="1" x14ac:dyDescent="0.3">
      <c r="A3080">
        <v>80</v>
      </c>
      <c r="B3080">
        <v>500000</v>
      </c>
      <c r="C3080" t="s">
        <v>45</v>
      </c>
      <c r="D3080" t="s">
        <v>18</v>
      </c>
      <c r="E3080">
        <v>88.833395999999993</v>
      </c>
    </row>
    <row r="3081" spans="1:5" hidden="1" x14ac:dyDescent="0.3">
      <c r="A3081">
        <v>80</v>
      </c>
      <c r="B3081">
        <v>500000</v>
      </c>
      <c r="C3081" t="s">
        <v>45</v>
      </c>
      <c r="D3081" t="s">
        <v>19</v>
      </c>
      <c r="E3081">
        <v>8833.3337300000003</v>
      </c>
    </row>
    <row r="3082" spans="1:5" hidden="1" x14ac:dyDescent="0.3">
      <c r="A3082">
        <v>80</v>
      </c>
      <c r="B3082">
        <v>500000</v>
      </c>
      <c r="C3082" t="s">
        <v>45</v>
      </c>
      <c r="D3082" t="s">
        <v>20</v>
      </c>
      <c r="E3082">
        <v>15166.667104</v>
      </c>
    </row>
    <row r="3083" spans="1:5" hidden="1" x14ac:dyDescent="0.3">
      <c r="A3083">
        <v>80</v>
      </c>
      <c r="B3083">
        <v>500000</v>
      </c>
      <c r="C3083" t="s">
        <v>45</v>
      </c>
      <c r="D3083" t="s">
        <v>21</v>
      </c>
      <c r="E3083">
        <v>0.15851999999999999</v>
      </c>
    </row>
    <row r="3084" spans="1:5" hidden="1" x14ac:dyDescent="0.3">
      <c r="A3084">
        <v>80</v>
      </c>
      <c r="B3084">
        <v>500000</v>
      </c>
      <c r="C3084" t="s">
        <v>45</v>
      </c>
      <c r="D3084" t="s">
        <v>22</v>
      </c>
      <c r="E3084">
        <v>504.147535</v>
      </c>
    </row>
    <row r="3085" spans="1:5" hidden="1" x14ac:dyDescent="0.3">
      <c r="A3085">
        <v>80</v>
      </c>
      <c r="B3085">
        <v>500000</v>
      </c>
      <c r="C3085" t="s">
        <v>45</v>
      </c>
      <c r="D3085" t="s">
        <v>23</v>
      </c>
      <c r="E3085">
        <v>4444.4450820000002</v>
      </c>
    </row>
    <row r="3086" spans="1:5" hidden="1" x14ac:dyDescent="0.3">
      <c r="A3086">
        <v>80</v>
      </c>
      <c r="B3086">
        <v>500000</v>
      </c>
      <c r="C3086" t="s">
        <v>45</v>
      </c>
      <c r="D3086" t="s">
        <v>24</v>
      </c>
      <c r="E3086">
        <v>34019.104830999997</v>
      </c>
    </row>
    <row r="3087" spans="1:5" hidden="1" x14ac:dyDescent="0.3">
      <c r="A3087">
        <v>80</v>
      </c>
      <c r="B3087">
        <v>500000</v>
      </c>
      <c r="C3087" t="s">
        <v>45</v>
      </c>
      <c r="D3087" t="s">
        <v>25</v>
      </c>
      <c r="E3087">
        <v>2944.443499</v>
      </c>
    </row>
    <row r="3088" spans="1:5" hidden="1" x14ac:dyDescent="0.3">
      <c r="A3088">
        <v>80</v>
      </c>
      <c r="B3088">
        <v>500000</v>
      </c>
      <c r="C3088" t="s">
        <v>45</v>
      </c>
      <c r="D3088" t="s">
        <v>26</v>
      </c>
      <c r="E3088">
        <v>0.25226799999999999</v>
      </c>
    </row>
    <row r="3089" spans="1:5" hidden="1" x14ac:dyDescent="0.3">
      <c r="A3089">
        <v>81</v>
      </c>
      <c r="B3089">
        <v>505000</v>
      </c>
      <c r="C3089" t="s">
        <v>45</v>
      </c>
      <c r="D3089" t="s">
        <v>6</v>
      </c>
      <c r="E3089">
        <v>1.9429860000000001</v>
      </c>
    </row>
    <row r="3090" spans="1:5" hidden="1" x14ac:dyDescent="0.3">
      <c r="A3090">
        <v>81</v>
      </c>
      <c r="B3090">
        <v>505000</v>
      </c>
      <c r="C3090" t="s">
        <v>45</v>
      </c>
      <c r="D3090" t="s">
        <v>7</v>
      </c>
      <c r="E3090">
        <v>53000.000779000002</v>
      </c>
    </row>
    <row r="3091" spans="1:5" hidden="1" x14ac:dyDescent="0.3">
      <c r="A3091">
        <v>81</v>
      </c>
      <c r="B3091">
        <v>505000</v>
      </c>
      <c r="C3091" t="s">
        <v>45</v>
      </c>
      <c r="D3091" t="s">
        <v>8</v>
      </c>
      <c r="E3091">
        <v>388.88579099999998</v>
      </c>
    </row>
    <row r="3092" spans="1:5" hidden="1" x14ac:dyDescent="0.3">
      <c r="A3092">
        <v>81</v>
      </c>
      <c r="B3092">
        <v>505000</v>
      </c>
      <c r="C3092" t="s">
        <v>45</v>
      </c>
      <c r="D3092" t="s">
        <v>9</v>
      </c>
      <c r="E3092">
        <v>120840.15842399999</v>
      </c>
    </row>
    <row r="3093" spans="1:5" hidden="1" x14ac:dyDescent="0.3">
      <c r="A3093">
        <v>81</v>
      </c>
      <c r="B3093">
        <v>505000</v>
      </c>
      <c r="C3093" t="s">
        <v>45</v>
      </c>
      <c r="D3093" t="s">
        <v>10</v>
      </c>
      <c r="E3093">
        <v>92998.758428000001</v>
      </c>
    </row>
    <row r="3094" spans="1:5" hidden="1" x14ac:dyDescent="0.3">
      <c r="A3094">
        <v>81</v>
      </c>
      <c r="B3094">
        <v>505000</v>
      </c>
      <c r="C3094" t="s">
        <v>45</v>
      </c>
      <c r="D3094" t="s">
        <v>11</v>
      </c>
      <c r="E3094">
        <v>34138.889494000003</v>
      </c>
    </row>
    <row r="3095" spans="1:5" hidden="1" x14ac:dyDescent="0.3">
      <c r="A3095">
        <v>81</v>
      </c>
      <c r="B3095">
        <v>505000</v>
      </c>
      <c r="C3095" t="s">
        <v>45</v>
      </c>
      <c r="D3095" t="s">
        <v>12</v>
      </c>
      <c r="E3095">
        <v>44388.889509000001</v>
      </c>
    </row>
    <row r="3096" spans="1:5" hidden="1" x14ac:dyDescent="0.3">
      <c r="A3096">
        <v>81</v>
      </c>
      <c r="B3096">
        <v>505000</v>
      </c>
      <c r="C3096" t="s">
        <v>45</v>
      </c>
      <c r="D3096" t="s">
        <v>13</v>
      </c>
      <c r="E3096">
        <v>35431.345205999998</v>
      </c>
    </row>
    <row r="3097" spans="1:5" hidden="1" x14ac:dyDescent="0.3">
      <c r="A3097">
        <v>81</v>
      </c>
      <c r="B3097">
        <v>505000</v>
      </c>
      <c r="C3097" t="s">
        <v>45</v>
      </c>
      <c r="D3097" t="s">
        <v>14</v>
      </c>
      <c r="E3097">
        <v>12472.22294</v>
      </c>
    </row>
    <row r="3098" spans="1:5" hidden="1" x14ac:dyDescent="0.3">
      <c r="A3098">
        <v>81</v>
      </c>
      <c r="B3098">
        <v>505000</v>
      </c>
      <c r="C3098" t="s">
        <v>45</v>
      </c>
      <c r="D3098" t="s">
        <v>15</v>
      </c>
      <c r="E3098">
        <v>3.3257880000000002</v>
      </c>
    </row>
    <row r="3099" spans="1:5" hidden="1" x14ac:dyDescent="0.3">
      <c r="A3099">
        <v>81</v>
      </c>
      <c r="B3099">
        <v>505000</v>
      </c>
      <c r="C3099" t="s">
        <v>45</v>
      </c>
      <c r="D3099" t="s">
        <v>16</v>
      </c>
      <c r="E3099">
        <v>40333.000946</v>
      </c>
    </row>
    <row r="3100" spans="1:5" hidden="1" x14ac:dyDescent="0.3">
      <c r="A3100">
        <v>81</v>
      </c>
      <c r="B3100">
        <v>505000</v>
      </c>
      <c r="C3100" t="s">
        <v>45</v>
      </c>
      <c r="D3100" t="s">
        <v>17</v>
      </c>
      <c r="E3100">
        <v>0.32669799999999999</v>
      </c>
    </row>
    <row r="3101" spans="1:5" hidden="1" x14ac:dyDescent="0.3">
      <c r="A3101">
        <v>81</v>
      </c>
      <c r="B3101">
        <v>505000</v>
      </c>
      <c r="C3101" t="s">
        <v>45</v>
      </c>
      <c r="D3101" t="s">
        <v>18</v>
      </c>
      <c r="E3101">
        <v>88.834018999999998</v>
      </c>
    </row>
    <row r="3102" spans="1:5" hidden="1" x14ac:dyDescent="0.3">
      <c r="A3102">
        <v>81</v>
      </c>
      <c r="B3102">
        <v>505000</v>
      </c>
      <c r="C3102" t="s">
        <v>45</v>
      </c>
      <c r="D3102" t="s">
        <v>19</v>
      </c>
      <c r="E3102">
        <v>8833.3341569999993</v>
      </c>
    </row>
    <row r="3103" spans="1:5" hidden="1" x14ac:dyDescent="0.3">
      <c r="A3103">
        <v>81</v>
      </c>
      <c r="B3103">
        <v>505000</v>
      </c>
      <c r="C3103" t="s">
        <v>45</v>
      </c>
      <c r="D3103" t="s">
        <v>20</v>
      </c>
      <c r="E3103">
        <v>15166.667527</v>
      </c>
    </row>
    <row r="3104" spans="1:5" hidden="1" x14ac:dyDescent="0.3">
      <c r="A3104">
        <v>81</v>
      </c>
      <c r="B3104">
        <v>505000</v>
      </c>
      <c r="C3104" t="s">
        <v>45</v>
      </c>
      <c r="D3104" t="s">
        <v>21</v>
      </c>
      <c r="E3104">
        <v>0.121099</v>
      </c>
    </row>
    <row r="3105" spans="1:5" hidden="1" x14ac:dyDescent="0.3">
      <c r="A3105">
        <v>81</v>
      </c>
      <c r="B3105">
        <v>505000</v>
      </c>
      <c r="C3105" t="s">
        <v>45</v>
      </c>
      <c r="D3105" t="s">
        <v>22</v>
      </c>
      <c r="E3105">
        <v>504.148055</v>
      </c>
    </row>
    <row r="3106" spans="1:5" hidden="1" x14ac:dyDescent="0.3">
      <c r="A3106">
        <v>81</v>
      </c>
      <c r="B3106">
        <v>505000</v>
      </c>
      <c r="C3106" t="s">
        <v>45</v>
      </c>
      <c r="D3106" t="s">
        <v>23</v>
      </c>
      <c r="E3106">
        <v>4444.4454720000003</v>
      </c>
    </row>
    <row r="3107" spans="1:5" hidden="1" x14ac:dyDescent="0.3">
      <c r="A3107">
        <v>81</v>
      </c>
      <c r="B3107">
        <v>505000</v>
      </c>
      <c r="C3107" t="s">
        <v>45</v>
      </c>
      <c r="D3107" t="s">
        <v>24</v>
      </c>
      <c r="E3107">
        <v>39020.072858</v>
      </c>
    </row>
    <row r="3108" spans="1:5" hidden="1" x14ac:dyDescent="0.3">
      <c r="A3108">
        <v>81</v>
      </c>
      <c r="B3108">
        <v>505000</v>
      </c>
      <c r="C3108" t="s">
        <v>45</v>
      </c>
      <c r="D3108" t="s">
        <v>25</v>
      </c>
      <c r="E3108">
        <v>2944.4443489999999</v>
      </c>
    </row>
    <row r="3109" spans="1:5" hidden="1" x14ac:dyDescent="0.3">
      <c r="A3109">
        <v>81</v>
      </c>
      <c r="B3109">
        <v>505000</v>
      </c>
      <c r="C3109" t="s">
        <v>45</v>
      </c>
      <c r="D3109" t="s">
        <v>26</v>
      </c>
      <c r="E3109">
        <v>0.21462300000000001</v>
      </c>
    </row>
    <row r="3110" spans="1:5" hidden="1" x14ac:dyDescent="0.3">
      <c r="A3110">
        <v>82</v>
      </c>
      <c r="B3110">
        <v>510000</v>
      </c>
      <c r="C3110" t="s">
        <v>45</v>
      </c>
      <c r="D3110" t="s">
        <v>6</v>
      </c>
      <c r="E3110">
        <v>1.079709</v>
      </c>
    </row>
    <row r="3111" spans="1:5" hidden="1" x14ac:dyDescent="0.3">
      <c r="A3111">
        <v>82</v>
      </c>
      <c r="B3111">
        <v>510000</v>
      </c>
      <c r="C3111" t="s">
        <v>45</v>
      </c>
      <c r="D3111" t="s">
        <v>7</v>
      </c>
      <c r="E3111">
        <v>53000.001554000002</v>
      </c>
    </row>
    <row r="3112" spans="1:5" hidden="1" x14ac:dyDescent="0.3">
      <c r="A3112">
        <v>82</v>
      </c>
      <c r="B3112">
        <v>510000</v>
      </c>
      <c r="C3112" t="s">
        <v>45</v>
      </c>
      <c r="D3112" t="s">
        <v>8</v>
      </c>
      <c r="E3112">
        <v>388.88708700000001</v>
      </c>
    </row>
    <row r="3113" spans="1:5" hidden="1" x14ac:dyDescent="0.3">
      <c r="A3113">
        <v>82</v>
      </c>
      <c r="B3113">
        <v>510000</v>
      </c>
      <c r="C3113" t="s">
        <v>45</v>
      </c>
      <c r="D3113" t="s">
        <v>9</v>
      </c>
      <c r="E3113">
        <v>120840.160013</v>
      </c>
    </row>
    <row r="3114" spans="1:5" hidden="1" x14ac:dyDescent="0.3">
      <c r="A3114">
        <v>82</v>
      </c>
      <c r="B3114">
        <v>510000</v>
      </c>
      <c r="C3114" t="s">
        <v>45</v>
      </c>
      <c r="D3114" t="s">
        <v>10</v>
      </c>
      <c r="E3114">
        <v>92999.100395999994</v>
      </c>
    </row>
    <row r="3115" spans="1:5" hidden="1" x14ac:dyDescent="0.3">
      <c r="A3115">
        <v>82</v>
      </c>
      <c r="B3115">
        <v>510000</v>
      </c>
      <c r="C3115" t="s">
        <v>45</v>
      </c>
      <c r="D3115" t="s">
        <v>11</v>
      </c>
      <c r="E3115">
        <v>34138.890302</v>
      </c>
    </row>
    <row r="3116" spans="1:5" hidden="1" x14ac:dyDescent="0.3">
      <c r="A3116">
        <v>82</v>
      </c>
      <c r="B3116">
        <v>510000</v>
      </c>
      <c r="C3116" t="s">
        <v>45</v>
      </c>
      <c r="D3116" t="s">
        <v>12</v>
      </c>
      <c r="E3116">
        <v>44388.890303</v>
      </c>
    </row>
    <row r="3117" spans="1:5" hidden="1" x14ac:dyDescent="0.3">
      <c r="A3117">
        <v>82</v>
      </c>
      <c r="B3117">
        <v>510000</v>
      </c>
      <c r="C3117" t="s">
        <v>45</v>
      </c>
      <c r="D3117" t="s">
        <v>13</v>
      </c>
      <c r="E3117">
        <v>35431.345994000003</v>
      </c>
    </row>
    <row r="3118" spans="1:5" hidden="1" x14ac:dyDescent="0.3">
      <c r="A3118">
        <v>82</v>
      </c>
      <c r="B3118">
        <v>510000</v>
      </c>
      <c r="C3118" t="s">
        <v>45</v>
      </c>
      <c r="D3118" t="s">
        <v>14</v>
      </c>
      <c r="E3118">
        <v>12472.223754000001</v>
      </c>
    </row>
    <row r="3119" spans="1:5" hidden="1" x14ac:dyDescent="0.3">
      <c r="A3119">
        <v>82</v>
      </c>
      <c r="B3119">
        <v>510000</v>
      </c>
      <c r="C3119" t="s">
        <v>45</v>
      </c>
      <c r="D3119" t="s">
        <v>15</v>
      </c>
      <c r="E3119">
        <v>3.056657</v>
      </c>
    </row>
    <row r="3120" spans="1:5" hidden="1" x14ac:dyDescent="0.3">
      <c r="A3120">
        <v>82</v>
      </c>
      <c r="B3120">
        <v>510000</v>
      </c>
      <c r="C3120" t="s">
        <v>45</v>
      </c>
      <c r="D3120" t="s">
        <v>16</v>
      </c>
      <c r="E3120">
        <v>40333.001741</v>
      </c>
    </row>
    <row r="3121" spans="1:5" hidden="1" x14ac:dyDescent="0.3">
      <c r="A3121">
        <v>82</v>
      </c>
      <c r="B3121">
        <v>510000</v>
      </c>
      <c r="C3121" t="s">
        <v>45</v>
      </c>
      <c r="D3121" t="s">
        <v>17</v>
      </c>
      <c r="E3121">
        <v>0.23555400000000001</v>
      </c>
    </row>
    <row r="3122" spans="1:5" hidden="1" x14ac:dyDescent="0.3">
      <c r="A3122">
        <v>82</v>
      </c>
      <c r="B3122">
        <v>510000</v>
      </c>
      <c r="C3122" t="s">
        <v>45</v>
      </c>
      <c r="D3122" t="s">
        <v>18</v>
      </c>
      <c r="E3122">
        <v>88.834828000000002</v>
      </c>
    </row>
    <row r="3123" spans="1:5" hidden="1" x14ac:dyDescent="0.3">
      <c r="A3123">
        <v>82</v>
      </c>
      <c r="B3123">
        <v>510000</v>
      </c>
      <c r="C3123" t="s">
        <v>45</v>
      </c>
      <c r="D3123" t="s">
        <v>19</v>
      </c>
      <c r="E3123">
        <v>8833.3349660000003</v>
      </c>
    </row>
    <row r="3124" spans="1:5" hidden="1" x14ac:dyDescent="0.3">
      <c r="A3124">
        <v>82</v>
      </c>
      <c r="B3124">
        <v>510000</v>
      </c>
      <c r="C3124" t="s">
        <v>45</v>
      </c>
      <c r="D3124" t="s">
        <v>20</v>
      </c>
      <c r="E3124">
        <v>15166.668329</v>
      </c>
    </row>
    <row r="3125" spans="1:5" hidden="1" x14ac:dyDescent="0.3">
      <c r="A3125">
        <v>82</v>
      </c>
      <c r="B3125">
        <v>510000</v>
      </c>
      <c r="C3125" t="s">
        <v>45</v>
      </c>
      <c r="D3125" t="s">
        <v>21</v>
      </c>
      <c r="E3125">
        <v>0.114506</v>
      </c>
    </row>
    <row r="3126" spans="1:5" hidden="1" x14ac:dyDescent="0.3">
      <c r="A3126">
        <v>82</v>
      </c>
      <c r="B3126">
        <v>510000</v>
      </c>
      <c r="C3126" t="s">
        <v>45</v>
      </c>
      <c r="D3126" t="s">
        <v>22</v>
      </c>
      <c r="E3126">
        <v>504.14881500000001</v>
      </c>
    </row>
    <row r="3127" spans="1:5" hidden="1" x14ac:dyDescent="0.3">
      <c r="A3127">
        <v>82</v>
      </c>
      <c r="B3127">
        <v>510000</v>
      </c>
      <c r="C3127" t="s">
        <v>45</v>
      </c>
      <c r="D3127" t="s">
        <v>23</v>
      </c>
      <c r="E3127">
        <v>4444.4462460000004</v>
      </c>
    </row>
    <row r="3128" spans="1:5" hidden="1" x14ac:dyDescent="0.3">
      <c r="A3128">
        <v>82</v>
      </c>
      <c r="B3128">
        <v>510000</v>
      </c>
      <c r="C3128" t="s">
        <v>45</v>
      </c>
      <c r="D3128" t="s">
        <v>24</v>
      </c>
      <c r="E3128">
        <v>44021.000107</v>
      </c>
    </row>
    <row r="3129" spans="1:5" hidden="1" x14ac:dyDescent="0.3">
      <c r="A3129">
        <v>82</v>
      </c>
      <c r="B3129">
        <v>510000</v>
      </c>
      <c r="C3129" t="s">
        <v>45</v>
      </c>
      <c r="D3129" t="s">
        <v>25</v>
      </c>
      <c r="E3129">
        <v>2944.4451909999998</v>
      </c>
    </row>
    <row r="3130" spans="1:5" hidden="1" x14ac:dyDescent="0.3">
      <c r="A3130">
        <v>82</v>
      </c>
      <c r="B3130">
        <v>510000</v>
      </c>
      <c r="C3130" t="s">
        <v>45</v>
      </c>
      <c r="D3130" t="s">
        <v>26</v>
      </c>
      <c r="E3130">
        <v>0.17893200000000001</v>
      </c>
    </row>
    <row r="3131" spans="1:5" hidden="1" x14ac:dyDescent="0.3">
      <c r="A3131">
        <v>83</v>
      </c>
      <c r="B3131">
        <v>515000</v>
      </c>
      <c r="C3131" t="s">
        <v>45</v>
      </c>
      <c r="D3131" t="s">
        <v>6</v>
      </c>
      <c r="E3131">
        <v>0.19503400000000001</v>
      </c>
    </row>
    <row r="3132" spans="1:5" hidden="1" x14ac:dyDescent="0.3">
      <c r="A3132">
        <v>83</v>
      </c>
      <c r="B3132">
        <v>515000</v>
      </c>
      <c r="C3132" t="s">
        <v>45</v>
      </c>
      <c r="D3132" t="s">
        <v>7</v>
      </c>
      <c r="E3132">
        <v>53000.000071000002</v>
      </c>
    </row>
    <row r="3133" spans="1:5" hidden="1" x14ac:dyDescent="0.3">
      <c r="A3133">
        <v>83</v>
      </c>
      <c r="B3133">
        <v>515000</v>
      </c>
      <c r="C3133" t="s">
        <v>45</v>
      </c>
      <c r="D3133" t="s">
        <v>8</v>
      </c>
      <c r="E3133">
        <v>388.88707099999999</v>
      </c>
    </row>
    <row r="3134" spans="1:5" hidden="1" x14ac:dyDescent="0.3">
      <c r="A3134">
        <v>83</v>
      </c>
      <c r="B3134">
        <v>515000</v>
      </c>
      <c r="C3134" t="s">
        <v>45</v>
      </c>
      <c r="D3134" t="s">
        <v>9</v>
      </c>
      <c r="E3134">
        <v>120840.15524399999</v>
      </c>
    </row>
    <row r="3135" spans="1:5" hidden="1" x14ac:dyDescent="0.3">
      <c r="A3135">
        <v>83</v>
      </c>
      <c r="B3135">
        <v>515000</v>
      </c>
      <c r="C3135" t="s">
        <v>45</v>
      </c>
      <c r="D3135" t="s">
        <v>10</v>
      </c>
      <c r="E3135">
        <v>92999.422479999994</v>
      </c>
    </row>
    <row r="3136" spans="1:5" hidden="1" x14ac:dyDescent="0.3">
      <c r="A3136">
        <v>83</v>
      </c>
      <c r="B3136">
        <v>515000</v>
      </c>
      <c r="C3136" t="s">
        <v>45</v>
      </c>
      <c r="D3136" t="s">
        <v>11</v>
      </c>
      <c r="E3136">
        <v>34138.888826000002</v>
      </c>
    </row>
    <row r="3137" spans="1:5" hidden="1" x14ac:dyDescent="0.3">
      <c r="A3137">
        <v>83</v>
      </c>
      <c r="B3137">
        <v>515000</v>
      </c>
      <c r="C3137" t="s">
        <v>45</v>
      </c>
      <c r="D3137" t="s">
        <v>12</v>
      </c>
      <c r="E3137">
        <v>44388.888787999997</v>
      </c>
    </row>
    <row r="3138" spans="1:5" hidden="1" x14ac:dyDescent="0.3">
      <c r="A3138">
        <v>83</v>
      </c>
      <c r="B3138">
        <v>515000</v>
      </c>
      <c r="C3138" t="s">
        <v>45</v>
      </c>
      <c r="D3138" t="s">
        <v>13</v>
      </c>
      <c r="E3138">
        <v>35431.344531000002</v>
      </c>
    </row>
    <row r="3139" spans="1:5" hidden="1" x14ac:dyDescent="0.3">
      <c r="A3139">
        <v>83</v>
      </c>
      <c r="B3139">
        <v>515000</v>
      </c>
      <c r="C3139" t="s">
        <v>45</v>
      </c>
      <c r="D3139" t="s">
        <v>14</v>
      </c>
      <c r="E3139">
        <v>12472.222404</v>
      </c>
    </row>
    <row r="3140" spans="1:5" hidden="1" x14ac:dyDescent="0.3">
      <c r="A3140">
        <v>83</v>
      </c>
      <c r="B3140">
        <v>515000</v>
      </c>
      <c r="C3140" t="s">
        <v>45</v>
      </c>
      <c r="D3140" t="s">
        <v>15</v>
      </c>
      <c r="E3140">
        <v>4968.8921529999998</v>
      </c>
    </row>
    <row r="3141" spans="1:5" hidden="1" x14ac:dyDescent="0.3">
      <c r="A3141">
        <v>83</v>
      </c>
      <c r="B3141">
        <v>515000</v>
      </c>
      <c r="C3141" t="s">
        <v>45</v>
      </c>
      <c r="D3141" t="s">
        <v>16</v>
      </c>
      <c r="E3141">
        <v>40333.00043</v>
      </c>
    </row>
    <row r="3142" spans="1:5" hidden="1" x14ac:dyDescent="0.3">
      <c r="A3142">
        <v>83</v>
      </c>
      <c r="B3142">
        <v>515000</v>
      </c>
      <c r="C3142" t="s">
        <v>45</v>
      </c>
      <c r="D3142" t="s">
        <v>17</v>
      </c>
      <c r="E3142">
        <v>0.42298599999999997</v>
      </c>
    </row>
    <row r="3143" spans="1:5" hidden="1" x14ac:dyDescent="0.3">
      <c r="A3143">
        <v>83</v>
      </c>
      <c r="B3143">
        <v>515000</v>
      </c>
      <c r="C3143" t="s">
        <v>45</v>
      </c>
      <c r="D3143" t="s">
        <v>18</v>
      </c>
      <c r="E3143">
        <v>88.833635000000001</v>
      </c>
    </row>
    <row r="3144" spans="1:5" hidden="1" x14ac:dyDescent="0.3">
      <c r="A3144">
        <v>83</v>
      </c>
      <c r="B3144">
        <v>515000</v>
      </c>
      <c r="C3144" t="s">
        <v>45</v>
      </c>
      <c r="D3144" t="s">
        <v>19</v>
      </c>
      <c r="E3144">
        <v>8833.3336350000009</v>
      </c>
    </row>
    <row r="3145" spans="1:5" hidden="1" x14ac:dyDescent="0.3">
      <c r="A3145">
        <v>83</v>
      </c>
      <c r="B3145">
        <v>515000</v>
      </c>
      <c r="C3145" t="s">
        <v>45</v>
      </c>
      <c r="D3145" t="s">
        <v>20</v>
      </c>
      <c r="E3145">
        <v>15166.666947</v>
      </c>
    </row>
    <row r="3146" spans="1:5" hidden="1" x14ac:dyDescent="0.3">
      <c r="A3146">
        <v>83</v>
      </c>
      <c r="B3146">
        <v>515000</v>
      </c>
      <c r="C3146" t="s">
        <v>45</v>
      </c>
      <c r="D3146" t="s">
        <v>21</v>
      </c>
      <c r="E3146">
        <v>0.12335599999999999</v>
      </c>
    </row>
    <row r="3147" spans="1:5" hidden="1" x14ac:dyDescent="0.3">
      <c r="A3147">
        <v>83</v>
      </c>
      <c r="B3147">
        <v>515000</v>
      </c>
      <c r="C3147" t="s">
        <v>45</v>
      </c>
      <c r="D3147" t="s">
        <v>22</v>
      </c>
      <c r="E3147">
        <v>504.147581</v>
      </c>
    </row>
    <row r="3148" spans="1:5" hidden="1" x14ac:dyDescent="0.3">
      <c r="A3148">
        <v>83</v>
      </c>
      <c r="B3148">
        <v>515000</v>
      </c>
      <c r="C3148" t="s">
        <v>45</v>
      </c>
      <c r="D3148" t="s">
        <v>23</v>
      </c>
      <c r="E3148">
        <v>4444.4449210000002</v>
      </c>
    </row>
    <row r="3149" spans="1:5" hidden="1" x14ac:dyDescent="0.3">
      <c r="A3149">
        <v>83</v>
      </c>
      <c r="B3149">
        <v>515000</v>
      </c>
      <c r="C3149" t="s">
        <v>45</v>
      </c>
      <c r="D3149" t="s">
        <v>24</v>
      </c>
      <c r="E3149">
        <v>44055.439902999999</v>
      </c>
    </row>
    <row r="3150" spans="1:5" hidden="1" x14ac:dyDescent="0.3">
      <c r="A3150">
        <v>83</v>
      </c>
      <c r="B3150">
        <v>515000</v>
      </c>
      <c r="C3150" t="s">
        <v>45</v>
      </c>
      <c r="D3150" t="s">
        <v>25</v>
      </c>
      <c r="E3150">
        <v>2944.4440140000002</v>
      </c>
    </row>
    <row r="3151" spans="1:5" hidden="1" x14ac:dyDescent="0.3">
      <c r="A3151">
        <v>83</v>
      </c>
      <c r="B3151">
        <v>515000</v>
      </c>
      <c r="C3151" t="s">
        <v>45</v>
      </c>
      <c r="D3151" t="s">
        <v>26</v>
      </c>
      <c r="E3151">
        <v>0.26302300000000001</v>
      </c>
    </row>
    <row r="3152" spans="1:5" hidden="1" x14ac:dyDescent="0.3">
      <c r="A3152">
        <v>84</v>
      </c>
      <c r="B3152">
        <v>520000</v>
      </c>
      <c r="C3152" t="s">
        <v>45</v>
      </c>
      <c r="D3152" t="s">
        <v>6</v>
      </c>
      <c r="E3152">
        <v>1.860419</v>
      </c>
    </row>
    <row r="3153" spans="1:5" hidden="1" x14ac:dyDescent="0.3">
      <c r="A3153">
        <v>84</v>
      </c>
      <c r="B3153">
        <v>520000</v>
      </c>
      <c r="C3153" t="s">
        <v>45</v>
      </c>
      <c r="D3153" t="s">
        <v>7</v>
      </c>
      <c r="E3153">
        <v>53000.000741000003</v>
      </c>
    </row>
    <row r="3154" spans="1:5" hidden="1" x14ac:dyDescent="0.3">
      <c r="A3154">
        <v>84</v>
      </c>
      <c r="B3154">
        <v>520000</v>
      </c>
      <c r="C3154" t="s">
        <v>45</v>
      </c>
      <c r="D3154" t="s">
        <v>8</v>
      </c>
      <c r="E3154">
        <v>388.88787100000002</v>
      </c>
    </row>
    <row r="3155" spans="1:5" hidden="1" x14ac:dyDescent="0.3">
      <c r="A3155">
        <v>84</v>
      </c>
      <c r="B3155">
        <v>520000</v>
      </c>
      <c r="C3155" t="s">
        <v>45</v>
      </c>
      <c r="D3155" t="s">
        <v>9</v>
      </c>
      <c r="E3155">
        <v>120840.092471</v>
      </c>
    </row>
    <row r="3156" spans="1:5" hidden="1" x14ac:dyDescent="0.3">
      <c r="A3156">
        <v>84</v>
      </c>
      <c r="B3156">
        <v>520000</v>
      </c>
      <c r="C3156" t="s">
        <v>45</v>
      </c>
      <c r="D3156" t="s">
        <v>10</v>
      </c>
      <c r="E3156">
        <v>92999.783832999994</v>
      </c>
    </row>
    <row r="3157" spans="1:5" hidden="1" x14ac:dyDescent="0.3">
      <c r="A3157">
        <v>84</v>
      </c>
      <c r="B3157">
        <v>520000</v>
      </c>
      <c r="C3157" t="s">
        <v>45</v>
      </c>
      <c r="D3157" t="s">
        <v>11</v>
      </c>
      <c r="E3157">
        <v>34138.889540999997</v>
      </c>
    </row>
    <row r="3158" spans="1:5" hidden="1" x14ac:dyDescent="0.3">
      <c r="A3158">
        <v>84</v>
      </c>
      <c r="B3158">
        <v>520000</v>
      </c>
      <c r="C3158" t="s">
        <v>45</v>
      </c>
      <c r="D3158" t="s">
        <v>12</v>
      </c>
      <c r="E3158">
        <v>44388.889533000001</v>
      </c>
    </row>
    <row r="3159" spans="1:5" hidden="1" x14ac:dyDescent="0.3">
      <c r="A3159">
        <v>84</v>
      </c>
      <c r="B3159">
        <v>520000</v>
      </c>
      <c r="C3159" t="s">
        <v>45</v>
      </c>
      <c r="D3159" t="s">
        <v>13</v>
      </c>
      <c r="E3159">
        <v>35431.345220000003</v>
      </c>
    </row>
    <row r="3160" spans="1:5" hidden="1" x14ac:dyDescent="0.3">
      <c r="A3160">
        <v>84</v>
      </c>
      <c r="B3160">
        <v>520000</v>
      </c>
      <c r="C3160" t="s">
        <v>45</v>
      </c>
      <c r="D3160" t="s">
        <v>14</v>
      </c>
      <c r="E3160">
        <v>12472.22301</v>
      </c>
    </row>
    <row r="3161" spans="1:5" hidden="1" x14ac:dyDescent="0.3">
      <c r="A3161">
        <v>84</v>
      </c>
      <c r="B3161">
        <v>520000</v>
      </c>
      <c r="C3161" t="s">
        <v>45</v>
      </c>
      <c r="D3161" t="s">
        <v>15</v>
      </c>
      <c r="E3161">
        <v>9966.9143760000006</v>
      </c>
    </row>
    <row r="3162" spans="1:5" hidden="1" x14ac:dyDescent="0.3">
      <c r="A3162">
        <v>84</v>
      </c>
      <c r="B3162">
        <v>520000</v>
      </c>
      <c r="C3162" t="s">
        <v>45</v>
      </c>
      <c r="D3162" t="s">
        <v>16</v>
      </c>
      <c r="E3162">
        <v>40333.001112999998</v>
      </c>
    </row>
    <row r="3163" spans="1:5" hidden="1" x14ac:dyDescent="0.3">
      <c r="A3163">
        <v>84</v>
      </c>
      <c r="B3163">
        <v>520000</v>
      </c>
      <c r="C3163" t="s">
        <v>45</v>
      </c>
      <c r="D3163" t="s">
        <v>17</v>
      </c>
      <c r="E3163">
        <v>0.39581899999999998</v>
      </c>
    </row>
    <row r="3164" spans="1:5" hidden="1" x14ac:dyDescent="0.3">
      <c r="A3164">
        <v>84</v>
      </c>
      <c r="B3164">
        <v>520000</v>
      </c>
      <c r="C3164" t="s">
        <v>45</v>
      </c>
      <c r="D3164" t="s">
        <v>18</v>
      </c>
      <c r="E3164">
        <v>88.834181000000001</v>
      </c>
    </row>
    <row r="3165" spans="1:5" hidden="1" x14ac:dyDescent="0.3">
      <c r="A3165">
        <v>84</v>
      </c>
      <c r="B3165">
        <v>520000</v>
      </c>
      <c r="C3165" t="s">
        <v>45</v>
      </c>
      <c r="D3165" t="s">
        <v>19</v>
      </c>
      <c r="E3165">
        <v>8833.3342389999998</v>
      </c>
    </row>
    <row r="3166" spans="1:5" hidden="1" x14ac:dyDescent="0.3">
      <c r="A3166">
        <v>84</v>
      </c>
      <c r="B3166">
        <v>520000</v>
      </c>
      <c r="C3166" t="s">
        <v>45</v>
      </c>
      <c r="D3166" t="s">
        <v>20</v>
      </c>
      <c r="E3166">
        <v>15166.667557000001</v>
      </c>
    </row>
    <row r="3167" spans="1:5" hidden="1" x14ac:dyDescent="0.3">
      <c r="A3167">
        <v>84</v>
      </c>
      <c r="B3167">
        <v>520000</v>
      </c>
      <c r="C3167" t="s">
        <v>45</v>
      </c>
      <c r="D3167" t="s">
        <v>21</v>
      </c>
      <c r="E3167">
        <v>0.12112299999999999</v>
      </c>
    </row>
    <row r="3168" spans="1:5" hidden="1" x14ac:dyDescent="0.3">
      <c r="A3168">
        <v>84</v>
      </c>
      <c r="B3168">
        <v>520000</v>
      </c>
      <c r="C3168" t="s">
        <v>45</v>
      </c>
      <c r="D3168" t="s">
        <v>22</v>
      </c>
      <c r="E3168">
        <v>504.14810799999998</v>
      </c>
    </row>
    <row r="3169" spans="1:5" hidden="1" x14ac:dyDescent="0.3">
      <c r="A3169">
        <v>84</v>
      </c>
      <c r="B3169">
        <v>520000</v>
      </c>
      <c r="C3169" t="s">
        <v>45</v>
      </c>
      <c r="D3169" t="s">
        <v>23</v>
      </c>
      <c r="E3169">
        <v>4444.445479</v>
      </c>
    </row>
    <row r="3170" spans="1:5" hidden="1" x14ac:dyDescent="0.3">
      <c r="A3170">
        <v>84</v>
      </c>
      <c r="B3170">
        <v>520000</v>
      </c>
      <c r="C3170" t="s">
        <v>45</v>
      </c>
      <c r="D3170" t="s">
        <v>24</v>
      </c>
      <c r="E3170">
        <v>44055.554984000002</v>
      </c>
    </row>
    <row r="3171" spans="1:5" hidden="1" x14ac:dyDescent="0.3">
      <c r="A3171">
        <v>84</v>
      </c>
      <c r="B3171">
        <v>520000</v>
      </c>
      <c r="C3171" t="s">
        <v>45</v>
      </c>
      <c r="D3171" t="s">
        <v>25</v>
      </c>
      <c r="E3171">
        <v>2944.4446389999998</v>
      </c>
    </row>
    <row r="3172" spans="1:5" hidden="1" x14ac:dyDescent="0.3">
      <c r="A3172">
        <v>84</v>
      </c>
      <c r="B3172">
        <v>520000</v>
      </c>
      <c r="C3172" t="s">
        <v>45</v>
      </c>
      <c r="D3172" t="s">
        <v>26</v>
      </c>
      <c r="E3172">
        <v>0.19417200000000001</v>
      </c>
    </row>
    <row r="3173" spans="1:5" hidden="1" x14ac:dyDescent="0.3">
      <c r="A3173">
        <v>85</v>
      </c>
      <c r="B3173">
        <v>525000</v>
      </c>
      <c r="C3173" t="s">
        <v>45</v>
      </c>
      <c r="D3173" t="s">
        <v>6</v>
      </c>
      <c r="E3173">
        <v>1.7818210000000001</v>
      </c>
    </row>
    <row r="3174" spans="1:5" hidden="1" x14ac:dyDescent="0.3">
      <c r="A3174">
        <v>85</v>
      </c>
      <c r="B3174">
        <v>525000</v>
      </c>
      <c r="C3174" t="s">
        <v>45</v>
      </c>
      <c r="D3174" t="s">
        <v>7</v>
      </c>
      <c r="E3174">
        <v>53000.001255000003</v>
      </c>
    </row>
    <row r="3175" spans="1:5" hidden="1" x14ac:dyDescent="0.3">
      <c r="A3175">
        <v>85</v>
      </c>
      <c r="B3175">
        <v>525000</v>
      </c>
      <c r="C3175" t="s">
        <v>45</v>
      </c>
      <c r="D3175" t="s">
        <v>8</v>
      </c>
      <c r="E3175">
        <v>388.88772699999998</v>
      </c>
    </row>
    <row r="3176" spans="1:5" hidden="1" x14ac:dyDescent="0.3">
      <c r="A3176">
        <v>85</v>
      </c>
      <c r="B3176">
        <v>525000</v>
      </c>
      <c r="C3176" t="s">
        <v>45</v>
      </c>
      <c r="D3176" t="s">
        <v>9</v>
      </c>
      <c r="E3176">
        <v>120840.167718</v>
      </c>
    </row>
    <row r="3177" spans="1:5" hidden="1" x14ac:dyDescent="0.3">
      <c r="A3177">
        <v>85</v>
      </c>
      <c r="B3177">
        <v>525000</v>
      </c>
      <c r="C3177" t="s">
        <v>45</v>
      </c>
      <c r="D3177" t="s">
        <v>10</v>
      </c>
      <c r="E3177">
        <v>92999.878014000002</v>
      </c>
    </row>
    <row r="3178" spans="1:5" hidden="1" x14ac:dyDescent="0.3">
      <c r="A3178">
        <v>85</v>
      </c>
      <c r="B3178">
        <v>525000</v>
      </c>
      <c r="C3178" t="s">
        <v>45</v>
      </c>
      <c r="D3178" t="s">
        <v>11</v>
      </c>
      <c r="E3178">
        <v>34138.890033999996</v>
      </c>
    </row>
    <row r="3179" spans="1:5" hidden="1" x14ac:dyDescent="0.3">
      <c r="A3179">
        <v>85</v>
      </c>
      <c r="B3179">
        <v>525000</v>
      </c>
      <c r="C3179" t="s">
        <v>45</v>
      </c>
      <c r="D3179" t="s">
        <v>12</v>
      </c>
      <c r="E3179">
        <v>44388.890033999996</v>
      </c>
    </row>
    <row r="3180" spans="1:5" hidden="1" x14ac:dyDescent="0.3">
      <c r="A3180">
        <v>85</v>
      </c>
      <c r="B3180">
        <v>525000</v>
      </c>
      <c r="C3180" t="s">
        <v>45</v>
      </c>
      <c r="D3180" t="s">
        <v>13</v>
      </c>
      <c r="E3180">
        <v>35431.345703999999</v>
      </c>
    </row>
    <row r="3181" spans="1:5" hidden="1" x14ac:dyDescent="0.3">
      <c r="A3181">
        <v>85</v>
      </c>
      <c r="B3181">
        <v>525000</v>
      </c>
      <c r="C3181" t="s">
        <v>45</v>
      </c>
      <c r="D3181" t="s">
        <v>14</v>
      </c>
      <c r="E3181">
        <v>12472.223453000001</v>
      </c>
    </row>
    <row r="3182" spans="1:5" hidden="1" x14ac:dyDescent="0.3">
      <c r="A3182">
        <v>85</v>
      </c>
      <c r="B3182">
        <v>525000</v>
      </c>
      <c r="C3182" t="s">
        <v>45</v>
      </c>
      <c r="D3182" t="s">
        <v>15</v>
      </c>
      <c r="E3182">
        <v>14966.902253</v>
      </c>
    </row>
    <row r="3183" spans="1:5" hidden="1" x14ac:dyDescent="0.3">
      <c r="A3183">
        <v>85</v>
      </c>
      <c r="B3183">
        <v>525000</v>
      </c>
      <c r="C3183" t="s">
        <v>45</v>
      </c>
      <c r="D3183" t="s">
        <v>16</v>
      </c>
      <c r="E3183">
        <v>40333.001398</v>
      </c>
    </row>
    <row r="3184" spans="1:5" hidden="1" x14ac:dyDescent="0.3">
      <c r="A3184">
        <v>85</v>
      </c>
      <c r="B3184">
        <v>525000</v>
      </c>
      <c r="C3184" t="s">
        <v>45</v>
      </c>
      <c r="D3184" t="s">
        <v>17</v>
      </c>
      <c r="E3184">
        <v>0.34305400000000003</v>
      </c>
    </row>
    <row r="3185" spans="1:5" hidden="1" x14ac:dyDescent="0.3">
      <c r="A3185">
        <v>85</v>
      </c>
      <c r="B3185">
        <v>525000</v>
      </c>
      <c r="C3185" t="s">
        <v>45</v>
      </c>
      <c r="D3185" t="s">
        <v>18</v>
      </c>
      <c r="E3185">
        <v>88.834495000000004</v>
      </c>
    </row>
    <row r="3186" spans="1:5" hidden="1" x14ac:dyDescent="0.3">
      <c r="A3186">
        <v>85</v>
      </c>
      <c r="B3186">
        <v>525000</v>
      </c>
      <c r="C3186" t="s">
        <v>45</v>
      </c>
      <c r="D3186" t="s">
        <v>19</v>
      </c>
      <c r="E3186">
        <v>8833.3346459999993</v>
      </c>
    </row>
    <row r="3187" spans="1:5" hidden="1" x14ac:dyDescent="0.3">
      <c r="A3187">
        <v>85</v>
      </c>
      <c r="B3187">
        <v>525000</v>
      </c>
      <c r="C3187" t="s">
        <v>45</v>
      </c>
      <c r="D3187" t="s">
        <v>20</v>
      </c>
      <c r="E3187">
        <v>15166.668014000001</v>
      </c>
    </row>
    <row r="3188" spans="1:5" hidden="1" x14ac:dyDescent="0.3">
      <c r="A3188">
        <v>85</v>
      </c>
      <c r="B3188">
        <v>525000</v>
      </c>
      <c r="C3188" t="s">
        <v>45</v>
      </c>
      <c r="D3188" t="s">
        <v>21</v>
      </c>
      <c r="E3188">
        <v>0.12865499999999999</v>
      </c>
    </row>
    <row r="3189" spans="1:5" hidden="1" x14ac:dyDescent="0.3">
      <c r="A3189">
        <v>85</v>
      </c>
      <c r="B3189">
        <v>525000</v>
      </c>
      <c r="C3189" t="s">
        <v>45</v>
      </c>
      <c r="D3189" t="s">
        <v>22</v>
      </c>
      <c r="E3189">
        <v>504.148416</v>
      </c>
    </row>
    <row r="3190" spans="1:5" hidden="1" x14ac:dyDescent="0.3">
      <c r="A3190">
        <v>85</v>
      </c>
      <c r="B3190">
        <v>525000</v>
      </c>
      <c r="C3190" t="s">
        <v>45</v>
      </c>
      <c r="D3190" t="s">
        <v>23</v>
      </c>
      <c r="E3190">
        <v>4444.4458780000004</v>
      </c>
    </row>
    <row r="3191" spans="1:5" hidden="1" x14ac:dyDescent="0.3">
      <c r="A3191">
        <v>85</v>
      </c>
      <c r="B3191">
        <v>525000</v>
      </c>
      <c r="C3191" t="s">
        <v>45</v>
      </c>
      <c r="D3191" t="s">
        <v>24</v>
      </c>
      <c r="E3191">
        <v>44055.548067999996</v>
      </c>
    </row>
    <row r="3192" spans="1:5" hidden="1" x14ac:dyDescent="0.3">
      <c r="A3192">
        <v>85</v>
      </c>
      <c r="B3192">
        <v>525000</v>
      </c>
      <c r="C3192" t="s">
        <v>45</v>
      </c>
      <c r="D3192" t="s">
        <v>25</v>
      </c>
      <c r="E3192">
        <v>2944.4448069999999</v>
      </c>
    </row>
    <row r="3193" spans="1:5" hidden="1" x14ac:dyDescent="0.3">
      <c r="A3193">
        <v>85</v>
      </c>
      <c r="B3193">
        <v>525000</v>
      </c>
      <c r="C3193" t="s">
        <v>45</v>
      </c>
      <c r="D3193" t="s">
        <v>26</v>
      </c>
      <c r="E3193">
        <v>0.17222199999999999</v>
      </c>
    </row>
    <row r="3194" spans="1:5" hidden="1" x14ac:dyDescent="0.3">
      <c r="A3194">
        <v>86</v>
      </c>
      <c r="B3194">
        <v>530000</v>
      </c>
      <c r="C3194" t="s">
        <v>45</v>
      </c>
      <c r="D3194" t="s">
        <v>6</v>
      </c>
      <c r="E3194">
        <v>2.504213</v>
      </c>
    </row>
    <row r="3195" spans="1:5" hidden="1" x14ac:dyDescent="0.3">
      <c r="A3195">
        <v>86</v>
      </c>
      <c r="B3195">
        <v>530000</v>
      </c>
      <c r="C3195" t="s">
        <v>45</v>
      </c>
      <c r="D3195" t="s">
        <v>7</v>
      </c>
      <c r="E3195">
        <v>53000.003361000003</v>
      </c>
    </row>
    <row r="3196" spans="1:5" hidden="1" x14ac:dyDescent="0.3">
      <c r="A3196">
        <v>86</v>
      </c>
      <c r="B3196">
        <v>530000</v>
      </c>
      <c r="C3196" t="s">
        <v>45</v>
      </c>
      <c r="D3196" t="s">
        <v>8</v>
      </c>
      <c r="E3196">
        <v>388.88924700000001</v>
      </c>
    </row>
    <row r="3197" spans="1:5" hidden="1" x14ac:dyDescent="0.3">
      <c r="A3197">
        <v>86</v>
      </c>
      <c r="B3197">
        <v>530000</v>
      </c>
      <c r="C3197" t="s">
        <v>45</v>
      </c>
      <c r="D3197" t="s">
        <v>9</v>
      </c>
      <c r="E3197">
        <v>120840.16894800001</v>
      </c>
    </row>
    <row r="3198" spans="1:5" hidden="1" x14ac:dyDescent="0.3">
      <c r="A3198">
        <v>86</v>
      </c>
      <c r="B3198">
        <v>530000</v>
      </c>
      <c r="C3198" t="s">
        <v>45</v>
      </c>
      <c r="D3198" t="s">
        <v>10</v>
      </c>
      <c r="E3198">
        <v>92999.994116999995</v>
      </c>
    </row>
    <row r="3199" spans="1:5" hidden="1" x14ac:dyDescent="0.3">
      <c r="A3199">
        <v>86</v>
      </c>
      <c r="B3199">
        <v>530000</v>
      </c>
      <c r="C3199" t="s">
        <v>45</v>
      </c>
      <c r="D3199" t="s">
        <v>11</v>
      </c>
      <c r="E3199">
        <v>34138.892039999999</v>
      </c>
    </row>
    <row r="3200" spans="1:5" hidden="1" x14ac:dyDescent="0.3">
      <c r="A3200">
        <v>86</v>
      </c>
      <c r="B3200">
        <v>530000</v>
      </c>
      <c r="C3200" t="s">
        <v>45</v>
      </c>
      <c r="D3200" t="s">
        <v>12</v>
      </c>
      <c r="E3200">
        <v>44388.892016999998</v>
      </c>
    </row>
    <row r="3201" spans="1:5" hidden="1" x14ac:dyDescent="0.3">
      <c r="A3201">
        <v>86</v>
      </c>
      <c r="B3201">
        <v>530000</v>
      </c>
      <c r="C3201" t="s">
        <v>45</v>
      </c>
      <c r="D3201" t="s">
        <v>13</v>
      </c>
      <c r="E3201">
        <v>35431.347824999997</v>
      </c>
    </row>
    <row r="3202" spans="1:5" hidden="1" x14ac:dyDescent="0.3">
      <c r="A3202">
        <v>86</v>
      </c>
      <c r="B3202">
        <v>530000</v>
      </c>
      <c r="C3202" t="s">
        <v>45</v>
      </c>
      <c r="D3202" t="s">
        <v>14</v>
      </c>
      <c r="E3202">
        <v>12472.225671</v>
      </c>
    </row>
    <row r="3203" spans="1:5" hidden="1" x14ac:dyDescent="0.3">
      <c r="A3203">
        <v>86</v>
      </c>
      <c r="B3203">
        <v>530000</v>
      </c>
      <c r="C3203" t="s">
        <v>45</v>
      </c>
      <c r="D3203" t="s">
        <v>15</v>
      </c>
      <c r="E3203">
        <v>19965.899918999999</v>
      </c>
    </row>
    <row r="3204" spans="1:5" hidden="1" x14ac:dyDescent="0.3">
      <c r="A3204">
        <v>86</v>
      </c>
      <c r="B3204">
        <v>530000</v>
      </c>
      <c r="C3204" t="s">
        <v>45</v>
      </c>
      <c r="D3204" t="s">
        <v>16</v>
      </c>
      <c r="E3204">
        <v>40333.003718</v>
      </c>
    </row>
    <row r="3205" spans="1:5" hidden="1" x14ac:dyDescent="0.3">
      <c r="A3205">
        <v>86</v>
      </c>
      <c r="B3205">
        <v>530000</v>
      </c>
      <c r="C3205" t="s">
        <v>45</v>
      </c>
      <c r="D3205" t="s">
        <v>17</v>
      </c>
      <c r="E3205">
        <v>0.297875</v>
      </c>
    </row>
    <row r="3206" spans="1:5" hidden="1" x14ac:dyDescent="0.3">
      <c r="A3206">
        <v>86</v>
      </c>
      <c r="B3206">
        <v>530000</v>
      </c>
      <c r="C3206" t="s">
        <v>45</v>
      </c>
      <c r="D3206" t="s">
        <v>18</v>
      </c>
      <c r="E3206">
        <v>88.836958999999993</v>
      </c>
    </row>
    <row r="3207" spans="1:5" hidden="1" x14ac:dyDescent="0.3">
      <c r="A3207">
        <v>86</v>
      </c>
      <c r="B3207">
        <v>530000</v>
      </c>
      <c r="C3207" t="s">
        <v>45</v>
      </c>
      <c r="D3207" t="s">
        <v>19</v>
      </c>
      <c r="E3207">
        <v>8833.3369710000006</v>
      </c>
    </row>
    <row r="3208" spans="1:5" hidden="1" x14ac:dyDescent="0.3">
      <c r="A3208">
        <v>86</v>
      </c>
      <c r="B3208">
        <v>530000</v>
      </c>
      <c r="C3208" t="s">
        <v>45</v>
      </c>
      <c r="D3208" t="s">
        <v>20</v>
      </c>
      <c r="E3208">
        <v>15166.670286</v>
      </c>
    </row>
    <row r="3209" spans="1:5" hidden="1" x14ac:dyDescent="0.3">
      <c r="A3209">
        <v>86</v>
      </c>
      <c r="B3209">
        <v>530000</v>
      </c>
      <c r="C3209" t="s">
        <v>45</v>
      </c>
      <c r="D3209" t="s">
        <v>21</v>
      </c>
      <c r="E3209">
        <v>0.19640199999999999</v>
      </c>
    </row>
    <row r="3210" spans="1:5" hidden="1" x14ac:dyDescent="0.3">
      <c r="A3210">
        <v>86</v>
      </c>
      <c r="B3210">
        <v>530000</v>
      </c>
      <c r="C3210" t="s">
        <v>45</v>
      </c>
      <c r="D3210" t="s">
        <v>22</v>
      </c>
      <c r="E3210">
        <v>504.15088800000001</v>
      </c>
    </row>
    <row r="3211" spans="1:5" hidden="1" x14ac:dyDescent="0.3">
      <c r="A3211">
        <v>86</v>
      </c>
      <c r="B3211">
        <v>530000</v>
      </c>
      <c r="C3211" t="s">
        <v>45</v>
      </c>
      <c r="D3211" t="s">
        <v>23</v>
      </c>
      <c r="E3211">
        <v>4444.4483689999997</v>
      </c>
    </row>
    <row r="3212" spans="1:5" hidden="1" x14ac:dyDescent="0.3">
      <c r="A3212">
        <v>86</v>
      </c>
      <c r="B3212">
        <v>530000</v>
      </c>
      <c r="C3212" t="s">
        <v>45</v>
      </c>
      <c r="D3212" t="s">
        <v>24</v>
      </c>
      <c r="E3212">
        <v>44055.554633</v>
      </c>
    </row>
    <row r="3213" spans="1:5" hidden="1" x14ac:dyDescent="0.3">
      <c r="A3213">
        <v>86</v>
      </c>
      <c r="B3213">
        <v>530000</v>
      </c>
      <c r="C3213" t="s">
        <v>45</v>
      </c>
      <c r="D3213" t="s">
        <v>25</v>
      </c>
      <c r="E3213">
        <v>2944.4468710000001</v>
      </c>
    </row>
    <row r="3214" spans="1:5" hidden="1" x14ac:dyDescent="0.3">
      <c r="A3214">
        <v>86</v>
      </c>
      <c r="B3214">
        <v>530000</v>
      </c>
      <c r="C3214" t="s">
        <v>45</v>
      </c>
      <c r="D3214" t="s">
        <v>26</v>
      </c>
      <c r="E3214">
        <v>0.33390900000000001</v>
      </c>
    </row>
    <row r="3215" spans="1:5" hidden="1" x14ac:dyDescent="0.3">
      <c r="A3215">
        <v>87</v>
      </c>
      <c r="B3215">
        <v>535000</v>
      </c>
      <c r="C3215" t="s">
        <v>45</v>
      </c>
      <c r="D3215" t="s">
        <v>6</v>
      </c>
      <c r="E3215">
        <v>2.398107</v>
      </c>
    </row>
    <row r="3216" spans="1:5" hidden="1" x14ac:dyDescent="0.3">
      <c r="A3216">
        <v>87</v>
      </c>
      <c r="B3216">
        <v>535000</v>
      </c>
      <c r="C3216" t="s">
        <v>45</v>
      </c>
      <c r="D3216" t="s">
        <v>7</v>
      </c>
      <c r="E3216">
        <v>53000.002889000003</v>
      </c>
    </row>
    <row r="3217" spans="1:5" hidden="1" x14ac:dyDescent="0.3">
      <c r="A3217">
        <v>87</v>
      </c>
      <c r="B3217">
        <v>535000</v>
      </c>
      <c r="C3217" t="s">
        <v>45</v>
      </c>
      <c r="D3217" t="s">
        <v>8</v>
      </c>
      <c r="E3217">
        <v>388.88952599999999</v>
      </c>
    </row>
    <row r="3218" spans="1:5" hidden="1" x14ac:dyDescent="0.3">
      <c r="A3218">
        <v>87</v>
      </c>
      <c r="B3218">
        <v>535000</v>
      </c>
      <c r="C3218" t="s">
        <v>45</v>
      </c>
      <c r="D3218" t="s">
        <v>9</v>
      </c>
      <c r="E3218">
        <v>120840.169203</v>
      </c>
    </row>
    <row r="3219" spans="1:5" hidden="1" x14ac:dyDescent="0.3">
      <c r="A3219">
        <v>87</v>
      </c>
      <c r="B3219">
        <v>535000</v>
      </c>
      <c r="C3219" t="s">
        <v>45</v>
      </c>
      <c r="D3219" t="s">
        <v>10</v>
      </c>
      <c r="E3219">
        <v>92999.922133999993</v>
      </c>
    </row>
    <row r="3220" spans="1:5" hidden="1" x14ac:dyDescent="0.3">
      <c r="A3220">
        <v>87</v>
      </c>
      <c r="B3220">
        <v>535000</v>
      </c>
      <c r="C3220" t="s">
        <v>45</v>
      </c>
      <c r="D3220" t="s">
        <v>11</v>
      </c>
      <c r="E3220">
        <v>34138.891632999999</v>
      </c>
    </row>
    <row r="3221" spans="1:5" hidden="1" x14ac:dyDescent="0.3">
      <c r="A3221">
        <v>87</v>
      </c>
      <c r="B3221">
        <v>535000</v>
      </c>
      <c r="C3221" t="s">
        <v>45</v>
      </c>
      <c r="D3221" t="s">
        <v>12</v>
      </c>
      <c r="E3221">
        <v>44388.891640000002</v>
      </c>
    </row>
    <row r="3222" spans="1:5" hidden="1" x14ac:dyDescent="0.3">
      <c r="A3222">
        <v>87</v>
      </c>
      <c r="B3222">
        <v>535000</v>
      </c>
      <c r="C3222" t="s">
        <v>45</v>
      </c>
      <c r="D3222" t="s">
        <v>13</v>
      </c>
      <c r="E3222">
        <v>35431.347314999999</v>
      </c>
    </row>
    <row r="3223" spans="1:5" hidden="1" x14ac:dyDescent="0.3">
      <c r="A3223">
        <v>87</v>
      </c>
      <c r="B3223">
        <v>535000</v>
      </c>
      <c r="C3223" t="s">
        <v>45</v>
      </c>
      <c r="D3223" t="s">
        <v>14</v>
      </c>
      <c r="E3223">
        <v>12472.225063</v>
      </c>
    </row>
    <row r="3224" spans="1:5" hidden="1" x14ac:dyDescent="0.3">
      <c r="A3224">
        <v>87</v>
      </c>
      <c r="B3224">
        <v>535000</v>
      </c>
      <c r="C3224" t="s">
        <v>45</v>
      </c>
      <c r="D3224" t="s">
        <v>15</v>
      </c>
      <c r="E3224">
        <v>24966.202944000001</v>
      </c>
    </row>
    <row r="3225" spans="1:5" hidden="1" x14ac:dyDescent="0.3">
      <c r="A3225">
        <v>87</v>
      </c>
      <c r="B3225">
        <v>535000</v>
      </c>
      <c r="C3225" t="s">
        <v>45</v>
      </c>
      <c r="D3225" t="s">
        <v>16</v>
      </c>
      <c r="E3225">
        <v>40333.003053</v>
      </c>
    </row>
    <row r="3226" spans="1:5" hidden="1" x14ac:dyDescent="0.3">
      <c r="A3226">
        <v>87</v>
      </c>
      <c r="B3226">
        <v>535000</v>
      </c>
      <c r="C3226" t="s">
        <v>45</v>
      </c>
      <c r="D3226" t="s">
        <v>17</v>
      </c>
      <c r="E3226">
        <v>0.43373699999999998</v>
      </c>
    </row>
    <row r="3227" spans="1:5" hidden="1" x14ac:dyDescent="0.3">
      <c r="A3227">
        <v>87</v>
      </c>
      <c r="B3227">
        <v>535000</v>
      </c>
      <c r="C3227" t="s">
        <v>45</v>
      </c>
      <c r="D3227" t="s">
        <v>18</v>
      </c>
      <c r="E3227">
        <v>88.836196000000001</v>
      </c>
    </row>
    <row r="3228" spans="1:5" hidden="1" x14ac:dyDescent="0.3">
      <c r="A3228">
        <v>87</v>
      </c>
      <c r="B3228">
        <v>535000</v>
      </c>
      <c r="C3228" t="s">
        <v>45</v>
      </c>
      <c r="D3228" t="s">
        <v>19</v>
      </c>
      <c r="E3228">
        <v>8833.3362739999993</v>
      </c>
    </row>
    <row r="3229" spans="1:5" hidden="1" x14ac:dyDescent="0.3">
      <c r="A3229">
        <v>87</v>
      </c>
      <c r="B3229">
        <v>535000</v>
      </c>
      <c r="C3229" t="s">
        <v>45</v>
      </c>
      <c r="D3229" t="s">
        <v>20</v>
      </c>
      <c r="E3229">
        <v>15166.669631000001</v>
      </c>
    </row>
    <row r="3230" spans="1:5" hidden="1" x14ac:dyDescent="0.3">
      <c r="A3230">
        <v>87</v>
      </c>
      <c r="B3230">
        <v>535000</v>
      </c>
      <c r="C3230" t="s">
        <v>45</v>
      </c>
      <c r="D3230" t="s">
        <v>21</v>
      </c>
      <c r="E3230">
        <v>0.12845799999999999</v>
      </c>
    </row>
    <row r="3231" spans="1:5" hidden="1" x14ac:dyDescent="0.3">
      <c r="A3231">
        <v>87</v>
      </c>
      <c r="B3231">
        <v>535000</v>
      </c>
      <c r="C3231" t="s">
        <v>45</v>
      </c>
      <c r="D3231" t="s">
        <v>22</v>
      </c>
      <c r="E3231">
        <v>504.15016000000003</v>
      </c>
    </row>
    <row r="3232" spans="1:5" hidden="1" x14ac:dyDescent="0.3">
      <c r="A3232">
        <v>87</v>
      </c>
      <c r="B3232">
        <v>535000</v>
      </c>
      <c r="C3232" t="s">
        <v>45</v>
      </c>
      <c r="D3232" t="s">
        <v>23</v>
      </c>
      <c r="E3232">
        <v>4444.4475540000003</v>
      </c>
    </row>
    <row r="3233" spans="1:5" hidden="1" x14ac:dyDescent="0.3">
      <c r="A3233">
        <v>87</v>
      </c>
      <c r="B3233">
        <v>535000</v>
      </c>
      <c r="C3233" t="s">
        <v>45</v>
      </c>
      <c r="D3233" t="s">
        <v>24</v>
      </c>
      <c r="E3233">
        <v>44055.499233000002</v>
      </c>
    </row>
    <row r="3234" spans="1:5" hidden="1" x14ac:dyDescent="0.3">
      <c r="A3234">
        <v>87</v>
      </c>
      <c r="B3234">
        <v>535000</v>
      </c>
      <c r="C3234" t="s">
        <v>45</v>
      </c>
      <c r="D3234" t="s">
        <v>25</v>
      </c>
      <c r="E3234">
        <v>2944.4466379999999</v>
      </c>
    </row>
    <row r="3235" spans="1:5" hidden="1" x14ac:dyDescent="0.3">
      <c r="A3235">
        <v>87</v>
      </c>
      <c r="B3235">
        <v>535000</v>
      </c>
      <c r="C3235" t="s">
        <v>45</v>
      </c>
      <c r="D3235" t="s">
        <v>26</v>
      </c>
      <c r="E3235">
        <v>0.18112500000000001</v>
      </c>
    </row>
    <row r="3236" spans="1:5" hidden="1" x14ac:dyDescent="0.3">
      <c r="A3236">
        <v>88</v>
      </c>
      <c r="B3236">
        <v>540000</v>
      </c>
      <c r="C3236" t="s">
        <v>45</v>
      </c>
      <c r="D3236" t="s">
        <v>6</v>
      </c>
      <c r="E3236">
        <v>1.794591</v>
      </c>
    </row>
    <row r="3237" spans="1:5" hidden="1" x14ac:dyDescent="0.3">
      <c r="A3237">
        <v>88</v>
      </c>
      <c r="B3237">
        <v>540000</v>
      </c>
      <c r="C3237" t="s">
        <v>45</v>
      </c>
      <c r="D3237" t="s">
        <v>7</v>
      </c>
      <c r="E3237">
        <v>53000.000274999999</v>
      </c>
    </row>
    <row r="3238" spans="1:5" hidden="1" x14ac:dyDescent="0.3">
      <c r="A3238">
        <v>88</v>
      </c>
      <c r="B3238">
        <v>540000</v>
      </c>
      <c r="C3238" t="s">
        <v>45</v>
      </c>
      <c r="D3238" t="s">
        <v>8</v>
      </c>
      <c r="E3238">
        <v>388.888238</v>
      </c>
    </row>
    <row r="3239" spans="1:5" hidden="1" x14ac:dyDescent="0.3">
      <c r="A3239">
        <v>88</v>
      </c>
      <c r="B3239">
        <v>540000</v>
      </c>
      <c r="C3239" t="s">
        <v>45</v>
      </c>
      <c r="D3239" t="s">
        <v>9</v>
      </c>
      <c r="E3239">
        <v>120840.166682</v>
      </c>
    </row>
    <row r="3240" spans="1:5" hidden="1" x14ac:dyDescent="0.3">
      <c r="A3240">
        <v>88</v>
      </c>
      <c r="B3240">
        <v>540000</v>
      </c>
      <c r="C3240" t="s">
        <v>45</v>
      </c>
      <c r="D3240" t="s">
        <v>10</v>
      </c>
      <c r="E3240">
        <v>92999.973668999999</v>
      </c>
    </row>
    <row r="3241" spans="1:5" hidden="1" x14ac:dyDescent="0.3">
      <c r="A3241">
        <v>88</v>
      </c>
      <c r="B3241">
        <v>540000</v>
      </c>
      <c r="C3241" t="s">
        <v>45</v>
      </c>
      <c r="D3241" t="s">
        <v>11</v>
      </c>
      <c r="E3241">
        <v>34138.889123000001</v>
      </c>
    </row>
    <row r="3242" spans="1:5" hidden="1" x14ac:dyDescent="0.3">
      <c r="A3242">
        <v>88</v>
      </c>
      <c r="B3242">
        <v>540000</v>
      </c>
      <c r="C3242" t="s">
        <v>45</v>
      </c>
      <c r="D3242" t="s">
        <v>12</v>
      </c>
      <c r="E3242">
        <v>44388.88912</v>
      </c>
    </row>
    <row r="3243" spans="1:5" hidden="1" x14ac:dyDescent="0.3">
      <c r="A3243">
        <v>88</v>
      </c>
      <c r="B3243">
        <v>540000</v>
      </c>
      <c r="C3243" t="s">
        <v>45</v>
      </c>
      <c r="D3243" t="s">
        <v>13</v>
      </c>
      <c r="E3243">
        <v>35431.344733999998</v>
      </c>
    </row>
    <row r="3244" spans="1:5" hidden="1" x14ac:dyDescent="0.3">
      <c r="A3244">
        <v>88</v>
      </c>
      <c r="B3244">
        <v>540000</v>
      </c>
      <c r="C3244" t="s">
        <v>45</v>
      </c>
      <c r="D3244" t="s">
        <v>14</v>
      </c>
      <c r="E3244">
        <v>12472.222524000001</v>
      </c>
    </row>
    <row r="3245" spans="1:5" hidden="1" x14ac:dyDescent="0.3">
      <c r="A3245">
        <v>88</v>
      </c>
      <c r="B3245">
        <v>540000</v>
      </c>
      <c r="C3245" t="s">
        <v>45</v>
      </c>
      <c r="D3245" t="s">
        <v>15</v>
      </c>
      <c r="E3245">
        <v>29967.116223000001</v>
      </c>
    </row>
    <row r="3246" spans="1:5" hidden="1" x14ac:dyDescent="0.3">
      <c r="A3246">
        <v>88</v>
      </c>
      <c r="B3246">
        <v>540000</v>
      </c>
      <c r="C3246" t="s">
        <v>45</v>
      </c>
      <c r="D3246" t="s">
        <v>16</v>
      </c>
      <c r="E3246">
        <v>40333.000390000001</v>
      </c>
    </row>
    <row r="3247" spans="1:5" hidden="1" x14ac:dyDescent="0.3">
      <c r="A3247">
        <v>88</v>
      </c>
      <c r="B3247">
        <v>540000</v>
      </c>
      <c r="C3247" t="s">
        <v>45</v>
      </c>
      <c r="D3247" t="s">
        <v>17</v>
      </c>
      <c r="E3247">
        <v>0.15134800000000001</v>
      </c>
    </row>
    <row r="3248" spans="1:5" hidden="1" x14ac:dyDescent="0.3">
      <c r="A3248">
        <v>88</v>
      </c>
      <c r="B3248">
        <v>540000</v>
      </c>
      <c r="C3248" t="s">
        <v>45</v>
      </c>
      <c r="D3248" t="s">
        <v>18</v>
      </c>
      <c r="E3248">
        <v>88.833622000000005</v>
      </c>
    </row>
    <row r="3249" spans="1:5" hidden="1" x14ac:dyDescent="0.3">
      <c r="A3249">
        <v>88</v>
      </c>
      <c r="B3249">
        <v>540000</v>
      </c>
      <c r="C3249" t="s">
        <v>45</v>
      </c>
      <c r="D3249" t="s">
        <v>19</v>
      </c>
      <c r="E3249">
        <v>8833.3336859999999</v>
      </c>
    </row>
    <row r="3250" spans="1:5" hidden="1" x14ac:dyDescent="0.3">
      <c r="A3250">
        <v>88</v>
      </c>
      <c r="B3250">
        <v>540000</v>
      </c>
      <c r="C3250" t="s">
        <v>45</v>
      </c>
      <c r="D3250" t="s">
        <v>20</v>
      </c>
      <c r="E3250">
        <v>15166.667009000001</v>
      </c>
    </row>
    <row r="3251" spans="1:5" hidden="1" x14ac:dyDescent="0.3">
      <c r="A3251">
        <v>88</v>
      </c>
      <c r="B3251">
        <v>540000</v>
      </c>
      <c r="C3251" t="s">
        <v>45</v>
      </c>
      <c r="D3251" t="s">
        <v>21</v>
      </c>
      <c r="E3251">
        <v>5.8187000000000003E-2</v>
      </c>
    </row>
    <row r="3252" spans="1:5" hidden="1" x14ac:dyDescent="0.3">
      <c r="A3252">
        <v>88</v>
      </c>
      <c r="B3252">
        <v>540000</v>
      </c>
      <c r="C3252" t="s">
        <v>45</v>
      </c>
      <c r="D3252" t="s">
        <v>22</v>
      </c>
      <c r="E3252">
        <v>504.14756799999998</v>
      </c>
    </row>
    <row r="3253" spans="1:5" hidden="1" x14ac:dyDescent="0.3">
      <c r="A3253">
        <v>88</v>
      </c>
      <c r="B3253">
        <v>540000</v>
      </c>
      <c r="C3253" t="s">
        <v>45</v>
      </c>
      <c r="D3253" t="s">
        <v>23</v>
      </c>
      <c r="E3253">
        <v>4444.4448730000004</v>
      </c>
    </row>
    <row r="3254" spans="1:5" hidden="1" x14ac:dyDescent="0.3">
      <c r="A3254">
        <v>88</v>
      </c>
      <c r="B3254">
        <v>540000</v>
      </c>
      <c r="C3254" t="s">
        <v>45</v>
      </c>
      <c r="D3254" t="s">
        <v>24</v>
      </c>
      <c r="E3254">
        <v>44055.553630000002</v>
      </c>
    </row>
    <row r="3255" spans="1:5" hidden="1" x14ac:dyDescent="0.3">
      <c r="A3255">
        <v>88</v>
      </c>
      <c r="B3255">
        <v>540000</v>
      </c>
      <c r="C3255" t="s">
        <v>45</v>
      </c>
      <c r="D3255" t="s">
        <v>25</v>
      </c>
      <c r="E3255">
        <v>2944.4445420000002</v>
      </c>
    </row>
    <row r="3256" spans="1:5" hidden="1" x14ac:dyDescent="0.3">
      <c r="A3256">
        <v>88</v>
      </c>
      <c r="B3256">
        <v>540000</v>
      </c>
      <c r="C3256" t="s">
        <v>45</v>
      </c>
      <c r="D3256" t="s">
        <v>26</v>
      </c>
      <c r="E3256">
        <v>9.1773999999999994E-2</v>
      </c>
    </row>
    <row r="3257" spans="1:5" hidden="1" x14ac:dyDescent="0.3">
      <c r="A3257">
        <v>89</v>
      </c>
      <c r="B3257">
        <v>545000</v>
      </c>
      <c r="C3257" t="s">
        <v>45</v>
      </c>
      <c r="D3257" t="s">
        <v>6</v>
      </c>
      <c r="E3257">
        <v>2.0882100000000001</v>
      </c>
    </row>
    <row r="3258" spans="1:5" hidden="1" x14ac:dyDescent="0.3">
      <c r="A3258">
        <v>89</v>
      </c>
      <c r="B3258">
        <v>545000</v>
      </c>
      <c r="C3258" t="s">
        <v>45</v>
      </c>
      <c r="D3258" t="s">
        <v>7</v>
      </c>
      <c r="E3258">
        <v>53000.001364000003</v>
      </c>
    </row>
    <row r="3259" spans="1:5" hidden="1" x14ac:dyDescent="0.3">
      <c r="A3259">
        <v>89</v>
      </c>
      <c r="B3259">
        <v>545000</v>
      </c>
      <c r="C3259" t="s">
        <v>45</v>
      </c>
      <c r="D3259" t="s">
        <v>8</v>
      </c>
      <c r="E3259">
        <v>388.88842699999998</v>
      </c>
    </row>
    <row r="3260" spans="1:5" hidden="1" x14ac:dyDescent="0.3">
      <c r="A3260">
        <v>89</v>
      </c>
      <c r="B3260">
        <v>545000</v>
      </c>
      <c r="C3260" t="s">
        <v>45</v>
      </c>
      <c r="D3260" t="s">
        <v>9</v>
      </c>
      <c r="E3260">
        <v>120840.165681</v>
      </c>
    </row>
    <row r="3261" spans="1:5" hidden="1" x14ac:dyDescent="0.3">
      <c r="A3261">
        <v>89</v>
      </c>
      <c r="B3261">
        <v>545000</v>
      </c>
      <c r="C3261" t="s">
        <v>45</v>
      </c>
      <c r="D3261" t="s">
        <v>10</v>
      </c>
      <c r="E3261">
        <v>92999.984851999994</v>
      </c>
    </row>
    <row r="3262" spans="1:5" hidden="1" x14ac:dyDescent="0.3">
      <c r="A3262">
        <v>89</v>
      </c>
      <c r="B3262">
        <v>545000</v>
      </c>
      <c r="C3262" t="s">
        <v>45</v>
      </c>
      <c r="D3262" t="s">
        <v>11</v>
      </c>
      <c r="E3262">
        <v>34138.890163999997</v>
      </c>
    </row>
    <row r="3263" spans="1:5" hidden="1" x14ac:dyDescent="0.3">
      <c r="A3263">
        <v>89</v>
      </c>
      <c r="B3263">
        <v>545000</v>
      </c>
      <c r="C3263" t="s">
        <v>45</v>
      </c>
      <c r="D3263" t="s">
        <v>12</v>
      </c>
      <c r="E3263">
        <v>44388.890168999998</v>
      </c>
    </row>
    <row r="3264" spans="1:5" hidden="1" x14ac:dyDescent="0.3">
      <c r="A3264">
        <v>89</v>
      </c>
      <c r="B3264">
        <v>545000</v>
      </c>
      <c r="C3264" t="s">
        <v>45</v>
      </c>
      <c r="D3264" t="s">
        <v>13</v>
      </c>
      <c r="E3264">
        <v>35431.345799000002</v>
      </c>
    </row>
    <row r="3265" spans="1:5" hidden="1" x14ac:dyDescent="0.3">
      <c r="A3265">
        <v>89</v>
      </c>
      <c r="B3265">
        <v>545000</v>
      </c>
      <c r="C3265" t="s">
        <v>45</v>
      </c>
      <c r="D3265" t="s">
        <v>14</v>
      </c>
      <c r="E3265">
        <v>12472.22356</v>
      </c>
    </row>
    <row r="3266" spans="1:5" hidden="1" x14ac:dyDescent="0.3">
      <c r="A3266">
        <v>89</v>
      </c>
      <c r="B3266">
        <v>545000</v>
      </c>
      <c r="C3266" t="s">
        <v>45</v>
      </c>
      <c r="D3266" t="s">
        <v>15</v>
      </c>
      <c r="E3266">
        <v>34966.620599000002</v>
      </c>
    </row>
    <row r="3267" spans="1:5" hidden="1" x14ac:dyDescent="0.3">
      <c r="A3267">
        <v>89</v>
      </c>
      <c r="B3267">
        <v>545000</v>
      </c>
      <c r="C3267" t="s">
        <v>45</v>
      </c>
      <c r="D3267" t="s">
        <v>16</v>
      </c>
      <c r="E3267">
        <v>40333.001475999998</v>
      </c>
    </row>
    <row r="3268" spans="1:5" hidden="1" x14ac:dyDescent="0.3">
      <c r="A3268">
        <v>89</v>
      </c>
      <c r="B3268">
        <v>545000</v>
      </c>
      <c r="C3268" t="s">
        <v>45</v>
      </c>
      <c r="D3268" t="s">
        <v>17</v>
      </c>
      <c r="E3268">
        <v>0.29860500000000001</v>
      </c>
    </row>
    <row r="3269" spans="1:5" hidden="1" x14ac:dyDescent="0.3">
      <c r="A3269">
        <v>89</v>
      </c>
      <c r="B3269">
        <v>545000</v>
      </c>
      <c r="C3269" t="s">
        <v>45</v>
      </c>
      <c r="D3269" t="s">
        <v>18</v>
      </c>
      <c r="E3269">
        <v>88.834598</v>
      </c>
    </row>
    <row r="3270" spans="1:5" hidden="1" x14ac:dyDescent="0.3">
      <c r="A3270">
        <v>89</v>
      </c>
      <c r="B3270">
        <v>545000</v>
      </c>
      <c r="C3270" t="s">
        <v>45</v>
      </c>
      <c r="D3270" t="s">
        <v>19</v>
      </c>
      <c r="E3270">
        <v>8833.3347329999997</v>
      </c>
    </row>
    <row r="3271" spans="1:5" hidden="1" x14ac:dyDescent="0.3">
      <c r="A3271">
        <v>89</v>
      </c>
      <c r="B3271">
        <v>545000</v>
      </c>
      <c r="C3271" t="s">
        <v>45</v>
      </c>
      <c r="D3271" t="s">
        <v>20</v>
      </c>
      <c r="E3271">
        <v>15166.668083</v>
      </c>
    </row>
    <row r="3272" spans="1:5" hidden="1" x14ac:dyDescent="0.3">
      <c r="A3272">
        <v>89</v>
      </c>
      <c r="B3272">
        <v>545000</v>
      </c>
      <c r="C3272" t="s">
        <v>45</v>
      </c>
      <c r="D3272" t="s">
        <v>21</v>
      </c>
      <c r="E3272">
        <v>7.8603000000000006E-2</v>
      </c>
    </row>
    <row r="3273" spans="1:5" hidden="1" x14ac:dyDescent="0.3">
      <c r="A3273">
        <v>89</v>
      </c>
      <c r="B3273">
        <v>545000</v>
      </c>
      <c r="C3273" t="s">
        <v>45</v>
      </c>
      <c r="D3273" t="s">
        <v>22</v>
      </c>
      <c r="E3273">
        <v>504.14860499999998</v>
      </c>
    </row>
    <row r="3274" spans="1:5" hidden="1" x14ac:dyDescent="0.3">
      <c r="A3274">
        <v>89</v>
      </c>
      <c r="B3274">
        <v>545000</v>
      </c>
      <c r="C3274" t="s">
        <v>45</v>
      </c>
      <c r="D3274" t="s">
        <v>23</v>
      </c>
      <c r="E3274">
        <v>4444.4459470000002</v>
      </c>
    </row>
    <row r="3275" spans="1:5" hidden="1" x14ac:dyDescent="0.3">
      <c r="A3275">
        <v>89</v>
      </c>
      <c r="B3275">
        <v>545000</v>
      </c>
      <c r="C3275" t="s">
        <v>45</v>
      </c>
      <c r="D3275" t="s">
        <v>24</v>
      </c>
      <c r="E3275">
        <v>44055.554221999999</v>
      </c>
    </row>
    <row r="3276" spans="1:5" hidden="1" x14ac:dyDescent="0.3">
      <c r="A3276">
        <v>89</v>
      </c>
      <c r="B3276">
        <v>545000</v>
      </c>
      <c r="C3276" t="s">
        <v>45</v>
      </c>
      <c r="D3276" t="s">
        <v>25</v>
      </c>
      <c r="E3276">
        <v>2944.4453509999998</v>
      </c>
    </row>
    <row r="3277" spans="1:5" hidden="1" x14ac:dyDescent="0.3">
      <c r="A3277">
        <v>89</v>
      </c>
      <c r="B3277">
        <v>545000</v>
      </c>
      <c r="C3277" t="s">
        <v>45</v>
      </c>
      <c r="D3277" t="s">
        <v>26</v>
      </c>
      <c r="E3277">
        <v>0.12726399999999999</v>
      </c>
    </row>
    <row r="3278" spans="1:5" hidden="1" x14ac:dyDescent="0.3">
      <c r="A3278">
        <v>90</v>
      </c>
      <c r="B3278">
        <v>550000</v>
      </c>
      <c r="C3278" t="s">
        <v>45</v>
      </c>
      <c r="D3278" t="s">
        <v>6</v>
      </c>
      <c r="E3278">
        <v>1.5583659999999999</v>
      </c>
    </row>
    <row r="3279" spans="1:5" hidden="1" x14ac:dyDescent="0.3">
      <c r="A3279">
        <v>90</v>
      </c>
      <c r="B3279">
        <v>550000</v>
      </c>
      <c r="C3279" t="s">
        <v>45</v>
      </c>
      <c r="D3279" t="s">
        <v>7</v>
      </c>
      <c r="E3279">
        <v>53000.000876999999</v>
      </c>
    </row>
    <row r="3280" spans="1:5" hidden="1" x14ac:dyDescent="0.3">
      <c r="A3280">
        <v>90</v>
      </c>
      <c r="B3280">
        <v>550000</v>
      </c>
      <c r="C3280" t="s">
        <v>45</v>
      </c>
      <c r="D3280" t="s">
        <v>8</v>
      </c>
      <c r="E3280">
        <v>388.88743199999999</v>
      </c>
    </row>
    <row r="3281" spans="1:5" hidden="1" x14ac:dyDescent="0.3">
      <c r="A3281">
        <v>90</v>
      </c>
      <c r="B3281">
        <v>550000</v>
      </c>
      <c r="C3281" t="s">
        <v>45</v>
      </c>
      <c r="D3281" t="s">
        <v>9</v>
      </c>
      <c r="E3281">
        <v>120840.167535</v>
      </c>
    </row>
    <row r="3282" spans="1:5" hidden="1" x14ac:dyDescent="0.3">
      <c r="A3282">
        <v>90</v>
      </c>
      <c r="B3282">
        <v>550000</v>
      </c>
      <c r="C3282" t="s">
        <v>45</v>
      </c>
      <c r="D3282" t="s">
        <v>10</v>
      </c>
      <c r="E3282">
        <v>92999.980777999997</v>
      </c>
    </row>
    <row r="3283" spans="1:5" hidden="1" x14ac:dyDescent="0.3">
      <c r="A3283">
        <v>90</v>
      </c>
      <c r="B3283">
        <v>550000</v>
      </c>
      <c r="C3283" t="s">
        <v>45</v>
      </c>
      <c r="D3283" t="s">
        <v>11</v>
      </c>
      <c r="E3283">
        <v>34138.889646000003</v>
      </c>
    </row>
    <row r="3284" spans="1:5" hidden="1" x14ac:dyDescent="0.3">
      <c r="A3284">
        <v>90</v>
      </c>
      <c r="B3284">
        <v>550000</v>
      </c>
      <c r="C3284" t="s">
        <v>45</v>
      </c>
      <c r="D3284" t="s">
        <v>12</v>
      </c>
      <c r="E3284">
        <v>44388.889644000003</v>
      </c>
    </row>
    <row r="3285" spans="1:5" hidden="1" x14ac:dyDescent="0.3">
      <c r="A3285">
        <v>90</v>
      </c>
      <c r="B3285">
        <v>550000</v>
      </c>
      <c r="C3285" t="s">
        <v>45</v>
      </c>
      <c r="D3285" t="s">
        <v>13</v>
      </c>
      <c r="E3285">
        <v>35431.345328000003</v>
      </c>
    </row>
    <row r="3286" spans="1:5" hidden="1" x14ac:dyDescent="0.3">
      <c r="A3286">
        <v>90</v>
      </c>
      <c r="B3286">
        <v>550000</v>
      </c>
      <c r="C3286" t="s">
        <v>45</v>
      </c>
      <c r="D3286" t="s">
        <v>14</v>
      </c>
      <c r="E3286">
        <v>12472.223115000001</v>
      </c>
    </row>
    <row r="3287" spans="1:5" hidden="1" x14ac:dyDescent="0.3">
      <c r="A3287">
        <v>90</v>
      </c>
      <c r="B3287">
        <v>550000</v>
      </c>
      <c r="C3287" t="s">
        <v>45</v>
      </c>
      <c r="D3287" t="s">
        <v>15</v>
      </c>
      <c r="E3287">
        <v>39967.135954999998</v>
      </c>
    </row>
    <row r="3288" spans="1:5" hidden="1" x14ac:dyDescent="0.3">
      <c r="A3288">
        <v>90</v>
      </c>
      <c r="B3288">
        <v>550000</v>
      </c>
      <c r="C3288" t="s">
        <v>45</v>
      </c>
      <c r="D3288" t="s">
        <v>16</v>
      </c>
      <c r="E3288">
        <v>40333.001062000003</v>
      </c>
    </row>
    <row r="3289" spans="1:5" hidden="1" x14ac:dyDescent="0.3">
      <c r="A3289">
        <v>90</v>
      </c>
      <c r="B3289">
        <v>550000</v>
      </c>
      <c r="C3289" t="s">
        <v>45</v>
      </c>
      <c r="D3289" t="s">
        <v>17</v>
      </c>
      <c r="E3289">
        <v>0.22200700000000001</v>
      </c>
    </row>
    <row r="3290" spans="1:5" hidden="1" x14ac:dyDescent="0.3">
      <c r="A3290">
        <v>90</v>
      </c>
      <c r="B3290">
        <v>550000</v>
      </c>
      <c r="C3290" t="s">
        <v>45</v>
      </c>
      <c r="D3290" t="s">
        <v>18</v>
      </c>
      <c r="E3290">
        <v>88.834231000000003</v>
      </c>
    </row>
    <row r="3291" spans="1:5" hidden="1" x14ac:dyDescent="0.3">
      <c r="A3291">
        <v>90</v>
      </c>
      <c r="B3291">
        <v>550000</v>
      </c>
      <c r="C3291" t="s">
        <v>45</v>
      </c>
      <c r="D3291" t="s">
        <v>19</v>
      </c>
      <c r="E3291">
        <v>8833.3343249999998</v>
      </c>
    </row>
    <row r="3292" spans="1:5" hidden="1" x14ac:dyDescent="0.3">
      <c r="A3292">
        <v>90</v>
      </c>
      <c r="B3292">
        <v>550000</v>
      </c>
      <c r="C3292" t="s">
        <v>45</v>
      </c>
      <c r="D3292" t="s">
        <v>20</v>
      </c>
      <c r="E3292">
        <v>15166.667665000001</v>
      </c>
    </row>
    <row r="3293" spans="1:5" hidden="1" x14ac:dyDescent="0.3">
      <c r="A3293">
        <v>90</v>
      </c>
      <c r="B3293">
        <v>550000</v>
      </c>
      <c r="C3293" t="s">
        <v>45</v>
      </c>
      <c r="D3293" t="s">
        <v>21</v>
      </c>
      <c r="E3293">
        <v>0.112567</v>
      </c>
    </row>
    <row r="3294" spans="1:5" hidden="1" x14ac:dyDescent="0.3">
      <c r="A3294">
        <v>90</v>
      </c>
      <c r="B3294">
        <v>550000</v>
      </c>
      <c r="C3294" t="s">
        <v>45</v>
      </c>
      <c r="D3294" t="s">
        <v>22</v>
      </c>
      <c r="E3294">
        <v>504.14819599999998</v>
      </c>
    </row>
    <row r="3295" spans="1:5" hidden="1" x14ac:dyDescent="0.3">
      <c r="A3295">
        <v>90</v>
      </c>
      <c r="B3295">
        <v>550000</v>
      </c>
      <c r="C3295" t="s">
        <v>45</v>
      </c>
      <c r="D3295" t="s">
        <v>23</v>
      </c>
      <c r="E3295">
        <v>4444.4455870000002</v>
      </c>
    </row>
    <row r="3296" spans="1:5" hidden="1" x14ac:dyDescent="0.3">
      <c r="A3296">
        <v>90</v>
      </c>
      <c r="B3296">
        <v>550000</v>
      </c>
      <c r="C3296" t="s">
        <v>45</v>
      </c>
      <c r="D3296" t="s">
        <v>24</v>
      </c>
      <c r="E3296">
        <v>44055.555008000003</v>
      </c>
    </row>
    <row r="3297" spans="1:5" hidden="1" x14ac:dyDescent="0.3">
      <c r="A3297">
        <v>90</v>
      </c>
      <c r="B3297">
        <v>550000</v>
      </c>
      <c r="C3297" t="s">
        <v>45</v>
      </c>
      <c r="D3297" t="s">
        <v>25</v>
      </c>
      <c r="E3297">
        <v>2944.4446849999999</v>
      </c>
    </row>
    <row r="3298" spans="1:5" hidden="1" x14ac:dyDescent="0.3">
      <c r="A3298">
        <v>90</v>
      </c>
      <c r="B3298">
        <v>550000</v>
      </c>
      <c r="C3298" t="s">
        <v>45</v>
      </c>
      <c r="D3298" t="s">
        <v>26</v>
      </c>
      <c r="E3298">
        <v>0.187026</v>
      </c>
    </row>
    <row r="3299" spans="1:5" hidden="1" x14ac:dyDescent="0.3">
      <c r="A3299">
        <v>91</v>
      </c>
      <c r="B3299">
        <v>555000</v>
      </c>
      <c r="C3299" t="s">
        <v>45</v>
      </c>
      <c r="D3299" t="s">
        <v>6</v>
      </c>
      <c r="E3299">
        <v>109.967361</v>
      </c>
    </row>
    <row r="3300" spans="1:5" hidden="1" x14ac:dyDescent="0.3">
      <c r="A3300">
        <v>91</v>
      </c>
      <c r="B3300">
        <v>555000</v>
      </c>
      <c r="C3300" t="s">
        <v>45</v>
      </c>
      <c r="D3300" t="s">
        <v>7</v>
      </c>
      <c r="E3300">
        <v>53000.001076</v>
      </c>
    </row>
    <row r="3301" spans="1:5" hidden="1" x14ac:dyDescent="0.3">
      <c r="A3301">
        <v>91</v>
      </c>
      <c r="B3301">
        <v>555000</v>
      </c>
      <c r="C3301" t="s">
        <v>45</v>
      </c>
      <c r="D3301" t="s">
        <v>8</v>
      </c>
      <c r="E3301">
        <v>388.88970699999999</v>
      </c>
    </row>
    <row r="3302" spans="1:5" hidden="1" x14ac:dyDescent="0.3">
      <c r="A3302">
        <v>91</v>
      </c>
      <c r="B3302">
        <v>555000</v>
      </c>
      <c r="C3302" t="s">
        <v>45</v>
      </c>
      <c r="D3302" t="s">
        <v>9</v>
      </c>
      <c r="E3302">
        <v>120840.167659</v>
      </c>
    </row>
    <row r="3303" spans="1:5" hidden="1" x14ac:dyDescent="0.3">
      <c r="A3303">
        <v>91</v>
      </c>
      <c r="B3303">
        <v>555000</v>
      </c>
      <c r="C3303" t="s">
        <v>45</v>
      </c>
      <c r="D3303" t="s">
        <v>10</v>
      </c>
      <c r="E3303">
        <v>93000.001327999998</v>
      </c>
    </row>
    <row r="3304" spans="1:5" hidden="1" x14ac:dyDescent="0.3">
      <c r="A3304">
        <v>91</v>
      </c>
      <c r="B3304">
        <v>555000</v>
      </c>
      <c r="C3304" t="s">
        <v>45</v>
      </c>
      <c r="D3304" t="s">
        <v>11</v>
      </c>
      <c r="E3304">
        <v>34138.889931999998</v>
      </c>
    </row>
    <row r="3305" spans="1:5" hidden="1" x14ac:dyDescent="0.3">
      <c r="A3305">
        <v>91</v>
      </c>
      <c r="B3305">
        <v>555000</v>
      </c>
      <c r="C3305" t="s">
        <v>45</v>
      </c>
      <c r="D3305" t="s">
        <v>12</v>
      </c>
      <c r="E3305">
        <v>44388.889931999998</v>
      </c>
    </row>
    <row r="3306" spans="1:5" hidden="1" x14ac:dyDescent="0.3">
      <c r="A3306">
        <v>91</v>
      </c>
      <c r="B3306">
        <v>555000</v>
      </c>
      <c r="C3306" t="s">
        <v>45</v>
      </c>
      <c r="D3306" t="s">
        <v>13</v>
      </c>
      <c r="E3306">
        <v>35431.345523999997</v>
      </c>
    </row>
    <row r="3307" spans="1:5" hidden="1" x14ac:dyDescent="0.3">
      <c r="A3307">
        <v>91</v>
      </c>
      <c r="B3307">
        <v>555000</v>
      </c>
      <c r="C3307" t="s">
        <v>45</v>
      </c>
      <c r="D3307" t="s">
        <v>14</v>
      </c>
      <c r="E3307">
        <v>12472.223301</v>
      </c>
    </row>
    <row r="3308" spans="1:5" hidden="1" x14ac:dyDescent="0.3">
      <c r="A3308">
        <v>91</v>
      </c>
      <c r="B3308">
        <v>555000</v>
      </c>
      <c r="C3308" t="s">
        <v>45</v>
      </c>
      <c r="D3308" t="s">
        <v>15</v>
      </c>
      <c r="E3308">
        <v>43694.44571</v>
      </c>
    </row>
    <row r="3309" spans="1:5" hidden="1" x14ac:dyDescent="0.3">
      <c r="A3309">
        <v>91</v>
      </c>
      <c r="B3309">
        <v>555000</v>
      </c>
      <c r="C3309" t="s">
        <v>45</v>
      </c>
      <c r="D3309" t="s">
        <v>16</v>
      </c>
      <c r="E3309">
        <v>40333.001144000002</v>
      </c>
    </row>
    <row r="3310" spans="1:5" hidden="1" x14ac:dyDescent="0.3">
      <c r="A3310">
        <v>91</v>
      </c>
      <c r="B3310">
        <v>555000</v>
      </c>
      <c r="C3310" t="s">
        <v>45</v>
      </c>
      <c r="D3310" t="s">
        <v>17</v>
      </c>
      <c r="E3310">
        <v>166.666911</v>
      </c>
    </row>
    <row r="3311" spans="1:5" hidden="1" x14ac:dyDescent="0.3">
      <c r="A3311">
        <v>91</v>
      </c>
      <c r="B3311">
        <v>555000</v>
      </c>
      <c r="C3311" t="s">
        <v>45</v>
      </c>
      <c r="D3311" t="s">
        <v>18</v>
      </c>
      <c r="E3311">
        <v>88.834405000000004</v>
      </c>
    </row>
    <row r="3312" spans="1:5" hidden="1" x14ac:dyDescent="0.3">
      <c r="A3312">
        <v>91</v>
      </c>
      <c r="B3312">
        <v>555000</v>
      </c>
      <c r="C3312" t="s">
        <v>45</v>
      </c>
      <c r="D3312" t="s">
        <v>19</v>
      </c>
      <c r="E3312">
        <v>8833.3344419999994</v>
      </c>
    </row>
    <row r="3313" spans="1:5" hidden="1" x14ac:dyDescent="0.3">
      <c r="A3313">
        <v>91</v>
      </c>
      <c r="B3313">
        <v>555000</v>
      </c>
      <c r="C3313" t="s">
        <v>45</v>
      </c>
      <c r="D3313" t="s">
        <v>20</v>
      </c>
      <c r="E3313">
        <v>15166.667783999999</v>
      </c>
    </row>
    <row r="3314" spans="1:5" hidden="1" x14ac:dyDescent="0.3">
      <c r="A3314">
        <v>91</v>
      </c>
      <c r="B3314">
        <v>555000</v>
      </c>
      <c r="C3314" t="s">
        <v>45</v>
      </c>
      <c r="D3314" t="s">
        <v>21</v>
      </c>
      <c r="E3314">
        <v>0.34939700000000001</v>
      </c>
    </row>
    <row r="3315" spans="1:5" hidden="1" x14ac:dyDescent="0.3">
      <c r="A3315">
        <v>91</v>
      </c>
      <c r="B3315">
        <v>555000</v>
      </c>
      <c r="C3315" t="s">
        <v>45</v>
      </c>
      <c r="D3315" t="s">
        <v>22</v>
      </c>
      <c r="E3315">
        <v>504.14831099999998</v>
      </c>
    </row>
    <row r="3316" spans="1:5" hidden="1" x14ac:dyDescent="0.3">
      <c r="A3316">
        <v>91</v>
      </c>
      <c r="B3316">
        <v>555000</v>
      </c>
      <c r="C3316" t="s">
        <v>45</v>
      </c>
      <c r="D3316" t="s">
        <v>23</v>
      </c>
      <c r="E3316">
        <v>4444.4456149999996</v>
      </c>
    </row>
    <row r="3317" spans="1:5" hidden="1" x14ac:dyDescent="0.3">
      <c r="A3317">
        <v>91</v>
      </c>
      <c r="B3317">
        <v>555000</v>
      </c>
      <c r="C3317" t="s">
        <v>45</v>
      </c>
      <c r="D3317" t="s">
        <v>24</v>
      </c>
      <c r="E3317">
        <v>44055.556647999998</v>
      </c>
    </row>
    <row r="3318" spans="1:5" hidden="1" x14ac:dyDescent="0.3">
      <c r="A3318">
        <v>91</v>
      </c>
      <c r="B3318">
        <v>555000</v>
      </c>
      <c r="C3318" t="s">
        <v>45</v>
      </c>
      <c r="D3318" t="s">
        <v>25</v>
      </c>
      <c r="E3318">
        <v>2944.445369</v>
      </c>
    </row>
    <row r="3319" spans="1:5" hidden="1" x14ac:dyDescent="0.3">
      <c r="A3319">
        <v>91</v>
      </c>
      <c r="B3319">
        <v>555000</v>
      </c>
      <c r="C3319" t="s">
        <v>45</v>
      </c>
      <c r="D3319" t="s">
        <v>26</v>
      </c>
      <c r="E3319">
        <v>997.75428299999999</v>
      </c>
    </row>
    <row r="3320" spans="1:5" hidden="1" x14ac:dyDescent="0.3">
      <c r="A3320">
        <v>92</v>
      </c>
      <c r="B3320">
        <v>560000</v>
      </c>
      <c r="C3320" t="s">
        <v>45</v>
      </c>
      <c r="D3320" t="s">
        <v>6</v>
      </c>
      <c r="E3320">
        <v>109.967421</v>
      </c>
    </row>
    <row r="3321" spans="1:5" hidden="1" x14ac:dyDescent="0.3">
      <c r="A3321">
        <v>92</v>
      </c>
      <c r="B3321">
        <v>560000</v>
      </c>
      <c r="C3321" t="s">
        <v>45</v>
      </c>
      <c r="D3321" t="s">
        <v>7</v>
      </c>
      <c r="E3321">
        <v>53000.000853999998</v>
      </c>
    </row>
    <row r="3322" spans="1:5" hidden="1" x14ac:dyDescent="0.3">
      <c r="A3322">
        <v>92</v>
      </c>
      <c r="B3322">
        <v>560000</v>
      </c>
      <c r="C3322" t="s">
        <v>45</v>
      </c>
      <c r="D3322" t="s">
        <v>8</v>
      </c>
      <c r="E3322">
        <v>388.889681</v>
      </c>
    </row>
    <row r="3323" spans="1:5" hidden="1" x14ac:dyDescent="0.3">
      <c r="A3323">
        <v>92</v>
      </c>
      <c r="B3323">
        <v>560000</v>
      </c>
      <c r="C3323" t="s">
        <v>45</v>
      </c>
      <c r="D3323" t="s">
        <v>9</v>
      </c>
      <c r="E3323">
        <v>120840.16748400001</v>
      </c>
    </row>
    <row r="3324" spans="1:5" hidden="1" x14ac:dyDescent="0.3">
      <c r="A3324">
        <v>92</v>
      </c>
      <c r="B3324">
        <v>560000</v>
      </c>
      <c r="C3324" t="s">
        <v>45</v>
      </c>
      <c r="D3324" t="s">
        <v>10</v>
      </c>
      <c r="E3324">
        <v>92999.996801999994</v>
      </c>
    </row>
    <row r="3325" spans="1:5" hidden="1" x14ac:dyDescent="0.3">
      <c r="A3325">
        <v>92</v>
      </c>
      <c r="B3325">
        <v>560000</v>
      </c>
      <c r="C3325" t="s">
        <v>45</v>
      </c>
      <c r="D3325" t="s">
        <v>11</v>
      </c>
      <c r="E3325">
        <v>34138.889731000003</v>
      </c>
    </row>
    <row r="3326" spans="1:5" hidden="1" x14ac:dyDescent="0.3">
      <c r="A3326">
        <v>92</v>
      </c>
      <c r="B3326">
        <v>560000</v>
      </c>
      <c r="C3326" t="s">
        <v>45</v>
      </c>
      <c r="D3326" t="s">
        <v>12</v>
      </c>
      <c r="E3326">
        <v>44388.889729000002</v>
      </c>
    </row>
    <row r="3327" spans="1:5" hidden="1" x14ac:dyDescent="0.3">
      <c r="A3327">
        <v>92</v>
      </c>
      <c r="B3327">
        <v>560000</v>
      </c>
      <c r="C3327" t="s">
        <v>45</v>
      </c>
      <c r="D3327" t="s">
        <v>13</v>
      </c>
      <c r="E3327">
        <v>35431.345301000001</v>
      </c>
    </row>
    <row r="3328" spans="1:5" hidden="1" x14ac:dyDescent="0.3">
      <c r="A3328">
        <v>92</v>
      </c>
      <c r="B3328">
        <v>560000</v>
      </c>
      <c r="C3328" t="s">
        <v>45</v>
      </c>
      <c r="D3328" t="s">
        <v>14</v>
      </c>
      <c r="E3328">
        <v>12472.223081</v>
      </c>
    </row>
    <row r="3329" spans="1:5" hidden="1" x14ac:dyDescent="0.3">
      <c r="A3329">
        <v>92</v>
      </c>
      <c r="B3329">
        <v>560000</v>
      </c>
      <c r="C3329" t="s">
        <v>45</v>
      </c>
      <c r="D3329" t="s">
        <v>15</v>
      </c>
      <c r="E3329">
        <v>43694.445375000003</v>
      </c>
    </row>
    <row r="3330" spans="1:5" hidden="1" x14ac:dyDescent="0.3">
      <c r="A3330">
        <v>92</v>
      </c>
      <c r="B3330">
        <v>560000</v>
      </c>
      <c r="C3330" t="s">
        <v>45</v>
      </c>
      <c r="D3330" t="s">
        <v>16</v>
      </c>
      <c r="E3330">
        <v>40333.000882</v>
      </c>
    </row>
    <row r="3331" spans="1:5" hidden="1" x14ac:dyDescent="0.3">
      <c r="A3331">
        <v>92</v>
      </c>
      <c r="B3331">
        <v>560000</v>
      </c>
      <c r="C3331" t="s">
        <v>45</v>
      </c>
      <c r="D3331" t="s">
        <v>17</v>
      </c>
      <c r="E3331">
        <v>166.66727599999999</v>
      </c>
    </row>
    <row r="3332" spans="1:5" hidden="1" x14ac:dyDescent="0.3">
      <c r="A3332">
        <v>92</v>
      </c>
      <c r="B3332">
        <v>560000</v>
      </c>
      <c r="C3332" t="s">
        <v>45</v>
      </c>
      <c r="D3332" t="s">
        <v>18</v>
      </c>
      <c r="E3332">
        <v>88.834211999999994</v>
      </c>
    </row>
    <row r="3333" spans="1:5" hidden="1" x14ac:dyDescent="0.3">
      <c r="A3333">
        <v>92</v>
      </c>
      <c r="B3333">
        <v>560000</v>
      </c>
      <c r="C3333" t="s">
        <v>45</v>
      </c>
      <c r="D3333" t="s">
        <v>19</v>
      </c>
      <c r="E3333">
        <v>8833.3342049999992</v>
      </c>
    </row>
    <row r="3334" spans="1:5" hidden="1" x14ac:dyDescent="0.3">
      <c r="A3334">
        <v>92</v>
      </c>
      <c r="B3334">
        <v>560000</v>
      </c>
      <c r="C3334" t="s">
        <v>45</v>
      </c>
      <c r="D3334" t="s">
        <v>20</v>
      </c>
      <c r="E3334">
        <v>15166.667539</v>
      </c>
    </row>
    <row r="3335" spans="1:5" hidden="1" x14ac:dyDescent="0.3">
      <c r="A3335">
        <v>92</v>
      </c>
      <c r="B3335">
        <v>560000</v>
      </c>
      <c r="C3335" t="s">
        <v>45</v>
      </c>
      <c r="D3335" t="s">
        <v>21</v>
      </c>
      <c r="E3335">
        <v>0.124116</v>
      </c>
    </row>
    <row r="3336" spans="1:5" hidden="1" x14ac:dyDescent="0.3">
      <c r="A3336">
        <v>92</v>
      </c>
      <c r="B3336">
        <v>560000</v>
      </c>
      <c r="C3336" t="s">
        <v>45</v>
      </c>
      <c r="D3336" t="s">
        <v>22</v>
      </c>
      <c r="E3336">
        <v>504.14810299999999</v>
      </c>
    </row>
    <row r="3337" spans="1:5" hidden="1" x14ac:dyDescent="0.3">
      <c r="A3337">
        <v>92</v>
      </c>
      <c r="B3337">
        <v>560000</v>
      </c>
      <c r="C3337" t="s">
        <v>45</v>
      </c>
      <c r="D3337" t="s">
        <v>23</v>
      </c>
      <c r="E3337">
        <v>4444.4453409999996</v>
      </c>
    </row>
    <row r="3338" spans="1:5" hidden="1" x14ac:dyDescent="0.3">
      <c r="A3338">
        <v>92</v>
      </c>
      <c r="B3338">
        <v>560000</v>
      </c>
      <c r="C3338" t="s">
        <v>45</v>
      </c>
      <c r="D3338" t="s">
        <v>24</v>
      </c>
      <c r="E3338">
        <v>44055.556314000001</v>
      </c>
    </row>
    <row r="3339" spans="1:5" hidden="1" x14ac:dyDescent="0.3">
      <c r="A3339">
        <v>92</v>
      </c>
      <c r="B3339">
        <v>560000</v>
      </c>
      <c r="C3339" t="s">
        <v>45</v>
      </c>
      <c r="D3339" t="s">
        <v>25</v>
      </c>
      <c r="E3339">
        <v>2944.4452569999999</v>
      </c>
    </row>
    <row r="3340" spans="1:5" hidden="1" x14ac:dyDescent="0.3">
      <c r="A3340">
        <v>92</v>
      </c>
      <c r="B3340">
        <v>560000</v>
      </c>
      <c r="C3340" t="s">
        <v>45</v>
      </c>
      <c r="D3340" t="s">
        <v>26</v>
      </c>
      <c r="E3340">
        <v>5997.9804819999999</v>
      </c>
    </row>
    <row r="3341" spans="1:5" hidden="1" x14ac:dyDescent="0.3">
      <c r="A3341">
        <v>93</v>
      </c>
      <c r="B3341">
        <v>565000</v>
      </c>
      <c r="C3341" t="s">
        <v>45</v>
      </c>
      <c r="D3341" t="s">
        <v>6</v>
      </c>
      <c r="E3341">
        <v>109.967095</v>
      </c>
    </row>
    <row r="3342" spans="1:5" hidden="1" x14ac:dyDescent="0.3">
      <c r="A3342">
        <v>93</v>
      </c>
      <c r="B3342">
        <v>565000</v>
      </c>
      <c r="C3342" t="s">
        <v>45</v>
      </c>
      <c r="D3342" t="s">
        <v>7</v>
      </c>
      <c r="E3342">
        <v>53000.000548999997</v>
      </c>
    </row>
    <row r="3343" spans="1:5" hidden="1" x14ac:dyDescent="0.3">
      <c r="A3343">
        <v>93</v>
      </c>
      <c r="B3343">
        <v>565000</v>
      </c>
      <c r="C3343" t="s">
        <v>45</v>
      </c>
      <c r="D3343" t="s">
        <v>8</v>
      </c>
      <c r="E3343">
        <v>388.88935900000001</v>
      </c>
    </row>
    <row r="3344" spans="1:5" hidden="1" x14ac:dyDescent="0.3">
      <c r="A3344">
        <v>93</v>
      </c>
      <c r="B3344">
        <v>565000</v>
      </c>
      <c r="C3344" t="s">
        <v>45</v>
      </c>
      <c r="D3344" t="s">
        <v>9</v>
      </c>
      <c r="E3344">
        <v>120840.16714200001</v>
      </c>
    </row>
    <row r="3345" spans="1:5" hidden="1" x14ac:dyDescent="0.3">
      <c r="A3345">
        <v>93</v>
      </c>
      <c r="B3345">
        <v>565000</v>
      </c>
      <c r="C3345" t="s">
        <v>45</v>
      </c>
      <c r="D3345" t="s">
        <v>10</v>
      </c>
      <c r="E3345">
        <v>92999.998280999993</v>
      </c>
    </row>
    <row r="3346" spans="1:5" hidden="1" x14ac:dyDescent="0.3">
      <c r="A3346">
        <v>93</v>
      </c>
      <c r="B3346">
        <v>565000</v>
      </c>
      <c r="C3346" t="s">
        <v>45</v>
      </c>
      <c r="D3346" t="s">
        <v>11</v>
      </c>
      <c r="E3346">
        <v>34138.889424000001</v>
      </c>
    </row>
    <row r="3347" spans="1:5" hidden="1" x14ac:dyDescent="0.3">
      <c r="A3347">
        <v>93</v>
      </c>
      <c r="B3347">
        <v>565000</v>
      </c>
      <c r="C3347" t="s">
        <v>45</v>
      </c>
      <c r="D3347" t="s">
        <v>12</v>
      </c>
      <c r="E3347">
        <v>44388.889418999999</v>
      </c>
    </row>
    <row r="3348" spans="1:5" hidden="1" x14ac:dyDescent="0.3">
      <c r="A3348">
        <v>93</v>
      </c>
      <c r="B3348">
        <v>565000</v>
      </c>
      <c r="C3348" t="s">
        <v>45</v>
      </c>
      <c r="D3348" t="s">
        <v>13</v>
      </c>
      <c r="E3348">
        <v>35431.344999000001</v>
      </c>
    </row>
    <row r="3349" spans="1:5" hidden="1" x14ac:dyDescent="0.3">
      <c r="A3349">
        <v>93</v>
      </c>
      <c r="B3349">
        <v>565000</v>
      </c>
      <c r="C3349" t="s">
        <v>45</v>
      </c>
      <c r="D3349" t="s">
        <v>14</v>
      </c>
      <c r="E3349">
        <v>12472.222796</v>
      </c>
    </row>
    <row r="3350" spans="1:5" hidden="1" x14ac:dyDescent="0.3">
      <c r="A3350">
        <v>93</v>
      </c>
      <c r="B3350">
        <v>565000</v>
      </c>
      <c r="C3350" t="s">
        <v>45</v>
      </c>
      <c r="D3350" t="s">
        <v>15</v>
      </c>
      <c r="E3350">
        <v>43694.443565000001</v>
      </c>
    </row>
    <row r="3351" spans="1:5" hidden="1" x14ac:dyDescent="0.3">
      <c r="A3351">
        <v>93</v>
      </c>
      <c r="B3351">
        <v>565000</v>
      </c>
      <c r="C3351" t="s">
        <v>45</v>
      </c>
      <c r="D3351" t="s">
        <v>16</v>
      </c>
      <c r="E3351">
        <v>40333.000595999998</v>
      </c>
    </row>
    <row r="3352" spans="1:5" hidden="1" x14ac:dyDescent="0.3">
      <c r="A3352">
        <v>93</v>
      </c>
      <c r="B3352">
        <v>565000</v>
      </c>
      <c r="C3352" t="s">
        <v>45</v>
      </c>
      <c r="D3352" t="s">
        <v>17</v>
      </c>
      <c r="E3352">
        <v>166.66693000000001</v>
      </c>
    </row>
    <row r="3353" spans="1:5" hidden="1" x14ac:dyDescent="0.3">
      <c r="A3353">
        <v>93</v>
      </c>
      <c r="B3353">
        <v>565000</v>
      </c>
      <c r="C3353" t="s">
        <v>45</v>
      </c>
      <c r="D3353" t="s">
        <v>18</v>
      </c>
      <c r="E3353">
        <v>88.833928</v>
      </c>
    </row>
    <row r="3354" spans="1:5" hidden="1" x14ac:dyDescent="0.3">
      <c r="A3354">
        <v>93</v>
      </c>
      <c r="B3354">
        <v>565000</v>
      </c>
      <c r="C3354" t="s">
        <v>45</v>
      </c>
      <c r="D3354" t="s">
        <v>19</v>
      </c>
      <c r="E3354">
        <v>8833.333928</v>
      </c>
    </row>
    <row r="3355" spans="1:5" hidden="1" x14ac:dyDescent="0.3">
      <c r="A3355">
        <v>93</v>
      </c>
      <c r="B3355">
        <v>565000</v>
      </c>
      <c r="C3355" t="s">
        <v>45</v>
      </c>
      <c r="D3355" t="s">
        <v>20</v>
      </c>
      <c r="E3355">
        <v>15166.667255</v>
      </c>
    </row>
    <row r="3356" spans="1:5" hidden="1" x14ac:dyDescent="0.3">
      <c r="A3356">
        <v>93</v>
      </c>
      <c r="B3356">
        <v>565000</v>
      </c>
      <c r="C3356" t="s">
        <v>45</v>
      </c>
      <c r="D3356" t="s">
        <v>21</v>
      </c>
      <c r="E3356">
        <v>0.26127699999999998</v>
      </c>
    </row>
    <row r="3357" spans="1:5" hidden="1" x14ac:dyDescent="0.3">
      <c r="A3357">
        <v>93</v>
      </c>
      <c r="B3357">
        <v>565000</v>
      </c>
      <c r="C3357" t="s">
        <v>45</v>
      </c>
      <c r="D3357" t="s">
        <v>22</v>
      </c>
      <c r="E3357">
        <v>504.14782000000002</v>
      </c>
    </row>
    <row r="3358" spans="1:5" hidden="1" x14ac:dyDescent="0.3">
      <c r="A3358">
        <v>93</v>
      </c>
      <c r="B3358">
        <v>565000</v>
      </c>
      <c r="C3358" t="s">
        <v>45</v>
      </c>
      <c r="D3358" t="s">
        <v>23</v>
      </c>
      <c r="E3358">
        <v>4444.4450729999999</v>
      </c>
    </row>
    <row r="3359" spans="1:5" hidden="1" x14ac:dyDescent="0.3">
      <c r="A3359">
        <v>93</v>
      </c>
      <c r="B3359">
        <v>565000</v>
      </c>
      <c r="C3359" t="s">
        <v>45</v>
      </c>
      <c r="D3359" t="s">
        <v>24</v>
      </c>
      <c r="E3359">
        <v>44055.555268999997</v>
      </c>
    </row>
    <row r="3360" spans="1:5" hidden="1" x14ac:dyDescent="0.3">
      <c r="A3360">
        <v>93</v>
      </c>
      <c r="B3360">
        <v>565000</v>
      </c>
      <c r="C3360" t="s">
        <v>45</v>
      </c>
      <c r="D3360" t="s">
        <v>25</v>
      </c>
      <c r="E3360">
        <v>2944.4449509999999</v>
      </c>
    </row>
    <row r="3361" spans="1:5" hidden="1" x14ac:dyDescent="0.3">
      <c r="A3361">
        <v>93</v>
      </c>
      <c r="B3361">
        <v>565000</v>
      </c>
      <c r="C3361" t="s">
        <v>45</v>
      </c>
      <c r="D3361" t="s">
        <v>26</v>
      </c>
      <c r="E3361">
        <v>10611.101111</v>
      </c>
    </row>
    <row r="3362" spans="1:5" hidden="1" x14ac:dyDescent="0.3">
      <c r="A3362">
        <v>94</v>
      </c>
      <c r="B3362">
        <v>570000</v>
      </c>
      <c r="C3362" t="s">
        <v>45</v>
      </c>
      <c r="D3362" t="s">
        <v>6</v>
      </c>
      <c r="E3362">
        <v>109.968655</v>
      </c>
    </row>
    <row r="3363" spans="1:5" hidden="1" x14ac:dyDescent="0.3">
      <c r="A3363">
        <v>94</v>
      </c>
      <c r="B3363">
        <v>570000</v>
      </c>
      <c r="C3363" t="s">
        <v>45</v>
      </c>
      <c r="D3363" t="s">
        <v>7</v>
      </c>
      <c r="E3363">
        <v>53000.002234</v>
      </c>
    </row>
    <row r="3364" spans="1:5" hidden="1" x14ac:dyDescent="0.3">
      <c r="A3364">
        <v>94</v>
      </c>
      <c r="B3364">
        <v>570000</v>
      </c>
      <c r="C3364" t="s">
        <v>45</v>
      </c>
      <c r="D3364" t="s">
        <v>8</v>
      </c>
      <c r="E3364">
        <v>388.89095300000002</v>
      </c>
    </row>
    <row r="3365" spans="1:5" hidden="1" x14ac:dyDescent="0.3">
      <c r="A3365">
        <v>94</v>
      </c>
      <c r="B3365">
        <v>570000</v>
      </c>
      <c r="C3365" t="s">
        <v>45</v>
      </c>
      <c r="D3365" t="s">
        <v>9</v>
      </c>
      <c r="E3365">
        <v>120840.168832</v>
      </c>
    </row>
    <row r="3366" spans="1:5" hidden="1" x14ac:dyDescent="0.3">
      <c r="A3366">
        <v>94</v>
      </c>
      <c r="B3366">
        <v>570000</v>
      </c>
      <c r="C3366" t="s">
        <v>45</v>
      </c>
      <c r="D3366" t="s">
        <v>10</v>
      </c>
      <c r="E3366">
        <v>93000.001940000002</v>
      </c>
    </row>
    <row r="3367" spans="1:5" hidden="1" x14ac:dyDescent="0.3">
      <c r="A3367">
        <v>94</v>
      </c>
      <c r="B3367">
        <v>570000</v>
      </c>
      <c r="C3367" t="s">
        <v>45</v>
      </c>
      <c r="D3367" t="s">
        <v>11</v>
      </c>
      <c r="E3367">
        <v>34138.891078000001</v>
      </c>
    </row>
    <row r="3368" spans="1:5" hidden="1" x14ac:dyDescent="0.3">
      <c r="A3368">
        <v>94</v>
      </c>
      <c r="B3368">
        <v>570000</v>
      </c>
      <c r="C3368" t="s">
        <v>45</v>
      </c>
      <c r="D3368" t="s">
        <v>12</v>
      </c>
      <c r="E3368">
        <v>44388.891082000002</v>
      </c>
    </row>
    <row r="3369" spans="1:5" hidden="1" x14ac:dyDescent="0.3">
      <c r="A3369">
        <v>94</v>
      </c>
      <c r="B3369">
        <v>570000</v>
      </c>
      <c r="C3369" t="s">
        <v>45</v>
      </c>
      <c r="D3369" t="s">
        <v>13</v>
      </c>
      <c r="E3369">
        <v>35431.346662000004</v>
      </c>
    </row>
    <row r="3370" spans="1:5" hidden="1" x14ac:dyDescent="0.3">
      <c r="A3370">
        <v>94</v>
      </c>
      <c r="B3370">
        <v>570000</v>
      </c>
      <c r="C3370" t="s">
        <v>45</v>
      </c>
      <c r="D3370" t="s">
        <v>14</v>
      </c>
      <c r="E3370">
        <v>12472.224453000001</v>
      </c>
    </row>
    <row r="3371" spans="1:5" hidden="1" x14ac:dyDescent="0.3">
      <c r="A3371">
        <v>94</v>
      </c>
      <c r="B3371">
        <v>570000</v>
      </c>
      <c r="C3371" t="s">
        <v>45</v>
      </c>
      <c r="D3371" t="s">
        <v>15</v>
      </c>
      <c r="E3371">
        <v>43694.446302999997</v>
      </c>
    </row>
    <row r="3372" spans="1:5" hidden="1" x14ac:dyDescent="0.3">
      <c r="A3372">
        <v>94</v>
      </c>
      <c r="B3372">
        <v>570000</v>
      </c>
      <c r="C3372" t="s">
        <v>45</v>
      </c>
      <c r="D3372" t="s">
        <v>16</v>
      </c>
      <c r="E3372">
        <v>40333.002308000003</v>
      </c>
    </row>
    <row r="3373" spans="1:5" hidden="1" x14ac:dyDescent="0.3">
      <c r="A3373">
        <v>94</v>
      </c>
      <c r="B3373">
        <v>570000</v>
      </c>
      <c r="C3373" t="s">
        <v>45</v>
      </c>
      <c r="D3373" t="s">
        <v>17</v>
      </c>
      <c r="E3373">
        <v>166.66839300000001</v>
      </c>
    </row>
    <row r="3374" spans="1:5" hidden="1" x14ac:dyDescent="0.3">
      <c r="A3374">
        <v>94</v>
      </c>
      <c r="B3374">
        <v>570000</v>
      </c>
      <c r="C3374" t="s">
        <v>45</v>
      </c>
      <c r="D3374" t="s">
        <v>18</v>
      </c>
      <c r="E3374">
        <v>88.835594</v>
      </c>
    </row>
    <row r="3375" spans="1:5" hidden="1" x14ac:dyDescent="0.3">
      <c r="A3375">
        <v>94</v>
      </c>
      <c r="B3375">
        <v>570000</v>
      </c>
      <c r="C3375" t="s">
        <v>45</v>
      </c>
      <c r="D3375" t="s">
        <v>19</v>
      </c>
      <c r="E3375">
        <v>8833.3355909999991</v>
      </c>
    </row>
    <row r="3376" spans="1:5" hidden="1" x14ac:dyDescent="0.3">
      <c r="A3376">
        <v>94</v>
      </c>
      <c r="B3376">
        <v>570000</v>
      </c>
      <c r="C3376" t="s">
        <v>45</v>
      </c>
      <c r="D3376" t="s">
        <v>20</v>
      </c>
      <c r="E3376">
        <v>15166.668908</v>
      </c>
    </row>
    <row r="3377" spans="1:5" hidden="1" x14ac:dyDescent="0.3">
      <c r="A3377">
        <v>94</v>
      </c>
      <c r="B3377">
        <v>570000</v>
      </c>
      <c r="C3377" t="s">
        <v>45</v>
      </c>
      <c r="D3377" t="s">
        <v>21</v>
      </c>
      <c r="E3377">
        <v>0.45614500000000002</v>
      </c>
    </row>
    <row r="3378" spans="1:5" hidden="1" x14ac:dyDescent="0.3">
      <c r="A3378">
        <v>94</v>
      </c>
      <c r="B3378">
        <v>570000</v>
      </c>
      <c r="C3378" t="s">
        <v>45</v>
      </c>
      <c r="D3378" t="s">
        <v>22</v>
      </c>
      <c r="E3378">
        <v>504.14949000000001</v>
      </c>
    </row>
    <row r="3379" spans="1:5" hidden="1" x14ac:dyDescent="0.3">
      <c r="A3379">
        <v>94</v>
      </c>
      <c r="B3379">
        <v>570000</v>
      </c>
      <c r="C3379" t="s">
        <v>45</v>
      </c>
      <c r="D3379" t="s">
        <v>23</v>
      </c>
      <c r="E3379">
        <v>4444.4467400000003</v>
      </c>
    </row>
    <row r="3380" spans="1:5" hidden="1" x14ac:dyDescent="0.3">
      <c r="A3380">
        <v>94</v>
      </c>
      <c r="B3380">
        <v>570000</v>
      </c>
      <c r="C3380" t="s">
        <v>45</v>
      </c>
      <c r="D3380" t="s">
        <v>24</v>
      </c>
      <c r="E3380">
        <v>44055.55745</v>
      </c>
    </row>
    <row r="3381" spans="1:5" hidden="1" x14ac:dyDescent="0.3">
      <c r="A3381">
        <v>94</v>
      </c>
      <c r="B3381">
        <v>570000</v>
      </c>
      <c r="C3381" t="s">
        <v>45</v>
      </c>
      <c r="D3381" t="s">
        <v>25</v>
      </c>
      <c r="E3381">
        <v>2944.4465519999999</v>
      </c>
    </row>
    <row r="3382" spans="1:5" hidden="1" x14ac:dyDescent="0.3">
      <c r="A3382">
        <v>94</v>
      </c>
      <c r="B3382">
        <v>570000</v>
      </c>
      <c r="C3382" t="s">
        <v>45</v>
      </c>
      <c r="D3382" t="s">
        <v>26</v>
      </c>
      <c r="E3382">
        <v>10611.110128</v>
      </c>
    </row>
    <row r="3383" spans="1:5" hidden="1" x14ac:dyDescent="0.3">
      <c r="A3383">
        <v>95</v>
      </c>
      <c r="B3383">
        <v>575000</v>
      </c>
      <c r="C3383" t="s">
        <v>45</v>
      </c>
      <c r="D3383" t="s">
        <v>6</v>
      </c>
      <c r="E3383">
        <v>109.967004</v>
      </c>
    </row>
    <row r="3384" spans="1:5" hidden="1" x14ac:dyDescent="0.3">
      <c r="A3384">
        <v>95</v>
      </c>
      <c r="B3384">
        <v>575000</v>
      </c>
      <c r="C3384" t="s">
        <v>45</v>
      </c>
      <c r="D3384" t="s">
        <v>7</v>
      </c>
      <c r="E3384">
        <v>53000.000420999997</v>
      </c>
    </row>
    <row r="3385" spans="1:5" hidden="1" x14ac:dyDescent="0.3">
      <c r="A3385">
        <v>95</v>
      </c>
      <c r="B3385">
        <v>575000</v>
      </c>
      <c r="C3385" t="s">
        <v>45</v>
      </c>
      <c r="D3385" t="s">
        <v>8</v>
      </c>
      <c r="E3385">
        <v>388.88925399999999</v>
      </c>
    </row>
    <row r="3386" spans="1:5" hidden="1" x14ac:dyDescent="0.3">
      <c r="A3386">
        <v>95</v>
      </c>
      <c r="B3386">
        <v>575000</v>
      </c>
      <c r="C3386" t="s">
        <v>45</v>
      </c>
      <c r="D3386" t="s">
        <v>9</v>
      </c>
      <c r="E3386">
        <v>120840.16707</v>
      </c>
    </row>
    <row r="3387" spans="1:5" hidden="1" x14ac:dyDescent="0.3">
      <c r="A3387">
        <v>95</v>
      </c>
      <c r="B3387">
        <v>575000</v>
      </c>
      <c r="C3387" t="s">
        <v>45</v>
      </c>
      <c r="D3387" t="s">
        <v>10</v>
      </c>
      <c r="E3387">
        <v>93000.000333000004</v>
      </c>
    </row>
    <row r="3388" spans="1:5" hidden="1" x14ac:dyDescent="0.3">
      <c r="A3388">
        <v>95</v>
      </c>
      <c r="B3388">
        <v>575000</v>
      </c>
      <c r="C3388" t="s">
        <v>45</v>
      </c>
      <c r="D3388" t="s">
        <v>11</v>
      </c>
      <c r="E3388">
        <v>34138.889297000002</v>
      </c>
    </row>
    <row r="3389" spans="1:5" hidden="1" x14ac:dyDescent="0.3">
      <c r="A3389">
        <v>95</v>
      </c>
      <c r="B3389">
        <v>575000</v>
      </c>
      <c r="C3389" t="s">
        <v>45</v>
      </c>
      <c r="D3389" t="s">
        <v>12</v>
      </c>
      <c r="E3389">
        <v>44388.889297000002</v>
      </c>
    </row>
    <row r="3390" spans="1:5" hidden="1" x14ac:dyDescent="0.3">
      <c r="A3390">
        <v>95</v>
      </c>
      <c r="B3390">
        <v>575000</v>
      </c>
      <c r="C3390" t="s">
        <v>45</v>
      </c>
      <c r="D3390" t="s">
        <v>13</v>
      </c>
      <c r="E3390">
        <v>35431.344859999997</v>
      </c>
    </row>
    <row r="3391" spans="1:5" hidden="1" x14ac:dyDescent="0.3">
      <c r="A3391">
        <v>95</v>
      </c>
      <c r="B3391">
        <v>575000</v>
      </c>
      <c r="C3391" t="s">
        <v>45</v>
      </c>
      <c r="D3391" t="s">
        <v>14</v>
      </c>
      <c r="E3391">
        <v>12472.222642999999</v>
      </c>
    </row>
    <row r="3392" spans="1:5" hidden="1" x14ac:dyDescent="0.3">
      <c r="A3392">
        <v>95</v>
      </c>
      <c r="B3392">
        <v>575000</v>
      </c>
      <c r="C3392" t="s">
        <v>45</v>
      </c>
      <c r="D3392" t="s">
        <v>15</v>
      </c>
      <c r="E3392">
        <v>43694.444814000002</v>
      </c>
    </row>
    <row r="3393" spans="1:5" hidden="1" x14ac:dyDescent="0.3">
      <c r="A3393">
        <v>95</v>
      </c>
      <c r="B3393">
        <v>575000</v>
      </c>
      <c r="C3393" t="s">
        <v>45</v>
      </c>
      <c r="D3393" t="s">
        <v>16</v>
      </c>
      <c r="E3393">
        <v>40333.000436000002</v>
      </c>
    </row>
    <row r="3394" spans="1:5" hidden="1" x14ac:dyDescent="0.3">
      <c r="A3394">
        <v>95</v>
      </c>
      <c r="B3394">
        <v>575000</v>
      </c>
      <c r="C3394" t="s">
        <v>45</v>
      </c>
      <c r="D3394" t="s">
        <v>17</v>
      </c>
      <c r="E3394">
        <v>166.666922</v>
      </c>
    </row>
    <row r="3395" spans="1:5" hidden="1" x14ac:dyDescent="0.3">
      <c r="A3395">
        <v>95</v>
      </c>
      <c r="B3395">
        <v>575000</v>
      </c>
      <c r="C3395" t="s">
        <v>45</v>
      </c>
      <c r="D3395" t="s">
        <v>18</v>
      </c>
      <c r="E3395">
        <v>88.833755999999994</v>
      </c>
    </row>
    <row r="3396" spans="1:5" hidden="1" x14ac:dyDescent="0.3">
      <c r="A3396">
        <v>95</v>
      </c>
      <c r="B3396">
        <v>575000</v>
      </c>
      <c r="C3396" t="s">
        <v>45</v>
      </c>
      <c r="D3396" t="s">
        <v>19</v>
      </c>
      <c r="E3396">
        <v>8833.3337630000005</v>
      </c>
    </row>
    <row r="3397" spans="1:5" hidden="1" x14ac:dyDescent="0.3">
      <c r="A3397">
        <v>95</v>
      </c>
      <c r="B3397">
        <v>575000</v>
      </c>
      <c r="C3397" t="s">
        <v>45</v>
      </c>
      <c r="D3397" t="s">
        <v>20</v>
      </c>
      <c r="E3397">
        <v>15166.667093</v>
      </c>
    </row>
    <row r="3398" spans="1:5" hidden="1" x14ac:dyDescent="0.3">
      <c r="A3398">
        <v>95</v>
      </c>
      <c r="B3398">
        <v>575000</v>
      </c>
      <c r="C3398" t="s">
        <v>45</v>
      </c>
      <c r="D3398" t="s">
        <v>21</v>
      </c>
      <c r="E3398">
        <v>0.13728199999999999</v>
      </c>
    </row>
    <row r="3399" spans="1:5" hidden="1" x14ac:dyDescent="0.3">
      <c r="A3399">
        <v>95</v>
      </c>
      <c r="B3399">
        <v>575000</v>
      </c>
      <c r="C3399" t="s">
        <v>45</v>
      </c>
      <c r="D3399" t="s">
        <v>22</v>
      </c>
      <c r="E3399">
        <v>504.14765199999999</v>
      </c>
    </row>
    <row r="3400" spans="1:5" hidden="1" x14ac:dyDescent="0.3">
      <c r="A3400">
        <v>95</v>
      </c>
      <c r="B3400">
        <v>575000</v>
      </c>
      <c r="C3400" t="s">
        <v>45</v>
      </c>
      <c r="D3400" t="s">
        <v>23</v>
      </c>
      <c r="E3400">
        <v>4444.4448890000003</v>
      </c>
    </row>
    <row r="3401" spans="1:5" hidden="1" x14ac:dyDescent="0.3">
      <c r="A3401">
        <v>95</v>
      </c>
      <c r="B3401">
        <v>575000</v>
      </c>
      <c r="C3401" t="s">
        <v>45</v>
      </c>
      <c r="D3401" t="s">
        <v>24</v>
      </c>
      <c r="E3401">
        <v>44055.555939999998</v>
      </c>
    </row>
    <row r="3402" spans="1:5" hidden="1" x14ac:dyDescent="0.3">
      <c r="A3402">
        <v>95</v>
      </c>
      <c r="B3402">
        <v>575000</v>
      </c>
      <c r="C3402" t="s">
        <v>45</v>
      </c>
      <c r="D3402" t="s">
        <v>25</v>
      </c>
      <c r="E3402">
        <v>2944.4448320000001</v>
      </c>
    </row>
    <row r="3403" spans="1:5" hidden="1" x14ac:dyDescent="0.3">
      <c r="A3403">
        <v>95</v>
      </c>
      <c r="B3403">
        <v>575000</v>
      </c>
      <c r="C3403" t="s">
        <v>45</v>
      </c>
      <c r="D3403" t="s">
        <v>26</v>
      </c>
      <c r="E3403">
        <v>10611.110452999999</v>
      </c>
    </row>
    <row r="3404" spans="1:5" hidden="1" x14ac:dyDescent="0.3">
      <c r="A3404">
        <v>96</v>
      </c>
      <c r="B3404">
        <v>580000</v>
      </c>
      <c r="C3404" t="s">
        <v>45</v>
      </c>
      <c r="D3404" t="s">
        <v>6</v>
      </c>
      <c r="E3404">
        <v>109.967921</v>
      </c>
    </row>
    <row r="3405" spans="1:5" hidden="1" x14ac:dyDescent="0.3">
      <c r="A3405">
        <v>96</v>
      </c>
      <c r="B3405">
        <v>580000</v>
      </c>
      <c r="C3405" t="s">
        <v>45</v>
      </c>
      <c r="D3405" t="s">
        <v>7</v>
      </c>
      <c r="E3405">
        <v>53000.001450999996</v>
      </c>
    </row>
    <row r="3406" spans="1:5" hidden="1" x14ac:dyDescent="0.3">
      <c r="A3406">
        <v>96</v>
      </c>
      <c r="B3406">
        <v>580000</v>
      </c>
      <c r="C3406" t="s">
        <v>45</v>
      </c>
      <c r="D3406" t="s">
        <v>8</v>
      </c>
      <c r="E3406">
        <v>388.890219</v>
      </c>
    </row>
    <row r="3407" spans="1:5" hidden="1" x14ac:dyDescent="0.3">
      <c r="A3407">
        <v>96</v>
      </c>
      <c r="B3407">
        <v>580000</v>
      </c>
      <c r="C3407" t="s">
        <v>45</v>
      </c>
      <c r="D3407" t="s">
        <v>9</v>
      </c>
      <c r="E3407">
        <v>120840.168078</v>
      </c>
    </row>
    <row r="3408" spans="1:5" hidden="1" x14ac:dyDescent="0.3">
      <c r="A3408">
        <v>96</v>
      </c>
      <c r="B3408">
        <v>580000</v>
      </c>
      <c r="C3408" t="s">
        <v>45</v>
      </c>
      <c r="D3408" t="s">
        <v>10</v>
      </c>
      <c r="E3408">
        <v>93000.001290999993</v>
      </c>
    </row>
    <row r="3409" spans="1:5" hidden="1" x14ac:dyDescent="0.3">
      <c r="A3409">
        <v>96</v>
      </c>
      <c r="B3409">
        <v>580000</v>
      </c>
      <c r="C3409" t="s">
        <v>45</v>
      </c>
      <c r="D3409" t="s">
        <v>11</v>
      </c>
      <c r="E3409">
        <v>34138.890323</v>
      </c>
    </row>
    <row r="3410" spans="1:5" hidden="1" x14ac:dyDescent="0.3">
      <c r="A3410">
        <v>96</v>
      </c>
      <c r="B3410">
        <v>580000</v>
      </c>
      <c r="C3410" t="s">
        <v>45</v>
      </c>
      <c r="D3410" t="s">
        <v>12</v>
      </c>
      <c r="E3410">
        <v>44388.890323</v>
      </c>
    </row>
    <row r="3411" spans="1:5" hidden="1" x14ac:dyDescent="0.3">
      <c r="A3411">
        <v>96</v>
      </c>
      <c r="B3411">
        <v>580000</v>
      </c>
      <c r="C3411" t="s">
        <v>45</v>
      </c>
      <c r="D3411" t="s">
        <v>13</v>
      </c>
      <c r="E3411">
        <v>35431.345894999999</v>
      </c>
    </row>
    <row r="3412" spans="1:5" hidden="1" x14ac:dyDescent="0.3">
      <c r="A3412">
        <v>96</v>
      </c>
      <c r="B3412">
        <v>580000</v>
      </c>
      <c r="C3412" t="s">
        <v>45</v>
      </c>
      <c r="D3412" t="s">
        <v>14</v>
      </c>
      <c r="E3412">
        <v>12472.223674000001</v>
      </c>
    </row>
    <row r="3413" spans="1:5" hidden="1" x14ac:dyDescent="0.3">
      <c r="A3413">
        <v>96</v>
      </c>
      <c r="B3413">
        <v>580000</v>
      </c>
      <c r="C3413" t="s">
        <v>45</v>
      </c>
      <c r="D3413" t="s">
        <v>15</v>
      </c>
      <c r="E3413">
        <v>43694.445935999996</v>
      </c>
    </row>
    <row r="3414" spans="1:5" hidden="1" x14ac:dyDescent="0.3">
      <c r="A3414">
        <v>96</v>
      </c>
      <c r="B3414">
        <v>580000</v>
      </c>
      <c r="C3414" t="s">
        <v>45</v>
      </c>
      <c r="D3414" t="s">
        <v>16</v>
      </c>
      <c r="E3414">
        <v>40333.001549000001</v>
      </c>
    </row>
    <row r="3415" spans="1:5" hidden="1" x14ac:dyDescent="0.3">
      <c r="A3415">
        <v>96</v>
      </c>
      <c r="B3415">
        <v>580000</v>
      </c>
      <c r="C3415" t="s">
        <v>45</v>
      </c>
      <c r="D3415" t="s">
        <v>17</v>
      </c>
      <c r="E3415">
        <v>166.66775100000001</v>
      </c>
    </row>
    <row r="3416" spans="1:5" hidden="1" x14ac:dyDescent="0.3">
      <c r="A3416">
        <v>96</v>
      </c>
      <c r="B3416">
        <v>580000</v>
      </c>
      <c r="C3416" t="s">
        <v>45</v>
      </c>
      <c r="D3416" t="s">
        <v>18</v>
      </c>
      <c r="E3416">
        <v>88.834767999999997</v>
      </c>
    </row>
    <row r="3417" spans="1:5" hidden="1" x14ac:dyDescent="0.3">
      <c r="A3417">
        <v>96</v>
      </c>
      <c r="B3417">
        <v>580000</v>
      </c>
      <c r="C3417" t="s">
        <v>45</v>
      </c>
      <c r="D3417" t="s">
        <v>19</v>
      </c>
      <c r="E3417">
        <v>8833.3347990000002</v>
      </c>
    </row>
    <row r="3418" spans="1:5" hidden="1" x14ac:dyDescent="0.3">
      <c r="A3418">
        <v>96</v>
      </c>
      <c r="B3418">
        <v>580000</v>
      </c>
      <c r="C3418" t="s">
        <v>45</v>
      </c>
      <c r="D3418" t="s">
        <v>20</v>
      </c>
      <c r="E3418">
        <v>15166.668135</v>
      </c>
    </row>
    <row r="3419" spans="1:5" hidden="1" x14ac:dyDescent="0.3">
      <c r="A3419">
        <v>96</v>
      </c>
      <c r="B3419">
        <v>580000</v>
      </c>
      <c r="C3419" t="s">
        <v>45</v>
      </c>
      <c r="D3419" t="s">
        <v>21</v>
      </c>
      <c r="E3419">
        <v>0.306537</v>
      </c>
    </row>
    <row r="3420" spans="1:5" hidden="1" x14ac:dyDescent="0.3">
      <c r="A3420">
        <v>96</v>
      </c>
      <c r="B3420">
        <v>580000</v>
      </c>
      <c r="C3420" t="s">
        <v>45</v>
      </c>
      <c r="D3420" t="s">
        <v>22</v>
      </c>
      <c r="E3420">
        <v>504.14867900000002</v>
      </c>
    </row>
    <row r="3421" spans="1:5" hidden="1" x14ac:dyDescent="0.3">
      <c r="A3421">
        <v>96</v>
      </c>
      <c r="B3421">
        <v>580000</v>
      </c>
      <c r="C3421" t="s">
        <v>45</v>
      </c>
      <c r="D3421" t="s">
        <v>23</v>
      </c>
      <c r="E3421">
        <v>4444.4459390000002</v>
      </c>
    </row>
    <row r="3422" spans="1:5" hidden="1" x14ac:dyDescent="0.3">
      <c r="A3422">
        <v>96</v>
      </c>
      <c r="B3422">
        <v>580000</v>
      </c>
      <c r="C3422" t="s">
        <v>45</v>
      </c>
      <c r="D3422" t="s">
        <v>24</v>
      </c>
      <c r="E3422">
        <v>44055.557055999998</v>
      </c>
    </row>
    <row r="3423" spans="1:5" hidden="1" x14ac:dyDescent="0.3">
      <c r="A3423">
        <v>96</v>
      </c>
      <c r="B3423">
        <v>580000</v>
      </c>
      <c r="C3423" t="s">
        <v>45</v>
      </c>
      <c r="D3423" t="s">
        <v>25</v>
      </c>
      <c r="E3423">
        <v>2944.4458300000001</v>
      </c>
    </row>
    <row r="3424" spans="1:5" hidden="1" x14ac:dyDescent="0.3">
      <c r="A3424">
        <v>96</v>
      </c>
      <c r="B3424">
        <v>580000</v>
      </c>
      <c r="C3424" t="s">
        <v>45</v>
      </c>
      <c r="D3424" t="s">
        <v>26</v>
      </c>
      <c r="E3424">
        <v>10611.112018</v>
      </c>
    </row>
    <row r="3425" spans="1:5" hidden="1" x14ac:dyDescent="0.3">
      <c r="A3425">
        <v>97</v>
      </c>
      <c r="B3425">
        <v>585000</v>
      </c>
      <c r="C3425" t="s">
        <v>45</v>
      </c>
      <c r="D3425" t="s">
        <v>6</v>
      </c>
      <c r="E3425">
        <v>109.96674299999999</v>
      </c>
    </row>
    <row r="3426" spans="1:5" hidden="1" x14ac:dyDescent="0.3">
      <c r="A3426">
        <v>97</v>
      </c>
      <c r="B3426">
        <v>585000</v>
      </c>
      <c r="C3426" t="s">
        <v>45</v>
      </c>
      <c r="D3426" t="s">
        <v>7</v>
      </c>
      <c r="E3426">
        <v>53000.000011999997</v>
      </c>
    </row>
    <row r="3427" spans="1:5" hidden="1" x14ac:dyDescent="0.3">
      <c r="A3427">
        <v>97</v>
      </c>
      <c r="B3427">
        <v>585000</v>
      </c>
      <c r="C3427" t="s">
        <v>45</v>
      </c>
      <c r="D3427" t="s">
        <v>8</v>
      </c>
      <c r="E3427">
        <v>388.88898399999999</v>
      </c>
    </row>
    <row r="3428" spans="1:5" hidden="1" x14ac:dyDescent="0.3">
      <c r="A3428">
        <v>97</v>
      </c>
      <c r="B3428">
        <v>585000</v>
      </c>
      <c r="C3428" t="s">
        <v>45</v>
      </c>
      <c r="D3428" t="s">
        <v>9</v>
      </c>
      <c r="E3428">
        <v>120840.16620199999</v>
      </c>
    </row>
    <row r="3429" spans="1:5" hidden="1" x14ac:dyDescent="0.3">
      <c r="A3429">
        <v>97</v>
      </c>
      <c r="B3429">
        <v>585000</v>
      </c>
      <c r="C3429" t="s">
        <v>45</v>
      </c>
      <c r="D3429" t="s">
        <v>10</v>
      </c>
      <c r="E3429">
        <v>92999.999523999999</v>
      </c>
    </row>
    <row r="3430" spans="1:5" hidden="1" x14ac:dyDescent="0.3">
      <c r="A3430">
        <v>97</v>
      </c>
      <c r="B3430">
        <v>585000</v>
      </c>
      <c r="C3430" t="s">
        <v>45</v>
      </c>
      <c r="D3430" t="s">
        <v>11</v>
      </c>
      <c r="E3430">
        <v>34138.888959000004</v>
      </c>
    </row>
    <row r="3431" spans="1:5" hidden="1" x14ac:dyDescent="0.3">
      <c r="A3431">
        <v>97</v>
      </c>
      <c r="B3431">
        <v>585000</v>
      </c>
      <c r="C3431" t="s">
        <v>45</v>
      </c>
      <c r="D3431" t="s">
        <v>12</v>
      </c>
      <c r="E3431">
        <v>44388.888936000003</v>
      </c>
    </row>
    <row r="3432" spans="1:5" hidden="1" x14ac:dyDescent="0.3">
      <c r="A3432">
        <v>97</v>
      </c>
      <c r="B3432">
        <v>585000</v>
      </c>
      <c r="C3432" t="s">
        <v>45</v>
      </c>
      <c r="D3432" t="s">
        <v>13</v>
      </c>
      <c r="E3432">
        <v>35431.344518999998</v>
      </c>
    </row>
    <row r="3433" spans="1:5" hidden="1" x14ac:dyDescent="0.3">
      <c r="A3433">
        <v>97</v>
      </c>
      <c r="B3433">
        <v>585000</v>
      </c>
      <c r="C3433" t="s">
        <v>45</v>
      </c>
      <c r="D3433" t="s">
        <v>14</v>
      </c>
      <c r="E3433">
        <v>12472.222336999999</v>
      </c>
    </row>
    <row r="3434" spans="1:5" hidden="1" x14ac:dyDescent="0.3">
      <c r="A3434">
        <v>97</v>
      </c>
      <c r="B3434">
        <v>585000</v>
      </c>
      <c r="C3434" t="s">
        <v>45</v>
      </c>
      <c r="D3434" t="s">
        <v>15</v>
      </c>
      <c r="E3434">
        <v>43694.444342000003</v>
      </c>
    </row>
    <row r="3435" spans="1:5" hidden="1" x14ac:dyDescent="0.3">
      <c r="A3435">
        <v>97</v>
      </c>
      <c r="B3435">
        <v>585000</v>
      </c>
      <c r="C3435" t="s">
        <v>45</v>
      </c>
      <c r="D3435" t="s">
        <v>16</v>
      </c>
      <c r="E3435">
        <v>40333.000135000002</v>
      </c>
    </row>
    <row r="3436" spans="1:5" hidden="1" x14ac:dyDescent="0.3">
      <c r="A3436">
        <v>97</v>
      </c>
      <c r="B3436">
        <v>585000</v>
      </c>
      <c r="C3436" t="s">
        <v>45</v>
      </c>
      <c r="D3436" t="s">
        <v>17</v>
      </c>
      <c r="E3436">
        <v>166.66670500000001</v>
      </c>
    </row>
    <row r="3437" spans="1:5" hidden="1" x14ac:dyDescent="0.3">
      <c r="A3437">
        <v>97</v>
      </c>
      <c r="B3437">
        <v>585000</v>
      </c>
      <c r="C3437" t="s">
        <v>45</v>
      </c>
      <c r="D3437" t="s">
        <v>18</v>
      </c>
      <c r="E3437">
        <v>88.833451999999994</v>
      </c>
    </row>
    <row r="3438" spans="1:5" hidden="1" x14ac:dyDescent="0.3">
      <c r="A3438">
        <v>97</v>
      </c>
      <c r="B3438">
        <v>585000</v>
      </c>
      <c r="C3438" t="s">
        <v>45</v>
      </c>
      <c r="D3438" t="s">
        <v>19</v>
      </c>
      <c r="E3438">
        <v>8833.333455</v>
      </c>
    </row>
    <row r="3439" spans="1:5" hidden="1" x14ac:dyDescent="0.3">
      <c r="A3439">
        <v>97</v>
      </c>
      <c r="B3439">
        <v>585000</v>
      </c>
      <c r="C3439" t="s">
        <v>45</v>
      </c>
      <c r="D3439" t="s">
        <v>20</v>
      </c>
      <c r="E3439">
        <v>15166.666766</v>
      </c>
    </row>
    <row r="3440" spans="1:5" hidden="1" x14ac:dyDescent="0.3">
      <c r="A3440">
        <v>97</v>
      </c>
      <c r="B3440">
        <v>585000</v>
      </c>
      <c r="C3440" t="s">
        <v>45</v>
      </c>
      <c r="D3440" t="s">
        <v>21</v>
      </c>
      <c r="E3440">
        <v>5.9181999999999998E-2</v>
      </c>
    </row>
    <row r="3441" spans="1:5" hidden="1" x14ac:dyDescent="0.3">
      <c r="A3441">
        <v>97</v>
      </c>
      <c r="B3441">
        <v>585000</v>
      </c>
      <c r="C3441" t="s">
        <v>45</v>
      </c>
      <c r="D3441" t="s">
        <v>22</v>
      </c>
      <c r="E3441">
        <v>504.14734900000002</v>
      </c>
    </row>
    <row r="3442" spans="1:5" hidden="1" x14ac:dyDescent="0.3">
      <c r="A3442">
        <v>97</v>
      </c>
      <c r="B3442">
        <v>585000</v>
      </c>
      <c r="C3442" t="s">
        <v>45</v>
      </c>
      <c r="D3442" t="s">
        <v>23</v>
      </c>
      <c r="E3442">
        <v>4444.4445640000004</v>
      </c>
    </row>
    <row r="3443" spans="1:5" hidden="1" x14ac:dyDescent="0.3">
      <c r="A3443">
        <v>97</v>
      </c>
      <c r="B3443">
        <v>585000</v>
      </c>
      <c r="C3443" t="s">
        <v>45</v>
      </c>
      <c r="D3443" t="s">
        <v>24</v>
      </c>
      <c r="E3443">
        <v>44055.554354</v>
      </c>
    </row>
    <row r="3444" spans="1:5" hidden="1" x14ac:dyDescent="0.3">
      <c r="A3444">
        <v>97</v>
      </c>
      <c r="B3444">
        <v>585000</v>
      </c>
      <c r="C3444" t="s">
        <v>45</v>
      </c>
      <c r="D3444" t="s">
        <v>25</v>
      </c>
      <c r="E3444">
        <v>2944.44454</v>
      </c>
    </row>
    <row r="3445" spans="1:5" hidden="1" x14ac:dyDescent="0.3">
      <c r="A3445">
        <v>97</v>
      </c>
      <c r="B3445">
        <v>585000</v>
      </c>
      <c r="C3445" t="s">
        <v>45</v>
      </c>
      <c r="D3445" t="s">
        <v>26</v>
      </c>
      <c r="E3445">
        <v>10611.111035</v>
      </c>
    </row>
    <row r="3446" spans="1:5" hidden="1" x14ac:dyDescent="0.3">
      <c r="A3446">
        <v>98</v>
      </c>
      <c r="B3446">
        <v>590000</v>
      </c>
      <c r="C3446" t="s">
        <v>45</v>
      </c>
      <c r="D3446" t="s">
        <v>6</v>
      </c>
      <c r="E3446">
        <v>109.967519</v>
      </c>
    </row>
    <row r="3447" spans="1:5" hidden="1" x14ac:dyDescent="0.3">
      <c r="A3447">
        <v>98</v>
      </c>
      <c r="B3447">
        <v>590000</v>
      </c>
      <c r="C3447" t="s">
        <v>45</v>
      </c>
      <c r="D3447" t="s">
        <v>7</v>
      </c>
      <c r="E3447">
        <v>53000.001103000002</v>
      </c>
    </row>
    <row r="3448" spans="1:5" hidden="1" x14ac:dyDescent="0.3">
      <c r="A3448">
        <v>98</v>
      </c>
      <c r="B3448">
        <v>590000</v>
      </c>
      <c r="C3448" t="s">
        <v>45</v>
      </c>
      <c r="D3448" t="s">
        <v>8</v>
      </c>
      <c r="E3448">
        <v>388.88982700000003</v>
      </c>
    </row>
    <row r="3449" spans="1:5" hidden="1" x14ac:dyDescent="0.3">
      <c r="A3449">
        <v>98</v>
      </c>
      <c r="B3449">
        <v>590000</v>
      </c>
      <c r="C3449" t="s">
        <v>45</v>
      </c>
      <c r="D3449" t="s">
        <v>9</v>
      </c>
      <c r="E3449">
        <v>120840.16772</v>
      </c>
    </row>
    <row r="3450" spans="1:5" hidden="1" x14ac:dyDescent="0.3">
      <c r="A3450">
        <v>98</v>
      </c>
      <c r="B3450">
        <v>590000</v>
      </c>
      <c r="C3450" t="s">
        <v>45</v>
      </c>
      <c r="D3450" t="s">
        <v>10</v>
      </c>
      <c r="E3450">
        <v>93000.000910000002</v>
      </c>
    </row>
    <row r="3451" spans="1:5" hidden="1" x14ac:dyDescent="0.3">
      <c r="A3451">
        <v>98</v>
      </c>
      <c r="B3451">
        <v>590000</v>
      </c>
      <c r="C3451" t="s">
        <v>45</v>
      </c>
      <c r="D3451" t="s">
        <v>11</v>
      </c>
      <c r="E3451">
        <v>34138.889946000003</v>
      </c>
    </row>
    <row r="3452" spans="1:5" hidden="1" x14ac:dyDescent="0.3">
      <c r="A3452">
        <v>98</v>
      </c>
      <c r="B3452">
        <v>590000</v>
      </c>
      <c r="C3452" t="s">
        <v>45</v>
      </c>
      <c r="D3452" t="s">
        <v>12</v>
      </c>
      <c r="E3452">
        <v>44388.889947999996</v>
      </c>
    </row>
    <row r="3453" spans="1:5" hidden="1" x14ac:dyDescent="0.3">
      <c r="A3453">
        <v>98</v>
      </c>
      <c r="B3453">
        <v>590000</v>
      </c>
      <c r="C3453" t="s">
        <v>45</v>
      </c>
      <c r="D3453" t="s">
        <v>13</v>
      </c>
      <c r="E3453">
        <v>35431.345511</v>
      </c>
    </row>
    <row r="3454" spans="1:5" hidden="1" x14ac:dyDescent="0.3">
      <c r="A3454">
        <v>98</v>
      </c>
      <c r="B3454">
        <v>590000</v>
      </c>
      <c r="C3454" t="s">
        <v>45</v>
      </c>
      <c r="D3454" t="s">
        <v>14</v>
      </c>
      <c r="E3454">
        <v>12472.223322</v>
      </c>
    </row>
    <row r="3455" spans="1:5" hidden="1" x14ac:dyDescent="0.3">
      <c r="A3455">
        <v>98</v>
      </c>
      <c r="B3455">
        <v>590000</v>
      </c>
      <c r="C3455" t="s">
        <v>45</v>
      </c>
      <c r="D3455" t="s">
        <v>15</v>
      </c>
      <c r="E3455">
        <v>43694.439574000004</v>
      </c>
    </row>
    <row r="3456" spans="1:5" hidden="1" x14ac:dyDescent="0.3">
      <c r="A3456">
        <v>98</v>
      </c>
      <c r="B3456">
        <v>590000</v>
      </c>
      <c r="C3456" t="s">
        <v>45</v>
      </c>
      <c r="D3456" t="s">
        <v>16</v>
      </c>
      <c r="E3456">
        <v>40333.001253000002</v>
      </c>
    </row>
    <row r="3457" spans="1:5" hidden="1" x14ac:dyDescent="0.3">
      <c r="A3457">
        <v>98</v>
      </c>
      <c r="B3457">
        <v>590000</v>
      </c>
      <c r="C3457" t="s">
        <v>45</v>
      </c>
      <c r="D3457" t="s">
        <v>17</v>
      </c>
      <c r="E3457">
        <v>166.667326</v>
      </c>
    </row>
    <row r="3458" spans="1:5" hidden="1" x14ac:dyDescent="0.3">
      <c r="A3458">
        <v>98</v>
      </c>
      <c r="B3458">
        <v>590000</v>
      </c>
      <c r="C3458" t="s">
        <v>45</v>
      </c>
      <c r="D3458" t="s">
        <v>18</v>
      </c>
      <c r="E3458">
        <v>88.834401999999997</v>
      </c>
    </row>
    <row r="3459" spans="1:5" hidden="1" x14ac:dyDescent="0.3">
      <c r="A3459">
        <v>98</v>
      </c>
      <c r="B3459">
        <v>590000</v>
      </c>
      <c r="C3459" t="s">
        <v>45</v>
      </c>
      <c r="D3459" t="s">
        <v>19</v>
      </c>
      <c r="E3459">
        <v>8833.3344479999996</v>
      </c>
    </row>
    <row r="3460" spans="1:5" hidden="1" x14ac:dyDescent="0.3">
      <c r="A3460">
        <v>98</v>
      </c>
      <c r="B3460">
        <v>590000</v>
      </c>
      <c r="C3460" t="s">
        <v>45</v>
      </c>
      <c r="D3460" t="s">
        <v>20</v>
      </c>
      <c r="E3460">
        <v>15166.667743</v>
      </c>
    </row>
    <row r="3461" spans="1:5" hidden="1" x14ac:dyDescent="0.3">
      <c r="A3461">
        <v>98</v>
      </c>
      <c r="B3461">
        <v>590000</v>
      </c>
      <c r="C3461" t="s">
        <v>45</v>
      </c>
      <c r="D3461" t="s">
        <v>21</v>
      </c>
      <c r="E3461">
        <v>0.25295699999999999</v>
      </c>
    </row>
    <row r="3462" spans="1:5" hidden="1" x14ac:dyDescent="0.3">
      <c r="A3462">
        <v>98</v>
      </c>
      <c r="B3462">
        <v>590000</v>
      </c>
      <c r="C3462" t="s">
        <v>45</v>
      </c>
      <c r="D3462" t="s">
        <v>22</v>
      </c>
      <c r="E3462">
        <v>504.14832799999999</v>
      </c>
    </row>
    <row r="3463" spans="1:5" hidden="1" x14ac:dyDescent="0.3">
      <c r="A3463">
        <v>98</v>
      </c>
      <c r="B3463">
        <v>590000</v>
      </c>
      <c r="C3463" t="s">
        <v>45</v>
      </c>
      <c r="D3463" t="s">
        <v>23</v>
      </c>
      <c r="E3463">
        <v>4444.4455559999997</v>
      </c>
    </row>
    <row r="3464" spans="1:5" hidden="1" x14ac:dyDescent="0.3">
      <c r="A3464">
        <v>98</v>
      </c>
      <c r="B3464">
        <v>590000</v>
      </c>
      <c r="C3464" t="s">
        <v>45</v>
      </c>
      <c r="D3464" t="s">
        <v>24</v>
      </c>
      <c r="E3464">
        <v>44055.551096000003</v>
      </c>
    </row>
    <row r="3465" spans="1:5" hidden="1" x14ac:dyDescent="0.3">
      <c r="A3465">
        <v>98</v>
      </c>
      <c r="B3465">
        <v>590000</v>
      </c>
      <c r="C3465" t="s">
        <v>45</v>
      </c>
      <c r="D3465" t="s">
        <v>25</v>
      </c>
      <c r="E3465">
        <v>2944.445428</v>
      </c>
    </row>
    <row r="3466" spans="1:5" hidden="1" x14ac:dyDescent="0.3">
      <c r="A3466">
        <v>98</v>
      </c>
      <c r="B3466">
        <v>590000</v>
      </c>
      <c r="C3466" t="s">
        <v>45</v>
      </c>
      <c r="D3466" t="s">
        <v>26</v>
      </c>
      <c r="E3466">
        <v>10611.111643</v>
      </c>
    </row>
    <row r="3467" spans="1:5" hidden="1" x14ac:dyDescent="0.3">
      <c r="A3467">
        <v>99</v>
      </c>
      <c r="B3467">
        <v>595000</v>
      </c>
      <c r="C3467" t="s">
        <v>45</v>
      </c>
      <c r="D3467" t="s">
        <v>6</v>
      </c>
      <c r="E3467">
        <v>109.968101</v>
      </c>
    </row>
    <row r="3468" spans="1:5" hidden="1" x14ac:dyDescent="0.3">
      <c r="A3468">
        <v>99</v>
      </c>
      <c r="B3468">
        <v>595000</v>
      </c>
      <c r="C3468" t="s">
        <v>45</v>
      </c>
      <c r="D3468" t="s">
        <v>7</v>
      </c>
      <c r="E3468">
        <v>53000.000458000002</v>
      </c>
    </row>
    <row r="3469" spans="1:5" hidden="1" x14ac:dyDescent="0.3">
      <c r="A3469">
        <v>99</v>
      </c>
      <c r="B3469">
        <v>595000</v>
      </c>
      <c r="C3469" t="s">
        <v>45</v>
      </c>
      <c r="D3469" t="s">
        <v>8</v>
      </c>
      <c r="E3469">
        <v>388.89050700000001</v>
      </c>
    </row>
    <row r="3470" spans="1:5" hidden="1" x14ac:dyDescent="0.3">
      <c r="A3470">
        <v>99</v>
      </c>
      <c r="B3470">
        <v>595000</v>
      </c>
      <c r="C3470" t="s">
        <v>45</v>
      </c>
      <c r="D3470" t="s">
        <v>9</v>
      </c>
      <c r="E3470">
        <v>120840.16009</v>
      </c>
    </row>
    <row r="3471" spans="1:5" hidden="1" x14ac:dyDescent="0.3">
      <c r="A3471">
        <v>99</v>
      </c>
      <c r="B3471">
        <v>595000</v>
      </c>
      <c r="C3471" t="s">
        <v>45</v>
      </c>
      <c r="D3471" t="s">
        <v>10</v>
      </c>
      <c r="E3471">
        <v>92999.992660000004</v>
      </c>
    </row>
    <row r="3472" spans="1:5" hidden="1" x14ac:dyDescent="0.3">
      <c r="A3472">
        <v>99</v>
      </c>
      <c r="B3472">
        <v>595000</v>
      </c>
      <c r="C3472" t="s">
        <v>45</v>
      </c>
      <c r="D3472" t="s">
        <v>11</v>
      </c>
      <c r="E3472">
        <v>34138.889625000003</v>
      </c>
    </row>
    <row r="3473" spans="1:5" hidden="1" x14ac:dyDescent="0.3">
      <c r="A3473">
        <v>99</v>
      </c>
      <c r="B3473">
        <v>595000</v>
      </c>
      <c r="C3473" t="s">
        <v>45</v>
      </c>
      <c r="D3473" t="s">
        <v>12</v>
      </c>
      <c r="E3473">
        <v>44388.889127000002</v>
      </c>
    </row>
    <row r="3474" spans="1:5" hidden="1" x14ac:dyDescent="0.3">
      <c r="A3474">
        <v>99</v>
      </c>
      <c r="B3474">
        <v>595000</v>
      </c>
      <c r="C3474" t="s">
        <v>45</v>
      </c>
      <c r="D3474" t="s">
        <v>13</v>
      </c>
      <c r="E3474">
        <v>35431.345181999997</v>
      </c>
    </row>
    <row r="3475" spans="1:5" hidden="1" x14ac:dyDescent="0.3">
      <c r="A3475">
        <v>99</v>
      </c>
      <c r="B3475">
        <v>595000</v>
      </c>
      <c r="C3475" t="s">
        <v>45</v>
      </c>
      <c r="D3475" t="s">
        <v>14</v>
      </c>
      <c r="E3475">
        <v>12472.224171</v>
      </c>
    </row>
    <row r="3476" spans="1:5" hidden="1" x14ac:dyDescent="0.3">
      <c r="A3476">
        <v>99</v>
      </c>
      <c r="B3476">
        <v>595000</v>
      </c>
      <c r="C3476" t="s">
        <v>45</v>
      </c>
      <c r="D3476" t="s">
        <v>15</v>
      </c>
      <c r="E3476">
        <v>43694.399490000003</v>
      </c>
    </row>
    <row r="3477" spans="1:5" hidden="1" x14ac:dyDescent="0.3">
      <c r="A3477">
        <v>99</v>
      </c>
      <c r="B3477">
        <v>595000</v>
      </c>
      <c r="C3477" t="s">
        <v>45</v>
      </c>
      <c r="D3477" t="s">
        <v>16</v>
      </c>
      <c r="E3477">
        <v>40333.002495000001</v>
      </c>
    </row>
    <row r="3478" spans="1:5" hidden="1" x14ac:dyDescent="0.3">
      <c r="A3478">
        <v>99</v>
      </c>
      <c r="B3478">
        <v>595000</v>
      </c>
      <c r="C3478" t="s">
        <v>45</v>
      </c>
      <c r="D3478" t="s">
        <v>17</v>
      </c>
      <c r="E3478">
        <v>166.66755000000001</v>
      </c>
    </row>
    <row r="3479" spans="1:5" hidden="1" x14ac:dyDescent="0.3">
      <c r="A3479">
        <v>99</v>
      </c>
      <c r="B3479">
        <v>595000</v>
      </c>
      <c r="C3479" t="s">
        <v>45</v>
      </c>
      <c r="D3479" t="s">
        <v>18</v>
      </c>
      <c r="E3479">
        <v>88.835389000000006</v>
      </c>
    </row>
    <row r="3480" spans="1:5" hidden="1" x14ac:dyDescent="0.3">
      <c r="A3480">
        <v>99</v>
      </c>
      <c r="B3480">
        <v>595000</v>
      </c>
      <c r="C3480" t="s">
        <v>45</v>
      </c>
      <c r="D3480" t="s">
        <v>19</v>
      </c>
      <c r="E3480">
        <v>8833.3353960000004</v>
      </c>
    </row>
    <row r="3481" spans="1:5" hidden="1" x14ac:dyDescent="0.3">
      <c r="A3481">
        <v>99</v>
      </c>
      <c r="B3481">
        <v>595000</v>
      </c>
      <c r="C3481" t="s">
        <v>45</v>
      </c>
      <c r="D3481" t="s">
        <v>20</v>
      </c>
      <c r="E3481">
        <v>15166.66821</v>
      </c>
    </row>
    <row r="3482" spans="1:5" hidden="1" x14ac:dyDescent="0.3">
      <c r="A3482">
        <v>99</v>
      </c>
      <c r="B3482">
        <v>595000</v>
      </c>
      <c r="C3482" t="s">
        <v>45</v>
      </c>
      <c r="D3482" t="s">
        <v>21</v>
      </c>
      <c r="E3482">
        <v>0.34407399999999999</v>
      </c>
    </row>
    <row r="3483" spans="1:5" hidden="1" x14ac:dyDescent="0.3">
      <c r="A3483">
        <v>99</v>
      </c>
      <c r="B3483">
        <v>595000</v>
      </c>
      <c r="C3483" t="s">
        <v>45</v>
      </c>
      <c r="D3483" t="s">
        <v>22</v>
      </c>
      <c r="E3483">
        <v>504.14941599999997</v>
      </c>
    </row>
    <row r="3484" spans="1:5" hidden="1" x14ac:dyDescent="0.3">
      <c r="A3484">
        <v>99</v>
      </c>
      <c r="B3484">
        <v>595000</v>
      </c>
      <c r="C3484" t="s">
        <v>45</v>
      </c>
      <c r="D3484" t="s">
        <v>23</v>
      </c>
      <c r="E3484">
        <v>4444.4464680000001</v>
      </c>
    </row>
    <row r="3485" spans="1:5" hidden="1" x14ac:dyDescent="0.3">
      <c r="A3485">
        <v>99</v>
      </c>
      <c r="B3485">
        <v>595000</v>
      </c>
      <c r="C3485" t="s">
        <v>45</v>
      </c>
      <c r="D3485" t="s">
        <v>24</v>
      </c>
      <c r="E3485">
        <v>44055.509016000004</v>
      </c>
    </row>
    <row r="3486" spans="1:5" hidden="1" x14ac:dyDescent="0.3">
      <c r="A3486">
        <v>99</v>
      </c>
      <c r="B3486">
        <v>595000</v>
      </c>
      <c r="C3486" t="s">
        <v>45</v>
      </c>
      <c r="D3486" t="s">
        <v>25</v>
      </c>
      <c r="E3486">
        <v>2944.4460979999999</v>
      </c>
    </row>
    <row r="3487" spans="1:5" hidden="1" x14ac:dyDescent="0.3">
      <c r="A3487">
        <v>99</v>
      </c>
      <c r="B3487">
        <v>595000</v>
      </c>
      <c r="C3487" t="s">
        <v>45</v>
      </c>
      <c r="D3487" t="s">
        <v>26</v>
      </c>
      <c r="E3487">
        <v>10611.111163</v>
      </c>
    </row>
    <row r="3488" spans="1:5" hidden="1" x14ac:dyDescent="0.3">
      <c r="A3488">
        <v>100</v>
      </c>
      <c r="B3488">
        <v>600000</v>
      </c>
      <c r="C3488" t="s">
        <v>45</v>
      </c>
      <c r="D3488" t="s">
        <v>6</v>
      </c>
      <c r="E3488">
        <v>109.967584</v>
      </c>
    </row>
    <row r="3489" spans="1:5" hidden="1" x14ac:dyDescent="0.3">
      <c r="A3489">
        <v>100</v>
      </c>
      <c r="B3489">
        <v>600000</v>
      </c>
      <c r="C3489" t="s">
        <v>45</v>
      </c>
      <c r="D3489" t="s">
        <v>7</v>
      </c>
      <c r="E3489">
        <v>53000.001398</v>
      </c>
    </row>
    <row r="3490" spans="1:5" hidden="1" x14ac:dyDescent="0.3">
      <c r="A3490">
        <v>100</v>
      </c>
      <c r="B3490">
        <v>600000</v>
      </c>
      <c r="C3490" t="s">
        <v>45</v>
      </c>
      <c r="D3490" t="s">
        <v>8</v>
      </c>
      <c r="E3490">
        <v>388.88978700000001</v>
      </c>
    </row>
    <row r="3491" spans="1:5" hidden="1" x14ac:dyDescent="0.3">
      <c r="A3491">
        <v>100</v>
      </c>
      <c r="B3491">
        <v>600000</v>
      </c>
      <c r="C3491" t="s">
        <v>45</v>
      </c>
      <c r="D3491" t="s">
        <v>9</v>
      </c>
      <c r="E3491">
        <v>120840.16781499999</v>
      </c>
    </row>
    <row r="3492" spans="1:5" hidden="1" x14ac:dyDescent="0.3">
      <c r="A3492">
        <v>100</v>
      </c>
      <c r="B3492">
        <v>600000</v>
      </c>
      <c r="C3492" t="s">
        <v>45</v>
      </c>
      <c r="D3492" t="s">
        <v>10</v>
      </c>
      <c r="E3492">
        <v>93000.000702000005</v>
      </c>
    </row>
    <row r="3493" spans="1:5" hidden="1" x14ac:dyDescent="0.3">
      <c r="A3493">
        <v>100</v>
      </c>
      <c r="B3493">
        <v>600000</v>
      </c>
      <c r="C3493" t="s">
        <v>45</v>
      </c>
      <c r="D3493" t="s">
        <v>11</v>
      </c>
      <c r="E3493">
        <v>34138.889876000001</v>
      </c>
    </row>
    <row r="3494" spans="1:5" hidden="1" x14ac:dyDescent="0.3">
      <c r="A3494">
        <v>100</v>
      </c>
      <c r="B3494">
        <v>600000</v>
      </c>
      <c r="C3494" t="s">
        <v>45</v>
      </c>
      <c r="D3494" t="s">
        <v>12</v>
      </c>
      <c r="E3494">
        <v>44388.889885999997</v>
      </c>
    </row>
    <row r="3495" spans="1:5" hidden="1" x14ac:dyDescent="0.3">
      <c r="A3495">
        <v>100</v>
      </c>
      <c r="B3495">
        <v>600000</v>
      </c>
      <c r="C3495" t="s">
        <v>45</v>
      </c>
      <c r="D3495" t="s">
        <v>13</v>
      </c>
      <c r="E3495">
        <v>35431.345448</v>
      </c>
    </row>
    <row r="3496" spans="1:5" hidden="1" x14ac:dyDescent="0.3">
      <c r="A3496">
        <v>100</v>
      </c>
      <c r="B3496">
        <v>600000</v>
      </c>
      <c r="C3496" t="s">
        <v>45</v>
      </c>
      <c r="D3496" t="s">
        <v>14</v>
      </c>
      <c r="E3496">
        <v>12472.223357999999</v>
      </c>
    </row>
    <row r="3497" spans="1:5" hidden="1" x14ac:dyDescent="0.3">
      <c r="A3497">
        <v>100</v>
      </c>
      <c r="B3497">
        <v>600000</v>
      </c>
      <c r="C3497" t="s">
        <v>45</v>
      </c>
      <c r="D3497" t="s">
        <v>15</v>
      </c>
      <c r="E3497">
        <v>43694.445036999998</v>
      </c>
    </row>
    <row r="3498" spans="1:5" hidden="1" x14ac:dyDescent="0.3">
      <c r="A3498">
        <v>100</v>
      </c>
      <c r="B3498">
        <v>600000</v>
      </c>
      <c r="C3498" t="s">
        <v>45</v>
      </c>
      <c r="D3498" t="s">
        <v>16</v>
      </c>
      <c r="E3498">
        <v>40333.001126000003</v>
      </c>
    </row>
    <row r="3499" spans="1:5" hidden="1" x14ac:dyDescent="0.3">
      <c r="A3499">
        <v>100</v>
      </c>
      <c r="B3499">
        <v>600000</v>
      </c>
      <c r="C3499" t="s">
        <v>45</v>
      </c>
      <c r="D3499" t="s">
        <v>17</v>
      </c>
      <c r="E3499">
        <v>166.66725700000001</v>
      </c>
    </row>
    <row r="3500" spans="1:5" hidden="1" x14ac:dyDescent="0.3">
      <c r="A3500">
        <v>100</v>
      </c>
      <c r="B3500">
        <v>600000</v>
      </c>
      <c r="C3500" t="s">
        <v>45</v>
      </c>
      <c r="D3500" t="s">
        <v>18</v>
      </c>
      <c r="E3500">
        <v>88.834576999999996</v>
      </c>
    </row>
    <row r="3501" spans="1:5" hidden="1" x14ac:dyDescent="0.3">
      <c r="A3501">
        <v>100</v>
      </c>
      <c r="B3501">
        <v>600000</v>
      </c>
      <c r="C3501" t="s">
        <v>45</v>
      </c>
      <c r="D3501" t="s">
        <v>19</v>
      </c>
      <c r="E3501">
        <v>8833.334503</v>
      </c>
    </row>
    <row r="3502" spans="1:5" hidden="1" x14ac:dyDescent="0.3">
      <c r="A3502">
        <v>100</v>
      </c>
      <c r="B3502">
        <v>600000</v>
      </c>
      <c r="C3502" t="s">
        <v>45</v>
      </c>
      <c r="D3502" t="s">
        <v>20</v>
      </c>
      <c r="E3502">
        <v>15166.667706</v>
      </c>
    </row>
    <row r="3503" spans="1:5" hidden="1" x14ac:dyDescent="0.3">
      <c r="A3503">
        <v>100</v>
      </c>
      <c r="B3503">
        <v>600000</v>
      </c>
      <c r="C3503" t="s">
        <v>45</v>
      </c>
      <c r="D3503" t="s">
        <v>21</v>
      </c>
      <c r="E3503">
        <v>1.0267980000000001</v>
      </c>
    </row>
    <row r="3504" spans="1:5" hidden="1" x14ac:dyDescent="0.3">
      <c r="A3504">
        <v>100</v>
      </c>
      <c r="B3504">
        <v>600000</v>
      </c>
      <c r="C3504" t="s">
        <v>45</v>
      </c>
      <c r="D3504" t="s">
        <v>22</v>
      </c>
      <c r="E3504">
        <v>504.14847700000001</v>
      </c>
    </row>
    <row r="3505" spans="1:5" hidden="1" x14ac:dyDescent="0.3">
      <c r="A3505">
        <v>100</v>
      </c>
      <c r="B3505">
        <v>600000</v>
      </c>
      <c r="C3505" t="s">
        <v>45</v>
      </c>
      <c r="D3505" t="s">
        <v>23</v>
      </c>
      <c r="E3505">
        <v>4444.4455870000002</v>
      </c>
    </row>
    <row r="3506" spans="1:5" hidden="1" x14ac:dyDescent="0.3">
      <c r="A3506">
        <v>100</v>
      </c>
      <c r="B3506">
        <v>600000</v>
      </c>
      <c r="C3506" t="s">
        <v>45</v>
      </c>
      <c r="D3506" t="s">
        <v>24</v>
      </c>
      <c r="E3506">
        <v>44055.556186000002</v>
      </c>
    </row>
    <row r="3507" spans="1:5" hidden="1" x14ac:dyDescent="0.3">
      <c r="A3507">
        <v>100</v>
      </c>
      <c r="B3507">
        <v>600000</v>
      </c>
      <c r="C3507" t="s">
        <v>45</v>
      </c>
      <c r="D3507" t="s">
        <v>25</v>
      </c>
      <c r="E3507">
        <v>2944.4452930000002</v>
      </c>
    </row>
    <row r="3508" spans="1:5" hidden="1" x14ac:dyDescent="0.3">
      <c r="A3508">
        <v>100</v>
      </c>
      <c r="B3508">
        <v>600000</v>
      </c>
      <c r="C3508" t="s">
        <v>45</v>
      </c>
      <c r="D3508" t="s">
        <v>26</v>
      </c>
      <c r="E3508">
        <v>10611.050090999999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73"/>
  <sheetViews>
    <sheetView workbookViewId="0">
      <selection activeCell="D2" sqref="D2:D17"/>
    </sheetView>
  </sheetViews>
  <sheetFormatPr baseColWidth="10" defaultColWidth="8.88671875" defaultRowHeight="14.4" x14ac:dyDescent="0.3"/>
  <cols>
    <col min="2" max="2" width="11.6640625" customWidth="1"/>
    <col min="3" max="3" width="23.6640625" customWidth="1"/>
    <col min="4" max="4" width="12.33203125" customWidth="1"/>
    <col min="5" max="5" width="22.5546875" customWidth="1"/>
  </cols>
  <sheetData>
    <row r="1" spans="1:5" x14ac:dyDescent="0.3">
      <c r="A1" s="1" t="s">
        <v>0</v>
      </c>
      <c r="B1" s="1" t="s">
        <v>1</v>
      </c>
      <c r="C1" s="1" t="s">
        <v>44</v>
      </c>
      <c r="D1" s="1" t="s">
        <v>27</v>
      </c>
      <c r="E1" s="1" t="s">
        <v>4</v>
      </c>
    </row>
    <row r="2" spans="1:5" x14ac:dyDescent="0.3">
      <c r="A2">
        <v>0</v>
      </c>
      <c r="B2">
        <v>100000</v>
      </c>
      <c r="C2" t="s">
        <v>45</v>
      </c>
      <c r="D2" t="s">
        <v>28</v>
      </c>
      <c r="E2">
        <v>100000.169972</v>
      </c>
    </row>
    <row r="3" spans="1:5" x14ac:dyDescent="0.3">
      <c r="A3">
        <v>0</v>
      </c>
      <c r="B3">
        <v>100000</v>
      </c>
      <c r="C3" t="s">
        <v>45</v>
      </c>
      <c r="D3" t="s">
        <v>29</v>
      </c>
      <c r="E3">
        <v>2.287E-3</v>
      </c>
    </row>
    <row r="4" spans="1:5" x14ac:dyDescent="0.3">
      <c r="A4">
        <v>0</v>
      </c>
      <c r="B4">
        <v>100000</v>
      </c>
      <c r="C4" t="s">
        <v>45</v>
      </c>
      <c r="D4" t="s">
        <v>30</v>
      </c>
      <c r="E4">
        <v>2.6700000000000001E-3</v>
      </c>
    </row>
    <row r="5" spans="1:5" x14ac:dyDescent="0.3">
      <c r="A5">
        <v>0</v>
      </c>
      <c r="B5">
        <v>100000</v>
      </c>
      <c r="C5" t="s">
        <v>45</v>
      </c>
      <c r="D5" t="s">
        <v>31</v>
      </c>
      <c r="E5">
        <v>1.5319999999999999E-3</v>
      </c>
    </row>
    <row r="6" spans="1:5" x14ac:dyDescent="0.3">
      <c r="A6">
        <v>0</v>
      </c>
      <c r="B6">
        <v>100000</v>
      </c>
      <c r="C6" t="s">
        <v>45</v>
      </c>
      <c r="D6" t="s">
        <v>32</v>
      </c>
      <c r="E6">
        <v>1.6069999999999999E-3</v>
      </c>
    </row>
    <row r="7" spans="1:5" x14ac:dyDescent="0.3">
      <c r="A7">
        <v>0</v>
      </c>
      <c r="B7">
        <v>100000</v>
      </c>
      <c r="C7" t="s">
        <v>45</v>
      </c>
      <c r="D7" t="s">
        <v>33</v>
      </c>
      <c r="E7">
        <v>2.5999999999999999E-3</v>
      </c>
    </row>
    <row r="8" spans="1:5" x14ac:dyDescent="0.3">
      <c r="A8">
        <v>0</v>
      </c>
      <c r="B8">
        <v>100000</v>
      </c>
      <c r="C8" t="s">
        <v>45</v>
      </c>
      <c r="D8" t="s">
        <v>34</v>
      </c>
      <c r="E8">
        <v>2.6329999999999999E-3</v>
      </c>
    </row>
    <row r="9" spans="1:5" x14ac:dyDescent="0.3">
      <c r="A9">
        <v>0</v>
      </c>
      <c r="B9">
        <v>100000</v>
      </c>
      <c r="C9" t="s">
        <v>45</v>
      </c>
      <c r="D9" t="s">
        <v>35</v>
      </c>
      <c r="E9">
        <v>2.6819999999999999E-3</v>
      </c>
    </row>
    <row r="10" spans="1:5" x14ac:dyDescent="0.3">
      <c r="A10">
        <v>0</v>
      </c>
      <c r="B10">
        <v>100000</v>
      </c>
      <c r="C10" t="s">
        <v>45</v>
      </c>
      <c r="D10" t="s">
        <v>36</v>
      </c>
      <c r="E10">
        <v>1.7329999999999999E-3</v>
      </c>
    </row>
    <row r="11" spans="1:5" x14ac:dyDescent="0.3">
      <c r="A11">
        <v>0</v>
      </c>
      <c r="B11">
        <v>100000</v>
      </c>
      <c r="C11" t="s">
        <v>45</v>
      </c>
      <c r="D11" t="s">
        <v>37</v>
      </c>
      <c r="E11">
        <v>2.0010000000000002E-3</v>
      </c>
    </row>
    <row r="12" spans="1:5" x14ac:dyDescent="0.3">
      <c r="A12">
        <v>0</v>
      </c>
      <c r="B12">
        <v>100000</v>
      </c>
      <c r="C12" t="s">
        <v>45</v>
      </c>
      <c r="D12" t="s">
        <v>38</v>
      </c>
      <c r="E12">
        <v>1.8810000000000001E-3</v>
      </c>
    </row>
    <row r="13" spans="1:5" x14ac:dyDescent="0.3">
      <c r="A13">
        <v>0</v>
      </c>
      <c r="B13">
        <v>100000</v>
      </c>
      <c r="C13" t="s">
        <v>45</v>
      </c>
      <c r="D13" t="s">
        <v>39</v>
      </c>
      <c r="E13">
        <v>2.0240000000000002E-3</v>
      </c>
    </row>
    <row r="14" spans="1:5" x14ac:dyDescent="0.3">
      <c r="A14">
        <v>0</v>
      </c>
      <c r="B14">
        <v>100000</v>
      </c>
      <c r="C14" t="s">
        <v>45</v>
      </c>
      <c r="D14" t="s">
        <v>40</v>
      </c>
      <c r="E14">
        <v>2.6359999999999999E-3</v>
      </c>
    </row>
    <row r="15" spans="1:5" x14ac:dyDescent="0.3">
      <c r="A15">
        <v>0</v>
      </c>
      <c r="B15">
        <v>100000</v>
      </c>
      <c r="C15" t="s">
        <v>45</v>
      </c>
      <c r="D15" t="s">
        <v>41</v>
      </c>
      <c r="E15">
        <v>2.1150000000000001E-3</v>
      </c>
    </row>
    <row r="16" spans="1:5" x14ac:dyDescent="0.3">
      <c r="A16">
        <v>0</v>
      </c>
      <c r="B16">
        <v>100000</v>
      </c>
      <c r="C16" t="s">
        <v>45</v>
      </c>
      <c r="D16" t="s">
        <v>42</v>
      </c>
      <c r="E16">
        <v>1.9959999999999999E-3</v>
      </c>
    </row>
    <row r="17" spans="1:5" x14ac:dyDescent="0.3">
      <c r="A17">
        <v>0</v>
      </c>
      <c r="B17">
        <v>100000</v>
      </c>
      <c r="C17" t="s">
        <v>45</v>
      </c>
      <c r="D17" t="s">
        <v>43</v>
      </c>
      <c r="E17">
        <v>1.8649999999999999E-3</v>
      </c>
    </row>
    <row r="18" spans="1:5" x14ac:dyDescent="0.3">
      <c r="A18">
        <v>1</v>
      </c>
      <c r="B18">
        <v>105000</v>
      </c>
      <c r="C18" t="s">
        <v>45</v>
      </c>
      <c r="D18" t="s">
        <v>28</v>
      </c>
      <c r="E18">
        <v>104999.926083</v>
      </c>
    </row>
    <row r="19" spans="1:5" x14ac:dyDescent="0.3">
      <c r="A19">
        <v>1</v>
      </c>
      <c r="B19">
        <v>105000</v>
      </c>
      <c r="C19" t="s">
        <v>45</v>
      </c>
      <c r="D19" t="s">
        <v>29</v>
      </c>
      <c r="E19">
        <v>7.1590000000000004E-3</v>
      </c>
    </row>
    <row r="20" spans="1:5" x14ac:dyDescent="0.3">
      <c r="A20">
        <v>1</v>
      </c>
      <c r="B20">
        <v>105000</v>
      </c>
      <c r="C20" t="s">
        <v>45</v>
      </c>
      <c r="D20" t="s">
        <v>30</v>
      </c>
      <c r="E20">
        <v>5.646E-3</v>
      </c>
    </row>
    <row r="21" spans="1:5" x14ac:dyDescent="0.3">
      <c r="A21">
        <v>1</v>
      </c>
      <c r="B21">
        <v>105000</v>
      </c>
      <c r="C21" t="s">
        <v>45</v>
      </c>
      <c r="D21" t="s">
        <v>31</v>
      </c>
      <c r="E21">
        <v>4.7569999999999999E-3</v>
      </c>
    </row>
    <row r="22" spans="1:5" x14ac:dyDescent="0.3">
      <c r="A22">
        <v>1</v>
      </c>
      <c r="B22">
        <v>105000</v>
      </c>
      <c r="C22" t="s">
        <v>45</v>
      </c>
      <c r="D22" t="s">
        <v>32</v>
      </c>
      <c r="E22">
        <v>4.9119999999999997E-3</v>
      </c>
    </row>
    <row r="23" spans="1:5" x14ac:dyDescent="0.3">
      <c r="A23">
        <v>1</v>
      </c>
      <c r="B23">
        <v>105000</v>
      </c>
      <c r="C23" t="s">
        <v>45</v>
      </c>
      <c r="D23" t="s">
        <v>33</v>
      </c>
      <c r="E23">
        <v>7.8729999999999998E-3</v>
      </c>
    </row>
    <row r="24" spans="1:5" x14ac:dyDescent="0.3">
      <c r="A24">
        <v>1</v>
      </c>
      <c r="B24">
        <v>105000</v>
      </c>
      <c r="C24" t="s">
        <v>45</v>
      </c>
      <c r="D24" t="s">
        <v>34</v>
      </c>
      <c r="E24">
        <v>7.2370000000000004E-3</v>
      </c>
    </row>
    <row r="25" spans="1:5" x14ac:dyDescent="0.3">
      <c r="A25">
        <v>1</v>
      </c>
      <c r="B25">
        <v>105000</v>
      </c>
      <c r="C25" t="s">
        <v>45</v>
      </c>
      <c r="D25" t="s">
        <v>35</v>
      </c>
      <c r="E25">
        <v>9.5600000000000008E-3</v>
      </c>
    </row>
    <row r="26" spans="1:5" x14ac:dyDescent="0.3">
      <c r="A26">
        <v>1</v>
      </c>
      <c r="B26">
        <v>105000</v>
      </c>
      <c r="C26" t="s">
        <v>45</v>
      </c>
      <c r="D26" t="s">
        <v>36</v>
      </c>
      <c r="E26">
        <v>5.1279999999999997E-3</v>
      </c>
    </row>
    <row r="27" spans="1:5" x14ac:dyDescent="0.3">
      <c r="A27">
        <v>1</v>
      </c>
      <c r="B27">
        <v>105000</v>
      </c>
      <c r="C27" t="s">
        <v>45</v>
      </c>
      <c r="D27" t="s">
        <v>37</v>
      </c>
      <c r="E27">
        <v>6.2189999999999997E-3</v>
      </c>
    </row>
    <row r="28" spans="1:5" x14ac:dyDescent="0.3">
      <c r="A28">
        <v>1</v>
      </c>
      <c r="B28">
        <v>105000</v>
      </c>
      <c r="C28" t="s">
        <v>45</v>
      </c>
      <c r="D28" t="s">
        <v>38</v>
      </c>
      <c r="E28">
        <v>5.7679999999999997E-3</v>
      </c>
    </row>
    <row r="29" spans="1:5" x14ac:dyDescent="0.3">
      <c r="A29">
        <v>1</v>
      </c>
      <c r="B29">
        <v>105000</v>
      </c>
      <c r="C29" t="s">
        <v>45</v>
      </c>
      <c r="D29" t="s">
        <v>39</v>
      </c>
      <c r="E29">
        <v>6.1840000000000003E-3</v>
      </c>
    </row>
    <row r="30" spans="1:5" x14ac:dyDescent="0.3">
      <c r="A30">
        <v>1</v>
      </c>
      <c r="B30">
        <v>105000</v>
      </c>
      <c r="C30" t="s">
        <v>45</v>
      </c>
      <c r="D30" t="s">
        <v>40</v>
      </c>
      <c r="E30">
        <v>2.2523999999999999E-2</v>
      </c>
    </row>
    <row r="31" spans="1:5" x14ac:dyDescent="0.3">
      <c r="A31">
        <v>1</v>
      </c>
      <c r="B31">
        <v>105000</v>
      </c>
      <c r="C31" t="s">
        <v>45</v>
      </c>
      <c r="D31" t="s">
        <v>41</v>
      </c>
      <c r="E31">
        <v>6.2269999999999999E-3</v>
      </c>
    </row>
    <row r="32" spans="1:5" x14ac:dyDescent="0.3">
      <c r="A32">
        <v>1</v>
      </c>
      <c r="B32">
        <v>105000</v>
      </c>
      <c r="C32" t="s">
        <v>45</v>
      </c>
      <c r="D32" t="s">
        <v>42</v>
      </c>
      <c r="E32">
        <v>5.6550000000000003E-3</v>
      </c>
    </row>
    <row r="33" spans="1:5" x14ac:dyDescent="0.3">
      <c r="A33">
        <v>1</v>
      </c>
      <c r="B33">
        <v>105000</v>
      </c>
      <c r="C33" t="s">
        <v>45</v>
      </c>
      <c r="D33" t="s">
        <v>43</v>
      </c>
      <c r="E33">
        <v>5.0949999999999997E-3</v>
      </c>
    </row>
    <row r="34" spans="1:5" x14ac:dyDescent="0.3">
      <c r="A34">
        <v>2</v>
      </c>
      <c r="B34">
        <v>110000</v>
      </c>
      <c r="C34" t="s">
        <v>45</v>
      </c>
      <c r="D34" t="s">
        <v>28</v>
      </c>
      <c r="E34">
        <v>109999.924527</v>
      </c>
    </row>
    <row r="35" spans="1:5" x14ac:dyDescent="0.3">
      <c r="A35">
        <v>2</v>
      </c>
      <c r="B35">
        <v>110000</v>
      </c>
      <c r="C35" t="s">
        <v>45</v>
      </c>
      <c r="D35" t="s">
        <v>29</v>
      </c>
      <c r="E35">
        <v>7.8519999999999996E-3</v>
      </c>
    </row>
    <row r="36" spans="1:5" x14ac:dyDescent="0.3">
      <c r="A36">
        <v>2</v>
      </c>
      <c r="B36">
        <v>110000</v>
      </c>
      <c r="C36" t="s">
        <v>45</v>
      </c>
      <c r="D36" t="s">
        <v>30</v>
      </c>
      <c r="E36">
        <v>4.9350000000000002E-3</v>
      </c>
    </row>
    <row r="37" spans="1:5" x14ac:dyDescent="0.3">
      <c r="A37">
        <v>2</v>
      </c>
      <c r="B37">
        <v>110000</v>
      </c>
      <c r="C37" t="s">
        <v>45</v>
      </c>
      <c r="D37" t="s">
        <v>31</v>
      </c>
      <c r="E37">
        <v>4.6889999999999996E-3</v>
      </c>
    </row>
    <row r="38" spans="1:5" x14ac:dyDescent="0.3">
      <c r="A38">
        <v>2</v>
      </c>
      <c r="B38">
        <v>110000</v>
      </c>
      <c r="C38" t="s">
        <v>45</v>
      </c>
      <c r="D38" t="s">
        <v>32</v>
      </c>
      <c r="E38">
        <v>4.8329999999999996E-3</v>
      </c>
    </row>
    <row r="39" spans="1:5" x14ac:dyDescent="0.3">
      <c r="A39">
        <v>2</v>
      </c>
      <c r="B39">
        <v>110000</v>
      </c>
      <c r="C39" t="s">
        <v>45</v>
      </c>
      <c r="D39" t="s">
        <v>33</v>
      </c>
      <c r="E39">
        <v>8.6130000000000009E-3</v>
      </c>
    </row>
    <row r="40" spans="1:5" x14ac:dyDescent="0.3">
      <c r="A40">
        <v>2</v>
      </c>
      <c r="B40">
        <v>110000</v>
      </c>
      <c r="C40" t="s">
        <v>45</v>
      </c>
      <c r="D40" t="s">
        <v>34</v>
      </c>
      <c r="E40">
        <v>5.9639999999999997E-3</v>
      </c>
    </row>
    <row r="41" spans="1:5" x14ac:dyDescent="0.3">
      <c r="A41">
        <v>2</v>
      </c>
      <c r="B41">
        <v>110000</v>
      </c>
      <c r="C41" t="s">
        <v>45</v>
      </c>
      <c r="D41" t="s">
        <v>35</v>
      </c>
      <c r="E41">
        <v>1.2385999999999999E-2</v>
      </c>
    </row>
    <row r="42" spans="1:5" x14ac:dyDescent="0.3">
      <c r="A42">
        <v>2</v>
      </c>
      <c r="B42">
        <v>110000</v>
      </c>
      <c r="C42" t="s">
        <v>45</v>
      </c>
      <c r="D42" t="s">
        <v>36</v>
      </c>
      <c r="E42">
        <v>5.0010000000000002E-3</v>
      </c>
    </row>
    <row r="43" spans="1:5" x14ac:dyDescent="0.3">
      <c r="A43">
        <v>2</v>
      </c>
      <c r="B43">
        <v>110000</v>
      </c>
      <c r="C43" t="s">
        <v>45</v>
      </c>
      <c r="D43" t="s">
        <v>37</v>
      </c>
      <c r="E43">
        <v>6.5409999999999999E-3</v>
      </c>
    </row>
    <row r="44" spans="1:5" x14ac:dyDescent="0.3">
      <c r="A44">
        <v>2</v>
      </c>
      <c r="B44">
        <v>110000</v>
      </c>
      <c r="C44" t="s">
        <v>45</v>
      </c>
      <c r="D44" t="s">
        <v>38</v>
      </c>
      <c r="E44">
        <v>5.8910000000000004E-3</v>
      </c>
    </row>
    <row r="45" spans="1:5" x14ac:dyDescent="0.3">
      <c r="A45">
        <v>2</v>
      </c>
      <c r="B45">
        <v>110000</v>
      </c>
      <c r="C45" t="s">
        <v>45</v>
      </c>
      <c r="D45" t="s">
        <v>39</v>
      </c>
      <c r="E45">
        <v>6.2420000000000002E-3</v>
      </c>
    </row>
    <row r="46" spans="1:5" x14ac:dyDescent="0.3">
      <c r="A46">
        <v>2</v>
      </c>
      <c r="B46">
        <v>110000</v>
      </c>
      <c r="C46" t="s">
        <v>45</v>
      </c>
      <c r="D46" t="s">
        <v>40</v>
      </c>
      <c r="E46">
        <v>2.1079000000000001E-2</v>
      </c>
    </row>
    <row r="47" spans="1:5" x14ac:dyDescent="0.3">
      <c r="A47">
        <v>2</v>
      </c>
      <c r="B47">
        <v>110000</v>
      </c>
      <c r="C47" t="s">
        <v>45</v>
      </c>
      <c r="D47" t="s">
        <v>41</v>
      </c>
      <c r="E47">
        <v>6.3540000000000003E-3</v>
      </c>
    </row>
    <row r="48" spans="1:5" x14ac:dyDescent="0.3">
      <c r="A48">
        <v>2</v>
      </c>
      <c r="B48">
        <v>110000</v>
      </c>
      <c r="C48" t="s">
        <v>45</v>
      </c>
      <c r="D48" t="s">
        <v>42</v>
      </c>
      <c r="E48">
        <v>5.2290000000000001E-3</v>
      </c>
    </row>
    <row r="49" spans="1:5" x14ac:dyDescent="0.3">
      <c r="A49">
        <v>2</v>
      </c>
      <c r="B49">
        <v>110000</v>
      </c>
      <c r="C49" t="s">
        <v>45</v>
      </c>
      <c r="D49" t="s">
        <v>43</v>
      </c>
      <c r="E49">
        <v>4.7949999999999998E-3</v>
      </c>
    </row>
    <row r="50" spans="1:5" x14ac:dyDescent="0.3">
      <c r="A50">
        <v>3</v>
      </c>
      <c r="B50">
        <v>115000</v>
      </c>
      <c r="C50" t="s">
        <v>45</v>
      </c>
      <c r="D50" t="s">
        <v>28</v>
      </c>
      <c r="E50">
        <v>114999.662444</v>
      </c>
    </row>
    <row r="51" spans="1:5" x14ac:dyDescent="0.3">
      <c r="A51">
        <v>3</v>
      </c>
      <c r="B51">
        <v>115000</v>
      </c>
      <c r="C51" t="s">
        <v>45</v>
      </c>
      <c r="D51" t="s">
        <v>29</v>
      </c>
      <c r="E51">
        <v>3.1189000000000001E-2</v>
      </c>
    </row>
    <row r="52" spans="1:5" x14ac:dyDescent="0.3">
      <c r="A52">
        <v>3</v>
      </c>
      <c r="B52">
        <v>115000</v>
      </c>
      <c r="C52" t="s">
        <v>45</v>
      </c>
      <c r="D52" t="s">
        <v>30</v>
      </c>
      <c r="E52">
        <v>1.9219E-2</v>
      </c>
    </row>
    <row r="53" spans="1:5" x14ac:dyDescent="0.3">
      <c r="A53">
        <v>3</v>
      </c>
      <c r="B53">
        <v>115000</v>
      </c>
      <c r="C53" t="s">
        <v>45</v>
      </c>
      <c r="D53" t="s">
        <v>31</v>
      </c>
      <c r="E53">
        <v>1.8151E-2</v>
      </c>
    </row>
    <row r="54" spans="1:5" x14ac:dyDescent="0.3">
      <c r="A54">
        <v>3</v>
      </c>
      <c r="B54">
        <v>115000</v>
      </c>
      <c r="C54" t="s">
        <v>45</v>
      </c>
      <c r="D54" t="s">
        <v>32</v>
      </c>
      <c r="E54">
        <v>1.8762000000000001E-2</v>
      </c>
    </row>
    <row r="55" spans="1:5" x14ac:dyDescent="0.3">
      <c r="A55">
        <v>3</v>
      </c>
      <c r="B55">
        <v>115000</v>
      </c>
      <c r="C55" t="s">
        <v>45</v>
      </c>
      <c r="D55" t="s">
        <v>33</v>
      </c>
      <c r="E55">
        <v>3.3256000000000001E-2</v>
      </c>
    </row>
    <row r="56" spans="1:5" x14ac:dyDescent="0.3">
      <c r="A56">
        <v>3</v>
      </c>
      <c r="B56">
        <v>115000</v>
      </c>
      <c r="C56" t="s">
        <v>45</v>
      </c>
      <c r="D56" t="s">
        <v>34</v>
      </c>
      <c r="E56">
        <v>2.2329999999999999E-2</v>
      </c>
    </row>
    <row r="57" spans="1:5" x14ac:dyDescent="0.3">
      <c r="A57">
        <v>3</v>
      </c>
      <c r="B57">
        <v>115000</v>
      </c>
      <c r="C57" t="s">
        <v>45</v>
      </c>
      <c r="D57" t="s">
        <v>35</v>
      </c>
      <c r="E57">
        <v>4.9010999999999999E-2</v>
      </c>
    </row>
    <row r="58" spans="1:5" x14ac:dyDescent="0.3">
      <c r="A58">
        <v>3</v>
      </c>
      <c r="B58">
        <v>115000</v>
      </c>
      <c r="C58" t="s">
        <v>45</v>
      </c>
      <c r="D58" t="s">
        <v>36</v>
      </c>
      <c r="E58">
        <v>1.9186999999999999E-2</v>
      </c>
    </row>
    <row r="59" spans="1:5" x14ac:dyDescent="0.3">
      <c r="A59">
        <v>3</v>
      </c>
      <c r="B59">
        <v>115000</v>
      </c>
      <c r="C59" t="s">
        <v>45</v>
      </c>
      <c r="D59" t="s">
        <v>37</v>
      </c>
      <c r="E59">
        <v>2.5571E-2</v>
      </c>
    </row>
    <row r="60" spans="1:5" x14ac:dyDescent="0.3">
      <c r="A60">
        <v>3</v>
      </c>
      <c r="B60">
        <v>115000</v>
      </c>
      <c r="C60" t="s">
        <v>45</v>
      </c>
      <c r="D60" t="s">
        <v>38</v>
      </c>
      <c r="E60">
        <v>2.2934E-2</v>
      </c>
    </row>
    <row r="61" spans="1:5" x14ac:dyDescent="0.3">
      <c r="A61">
        <v>3</v>
      </c>
      <c r="B61">
        <v>115000</v>
      </c>
      <c r="C61" t="s">
        <v>45</v>
      </c>
      <c r="D61" t="s">
        <v>39</v>
      </c>
      <c r="E61">
        <v>2.4486999999999998E-2</v>
      </c>
    </row>
    <row r="62" spans="1:5" x14ac:dyDescent="0.3">
      <c r="A62">
        <v>3</v>
      </c>
      <c r="B62">
        <v>115000</v>
      </c>
      <c r="C62" t="s">
        <v>45</v>
      </c>
      <c r="D62" t="s">
        <v>40</v>
      </c>
      <c r="E62">
        <v>8.5897000000000001E-2</v>
      </c>
    </row>
    <row r="63" spans="1:5" x14ac:dyDescent="0.3">
      <c r="A63">
        <v>3</v>
      </c>
      <c r="B63">
        <v>115000</v>
      </c>
      <c r="C63" t="s">
        <v>45</v>
      </c>
      <c r="D63" t="s">
        <v>41</v>
      </c>
      <c r="E63">
        <v>2.4634E-2</v>
      </c>
    </row>
    <row r="64" spans="1:5" x14ac:dyDescent="0.3">
      <c r="A64">
        <v>3</v>
      </c>
      <c r="B64">
        <v>115000</v>
      </c>
      <c r="C64" t="s">
        <v>45</v>
      </c>
      <c r="D64" t="s">
        <v>42</v>
      </c>
      <c r="E64">
        <v>2.0112999999999999E-2</v>
      </c>
    </row>
    <row r="65" spans="1:5" x14ac:dyDescent="0.3">
      <c r="A65">
        <v>3</v>
      </c>
      <c r="B65">
        <v>115000</v>
      </c>
      <c r="C65" t="s">
        <v>45</v>
      </c>
      <c r="D65" t="s">
        <v>43</v>
      </c>
      <c r="E65">
        <v>1.831E-2</v>
      </c>
    </row>
    <row r="66" spans="1:5" x14ac:dyDescent="0.3">
      <c r="A66">
        <v>4</v>
      </c>
      <c r="B66">
        <v>120000</v>
      </c>
      <c r="C66" t="s">
        <v>45</v>
      </c>
      <c r="D66" t="s">
        <v>28</v>
      </c>
      <c r="E66">
        <v>119999.71161499999</v>
      </c>
    </row>
    <row r="67" spans="1:5" x14ac:dyDescent="0.3">
      <c r="A67">
        <v>4</v>
      </c>
      <c r="B67">
        <v>120000</v>
      </c>
      <c r="C67" t="s">
        <v>45</v>
      </c>
      <c r="D67" t="s">
        <v>29</v>
      </c>
      <c r="E67">
        <v>2.5603999999999998E-2</v>
      </c>
    </row>
    <row r="68" spans="1:5" x14ac:dyDescent="0.3">
      <c r="A68">
        <v>4</v>
      </c>
      <c r="B68">
        <v>120000</v>
      </c>
      <c r="C68" t="s">
        <v>45</v>
      </c>
      <c r="D68" t="s">
        <v>30</v>
      </c>
      <c r="E68">
        <v>1.4736000000000001E-2</v>
      </c>
    </row>
    <row r="69" spans="1:5" x14ac:dyDescent="0.3">
      <c r="A69">
        <v>4</v>
      </c>
      <c r="B69">
        <v>120000</v>
      </c>
      <c r="C69" t="s">
        <v>45</v>
      </c>
      <c r="D69" t="s">
        <v>31</v>
      </c>
      <c r="E69">
        <v>1.3212E-2</v>
      </c>
    </row>
    <row r="70" spans="1:5" x14ac:dyDescent="0.3">
      <c r="A70">
        <v>4</v>
      </c>
      <c r="B70">
        <v>120000</v>
      </c>
      <c r="C70" t="s">
        <v>45</v>
      </c>
      <c r="D70" t="s">
        <v>32</v>
      </c>
      <c r="E70">
        <v>1.3662000000000001E-2</v>
      </c>
    </row>
    <row r="71" spans="1:5" x14ac:dyDescent="0.3">
      <c r="A71">
        <v>4</v>
      </c>
      <c r="B71">
        <v>120000</v>
      </c>
      <c r="C71" t="s">
        <v>45</v>
      </c>
      <c r="D71" t="s">
        <v>33</v>
      </c>
      <c r="E71">
        <v>2.5746999999999999E-2</v>
      </c>
    </row>
    <row r="72" spans="1:5" x14ac:dyDescent="0.3">
      <c r="A72">
        <v>4</v>
      </c>
      <c r="B72">
        <v>120000</v>
      </c>
      <c r="C72" t="s">
        <v>45</v>
      </c>
      <c r="D72" t="s">
        <v>34</v>
      </c>
      <c r="E72">
        <v>1.4076999999999999E-2</v>
      </c>
    </row>
    <row r="73" spans="1:5" x14ac:dyDescent="0.3">
      <c r="A73">
        <v>4</v>
      </c>
      <c r="B73">
        <v>120000</v>
      </c>
      <c r="C73" t="s">
        <v>45</v>
      </c>
      <c r="D73" t="s">
        <v>35</v>
      </c>
      <c r="E73">
        <v>4.0010999999999998E-2</v>
      </c>
    </row>
    <row r="74" spans="1:5" x14ac:dyDescent="0.3">
      <c r="A74">
        <v>4</v>
      </c>
      <c r="B74">
        <v>120000</v>
      </c>
      <c r="C74" t="s">
        <v>45</v>
      </c>
      <c r="D74" t="s">
        <v>36</v>
      </c>
      <c r="E74">
        <v>1.2408000000000001E-2</v>
      </c>
    </row>
    <row r="75" spans="1:5" x14ac:dyDescent="0.3">
      <c r="A75">
        <v>4</v>
      </c>
      <c r="B75">
        <v>120000</v>
      </c>
      <c r="C75" t="s">
        <v>45</v>
      </c>
      <c r="D75" t="s">
        <v>37</v>
      </c>
      <c r="E75">
        <v>1.9463000000000001E-2</v>
      </c>
    </row>
    <row r="76" spans="1:5" x14ac:dyDescent="0.3">
      <c r="A76">
        <v>4</v>
      </c>
      <c r="B76">
        <v>120000</v>
      </c>
      <c r="C76" t="s">
        <v>45</v>
      </c>
      <c r="D76" t="s">
        <v>38</v>
      </c>
      <c r="E76">
        <v>1.6906000000000001E-2</v>
      </c>
    </row>
    <row r="77" spans="1:5" x14ac:dyDescent="0.3">
      <c r="A77">
        <v>4</v>
      </c>
      <c r="B77">
        <v>120000</v>
      </c>
      <c r="C77" t="s">
        <v>45</v>
      </c>
      <c r="D77" t="s">
        <v>39</v>
      </c>
      <c r="E77">
        <v>1.8461000000000002E-2</v>
      </c>
    </row>
    <row r="78" spans="1:5" x14ac:dyDescent="0.3">
      <c r="A78">
        <v>4</v>
      </c>
      <c r="B78">
        <v>120000</v>
      </c>
      <c r="C78" t="s">
        <v>45</v>
      </c>
      <c r="D78" t="s">
        <v>40</v>
      </c>
      <c r="E78">
        <v>7.0074999999999998E-2</v>
      </c>
    </row>
    <row r="79" spans="1:5" x14ac:dyDescent="0.3">
      <c r="A79">
        <v>4</v>
      </c>
      <c r="B79">
        <v>120000</v>
      </c>
      <c r="C79" t="s">
        <v>45</v>
      </c>
      <c r="D79" t="s">
        <v>41</v>
      </c>
      <c r="E79">
        <v>1.8135999999999999E-2</v>
      </c>
    </row>
    <row r="80" spans="1:5" x14ac:dyDescent="0.3">
      <c r="A80">
        <v>4</v>
      </c>
      <c r="B80">
        <v>120000</v>
      </c>
      <c r="C80" t="s">
        <v>45</v>
      </c>
      <c r="D80" t="s">
        <v>42</v>
      </c>
      <c r="E80">
        <v>1.4156E-2</v>
      </c>
    </row>
    <row r="81" spans="1:5" x14ac:dyDescent="0.3">
      <c r="A81">
        <v>4</v>
      </c>
      <c r="B81">
        <v>120000</v>
      </c>
      <c r="C81" t="s">
        <v>45</v>
      </c>
      <c r="D81" t="s">
        <v>43</v>
      </c>
      <c r="E81">
        <v>1.3587999999999999E-2</v>
      </c>
    </row>
    <row r="82" spans="1:5" x14ac:dyDescent="0.3">
      <c r="A82">
        <v>4</v>
      </c>
      <c r="B82">
        <v>120000</v>
      </c>
      <c r="C82" t="s">
        <v>46</v>
      </c>
      <c r="D82" t="s">
        <v>28</v>
      </c>
      <c r="E82">
        <v>119999.966848</v>
      </c>
    </row>
    <row r="83" spans="1:5" x14ac:dyDescent="0.3">
      <c r="A83">
        <v>4</v>
      </c>
      <c r="B83">
        <v>120000</v>
      </c>
      <c r="C83" t="s">
        <v>46</v>
      </c>
      <c r="D83" t="s">
        <v>29</v>
      </c>
      <c r="E83">
        <v>6.6100000000000004E-3</v>
      </c>
    </row>
    <row r="84" spans="1:5" x14ac:dyDescent="0.3">
      <c r="A84">
        <v>4</v>
      </c>
      <c r="B84">
        <v>120000</v>
      </c>
      <c r="C84" t="s">
        <v>46</v>
      </c>
      <c r="D84" t="s">
        <v>30</v>
      </c>
      <c r="E84">
        <v>4.7580000000000001E-3</v>
      </c>
    </row>
    <row r="85" spans="1:5" x14ac:dyDescent="0.3">
      <c r="A85">
        <v>4</v>
      </c>
      <c r="B85">
        <v>120000</v>
      </c>
      <c r="C85" t="s">
        <v>46</v>
      </c>
      <c r="D85" t="s">
        <v>31</v>
      </c>
      <c r="E85">
        <v>4.4559999999999999E-3</v>
      </c>
    </row>
    <row r="86" spans="1:5" x14ac:dyDescent="0.3">
      <c r="A86">
        <v>4</v>
      </c>
      <c r="B86">
        <v>120000</v>
      </c>
      <c r="C86" t="s">
        <v>46</v>
      </c>
      <c r="D86" t="s">
        <v>32</v>
      </c>
      <c r="E86">
        <v>4.5950000000000001E-3</v>
      </c>
    </row>
    <row r="87" spans="1:5" x14ac:dyDescent="0.3">
      <c r="A87">
        <v>4</v>
      </c>
      <c r="B87">
        <v>120000</v>
      </c>
      <c r="C87" t="s">
        <v>46</v>
      </c>
      <c r="D87" t="s">
        <v>33</v>
      </c>
      <c r="E87">
        <v>7.4079999999999997E-3</v>
      </c>
    </row>
    <row r="88" spans="1:5" x14ac:dyDescent="0.3">
      <c r="A88">
        <v>4</v>
      </c>
      <c r="B88">
        <v>120000</v>
      </c>
      <c r="C88" t="s">
        <v>46</v>
      </c>
      <c r="D88" t="s">
        <v>34</v>
      </c>
      <c r="E88">
        <v>6.8469999999999998E-3</v>
      </c>
    </row>
    <row r="89" spans="1:5" x14ac:dyDescent="0.3">
      <c r="A89">
        <v>4</v>
      </c>
      <c r="B89">
        <v>120000</v>
      </c>
      <c r="C89" t="s">
        <v>46</v>
      </c>
      <c r="D89" t="s">
        <v>35</v>
      </c>
      <c r="E89">
        <v>8.8990000000000007E-3</v>
      </c>
    </row>
    <row r="90" spans="1:5" x14ac:dyDescent="0.3">
      <c r="A90">
        <v>4</v>
      </c>
      <c r="B90">
        <v>120000</v>
      </c>
      <c r="C90" t="s">
        <v>46</v>
      </c>
      <c r="D90" t="s">
        <v>36</v>
      </c>
      <c r="E90">
        <v>4.8240000000000002E-3</v>
      </c>
    </row>
    <row r="91" spans="1:5" x14ac:dyDescent="0.3">
      <c r="A91">
        <v>4</v>
      </c>
      <c r="B91">
        <v>120000</v>
      </c>
      <c r="C91" t="s">
        <v>46</v>
      </c>
      <c r="D91" t="s">
        <v>37</v>
      </c>
      <c r="E91">
        <v>5.7819999999999998E-3</v>
      </c>
    </row>
    <row r="92" spans="1:5" x14ac:dyDescent="0.3">
      <c r="A92">
        <v>4</v>
      </c>
      <c r="B92">
        <v>120000</v>
      </c>
      <c r="C92" t="s">
        <v>46</v>
      </c>
      <c r="D92" t="s">
        <v>38</v>
      </c>
      <c r="E92">
        <v>5.378E-3</v>
      </c>
    </row>
    <row r="93" spans="1:5" x14ac:dyDescent="0.3">
      <c r="A93">
        <v>4</v>
      </c>
      <c r="B93">
        <v>120000</v>
      </c>
      <c r="C93" t="s">
        <v>46</v>
      </c>
      <c r="D93" t="s">
        <v>39</v>
      </c>
      <c r="E93">
        <v>5.7279999999999996E-3</v>
      </c>
    </row>
    <row r="94" spans="1:5" x14ac:dyDescent="0.3">
      <c r="A94">
        <v>4</v>
      </c>
      <c r="B94">
        <v>120000</v>
      </c>
      <c r="C94" t="s">
        <v>46</v>
      </c>
      <c r="D94" t="s">
        <v>40</v>
      </c>
      <c r="E94">
        <v>1.8727000000000001E-2</v>
      </c>
    </row>
    <row r="95" spans="1:5" x14ac:dyDescent="0.3">
      <c r="A95">
        <v>4</v>
      </c>
      <c r="B95">
        <v>120000</v>
      </c>
      <c r="C95" t="s">
        <v>46</v>
      </c>
      <c r="D95" t="s">
        <v>41</v>
      </c>
      <c r="E95">
        <v>5.8300000000000001E-3</v>
      </c>
    </row>
    <row r="96" spans="1:5" x14ac:dyDescent="0.3">
      <c r="A96">
        <v>4</v>
      </c>
      <c r="B96">
        <v>120000</v>
      </c>
      <c r="C96" t="s">
        <v>46</v>
      </c>
      <c r="D96" t="s">
        <v>42</v>
      </c>
      <c r="E96">
        <v>5.3140000000000001E-3</v>
      </c>
    </row>
    <row r="97" spans="1:5" x14ac:dyDescent="0.3">
      <c r="A97">
        <v>4</v>
      </c>
      <c r="B97">
        <v>120000</v>
      </c>
      <c r="C97" t="s">
        <v>46</v>
      </c>
      <c r="D97" t="s">
        <v>43</v>
      </c>
      <c r="E97">
        <v>4.8339999999999998E-3</v>
      </c>
    </row>
    <row r="98" spans="1:5" x14ac:dyDescent="0.3">
      <c r="A98">
        <v>5</v>
      </c>
      <c r="B98">
        <v>125000</v>
      </c>
      <c r="C98" t="s">
        <v>45</v>
      </c>
      <c r="D98" t="s">
        <v>28</v>
      </c>
      <c r="E98">
        <v>124999.899337</v>
      </c>
    </row>
    <row r="99" spans="1:5" x14ac:dyDescent="0.3">
      <c r="A99">
        <v>5</v>
      </c>
      <c r="B99">
        <v>125000</v>
      </c>
      <c r="C99" t="s">
        <v>45</v>
      </c>
      <c r="D99" t="s">
        <v>29</v>
      </c>
      <c r="E99">
        <v>8.6370000000000006E-3</v>
      </c>
    </row>
    <row r="100" spans="1:5" x14ac:dyDescent="0.3">
      <c r="A100">
        <v>5</v>
      </c>
      <c r="B100">
        <v>125000</v>
      </c>
      <c r="C100" t="s">
        <v>45</v>
      </c>
      <c r="D100" t="s">
        <v>30</v>
      </c>
      <c r="E100">
        <v>5.4169999999999999E-3</v>
      </c>
    </row>
    <row r="101" spans="1:5" x14ac:dyDescent="0.3">
      <c r="A101">
        <v>5</v>
      </c>
      <c r="B101">
        <v>125000</v>
      </c>
      <c r="C101" t="s">
        <v>45</v>
      </c>
      <c r="D101" t="s">
        <v>31</v>
      </c>
      <c r="E101">
        <v>5.0920000000000002E-3</v>
      </c>
    </row>
    <row r="102" spans="1:5" x14ac:dyDescent="0.3">
      <c r="A102">
        <v>5</v>
      </c>
      <c r="B102">
        <v>125000</v>
      </c>
      <c r="C102" t="s">
        <v>45</v>
      </c>
      <c r="D102" t="s">
        <v>32</v>
      </c>
      <c r="E102">
        <v>5.2399999999999999E-3</v>
      </c>
    </row>
    <row r="103" spans="1:5" x14ac:dyDescent="0.3">
      <c r="A103">
        <v>5</v>
      </c>
      <c r="B103">
        <v>125000</v>
      </c>
      <c r="C103" t="s">
        <v>45</v>
      </c>
      <c r="D103" t="s">
        <v>33</v>
      </c>
      <c r="E103">
        <v>9.3170000000000006E-3</v>
      </c>
    </row>
    <row r="104" spans="1:5" x14ac:dyDescent="0.3">
      <c r="A104">
        <v>5</v>
      </c>
      <c r="B104">
        <v>125000</v>
      </c>
      <c r="C104" t="s">
        <v>45</v>
      </c>
      <c r="D104" t="s">
        <v>34</v>
      </c>
      <c r="E104">
        <v>6.3550000000000004E-3</v>
      </c>
    </row>
    <row r="105" spans="1:5" x14ac:dyDescent="0.3">
      <c r="A105">
        <v>5</v>
      </c>
      <c r="B105">
        <v>125000</v>
      </c>
      <c r="C105" t="s">
        <v>45</v>
      </c>
      <c r="D105" t="s">
        <v>35</v>
      </c>
      <c r="E105">
        <v>1.3849999999999999E-2</v>
      </c>
    </row>
    <row r="106" spans="1:5" x14ac:dyDescent="0.3">
      <c r="A106">
        <v>5</v>
      </c>
      <c r="B106">
        <v>125000</v>
      </c>
      <c r="C106" t="s">
        <v>45</v>
      </c>
      <c r="D106" t="s">
        <v>36</v>
      </c>
      <c r="E106">
        <v>5.3949999999999996E-3</v>
      </c>
    </row>
    <row r="107" spans="1:5" x14ac:dyDescent="0.3">
      <c r="A107">
        <v>5</v>
      </c>
      <c r="B107">
        <v>125000</v>
      </c>
      <c r="C107" t="s">
        <v>45</v>
      </c>
      <c r="D107" t="s">
        <v>37</v>
      </c>
      <c r="E107">
        <v>7.1450000000000003E-3</v>
      </c>
    </row>
    <row r="108" spans="1:5" x14ac:dyDescent="0.3">
      <c r="A108">
        <v>5</v>
      </c>
      <c r="B108">
        <v>125000</v>
      </c>
      <c r="C108" t="s">
        <v>45</v>
      </c>
      <c r="D108" t="s">
        <v>38</v>
      </c>
      <c r="E108">
        <v>6.411E-3</v>
      </c>
    </row>
    <row r="109" spans="1:5" x14ac:dyDescent="0.3">
      <c r="A109">
        <v>5</v>
      </c>
      <c r="B109">
        <v>125000</v>
      </c>
      <c r="C109" t="s">
        <v>45</v>
      </c>
      <c r="D109" t="s">
        <v>39</v>
      </c>
      <c r="E109">
        <v>6.7910000000000002E-3</v>
      </c>
    </row>
    <row r="110" spans="1:5" x14ac:dyDescent="0.3">
      <c r="A110">
        <v>5</v>
      </c>
      <c r="B110">
        <v>125000</v>
      </c>
      <c r="C110" t="s">
        <v>45</v>
      </c>
      <c r="D110" t="s">
        <v>40</v>
      </c>
      <c r="E110">
        <v>2.3681000000000001E-2</v>
      </c>
    </row>
    <row r="111" spans="1:5" x14ac:dyDescent="0.3">
      <c r="A111">
        <v>5</v>
      </c>
      <c r="B111">
        <v>125000</v>
      </c>
      <c r="C111" t="s">
        <v>45</v>
      </c>
      <c r="D111" t="s">
        <v>41</v>
      </c>
      <c r="E111">
        <v>6.8780000000000004E-3</v>
      </c>
    </row>
    <row r="112" spans="1:5" x14ac:dyDescent="0.3">
      <c r="A112">
        <v>5</v>
      </c>
      <c r="B112">
        <v>125000</v>
      </c>
      <c r="C112" t="s">
        <v>45</v>
      </c>
      <c r="D112" t="s">
        <v>42</v>
      </c>
      <c r="E112">
        <v>5.62E-3</v>
      </c>
    </row>
    <row r="113" spans="1:5" x14ac:dyDescent="0.3">
      <c r="A113">
        <v>5</v>
      </c>
      <c r="B113">
        <v>125000</v>
      </c>
      <c r="C113" t="s">
        <v>45</v>
      </c>
      <c r="D113" t="s">
        <v>43</v>
      </c>
      <c r="E113">
        <v>5.1029999999999999E-3</v>
      </c>
    </row>
    <row r="114" spans="1:5" x14ac:dyDescent="0.3">
      <c r="A114">
        <v>5</v>
      </c>
      <c r="B114">
        <v>125000</v>
      </c>
      <c r="C114" t="s">
        <v>46</v>
      </c>
      <c r="D114" t="s">
        <v>28</v>
      </c>
      <c r="E114">
        <v>124999.88536099999</v>
      </c>
    </row>
    <row r="115" spans="1:5" x14ac:dyDescent="0.3">
      <c r="A115">
        <v>5</v>
      </c>
      <c r="B115">
        <v>125000</v>
      </c>
      <c r="C115" t="s">
        <v>46</v>
      </c>
      <c r="D115" t="s">
        <v>29</v>
      </c>
      <c r="E115">
        <v>1.6799000000000001E-2</v>
      </c>
    </row>
    <row r="116" spans="1:5" x14ac:dyDescent="0.3">
      <c r="A116">
        <v>5</v>
      </c>
      <c r="B116">
        <v>125000</v>
      </c>
      <c r="C116" t="s">
        <v>46</v>
      </c>
      <c r="D116" t="s">
        <v>30</v>
      </c>
      <c r="E116">
        <v>1.0924E-2</v>
      </c>
    </row>
    <row r="117" spans="1:5" x14ac:dyDescent="0.3">
      <c r="A117">
        <v>5</v>
      </c>
      <c r="B117">
        <v>125000</v>
      </c>
      <c r="C117" t="s">
        <v>46</v>
      </c>
      <c r="D117" t="s">
        <v>31</v>
      </c>
      <c r="E117">
        <v>9.8180000000000003E-3</v>
      </c>
    </row>
    <row r="118" spans="1:5" x14ac:dyDescent="0.3">
      <c r="A118">
        <v>5</v>
      </c>
      <c r="B118">
        <v>125000</v>
      </c>
      <c r="C118" t="s">
        <v>46</v>
      </c>
      <c r="D118" t="s">
        <v>32</v>
      </c>
      <c r="E118">
        <v>1.0163999999999999E-2</v>
      </c>
    </row>
    <row r="119" spans="1:5" x14ac:dyDescent="0.3">
      <c r="A119">
        <v>5</v>
      </c>
      <c r="B119">
        <v>125000</v>
      </c>
      <c r="C119" t="s">
        <v>46</v>
      </c>
      <c r="D119" t="s">
        <v>33</v>
      </c>
      <c r="E119">
        <v>1.8487E-2</v>
      </c>
    </row>
    <row r="120" spans="1:5" x14ac:dyDescent="0.3">
      <c r="A120">
        <v>5</v>
      </c>
      <c r="B120">
        <v>125000</v>
      </c>
      <c r="C120" t="s">
        <v>46</v>
      </c>
      <c r="D120" t="s">
        <v>34</v>
      </c>
      <c r="E120">
        <v>1.2584E-2</v>
      </c>
    </row>
    <row r="121" spans="1:5" x14ac:dyDescent="0.3">
      <c r="A121">
        <v>5</v>
      </c>
      <c r="B121">
        <v>125000</v>
      </c>
      <c r="C121" t="s">
        <v>46</v>
      </c>
      <c r="D121" t="s">
        <v>35</v>
      </c>
      <c r="E121">
        <v>2.5932E-2</v>
      </c>
    </row>
    <row r="122" spans="1:5" x14ac:dyDescent="0.3">
      <c r="A122">
        <v>5</v>
      </c>
      <c r="B122">
        <v>125000</v>
      </c>
      <c r="C122" t="s">
        <v>46</v>
      </c>
      <c r="D122" t="s">
        <v>36</v>
      </c>
      <c r="E122">
        <v>1.0607999999999999E-2</v>
      </c>
    </row>
    <row r="123" spans="1:5" x14ac:dyDescent="0.3">
      <c r="A123">
        <v>5</v>
      </c>
      <c r="B123">
        <v>125000</v>
      </c>
      <c r="C123" t="s">
        <v>46</v>
      </c>
      <c r="D123" t="s">
        <v>37</v>
      </c>
      <c r="E123">
        <v>1.3742000000000001E-2</v>
      </c>
    </row>
    <row r="124" spans="1:5" x14ac:dyDescent="0.3">
      <c r="A124">
        <v>5</v>
      </c>
      <c r="B124">
        <v>125000</v>
      </c>
      <c r="C124" t="s">
        <v>46</v>
      </c>
      <c r="D124" t="s">
        <v>38</v>
      </c>
      <c r="E124">
        <v>1.2393E-2</v>
      </c>
    </row>
    <row r="125" spans="1:5" x14ac:dyDescent="0.3">
      <c r="A125">
        <v>5</v>
      </c>
      <c r="B125">
        <v>125000</v>
      </c>
      <c r="C125" t="s">
        <v>46</v>
      </c>
      <c r="D125" t="s">
        <v>39</v>
      </c>
      <c r="E125">
        <v>1.3223E-2</v>
      </c>
    </row>
    <row r="126" spans="1:5" x14ac:dyDescent="0.3">
      <c r="A126">
        <v>5</v>
      </c>
      <c r="B126">
        <v>125000</v>
      </c>
      <c r="C126" t="s">
        <v>46</v>
      </c>
      <c r="D126" t="s">
        <v>40</v>
      </c>
      <c r="E126">
        <v>4.1866E-2</v>
      </c>
    </row>
    <row r="127" spans="1:5" x14ac:dyDescent="0.3">
      <c r="A127">
        <v>5</v>
      </c>
      <c r="B127">
        <v>125000</v>
      </c>
      <c r="C127" t="s">
        <v>46</v>
      </c>
      <c r="D127" t="s">
        <v>41</v>
      </c>
      <c r="E127">
        <v>1.3573999999999999E-2</v>
      </c>
    </row>
    <row r="128" spans="1:5" x14ac:dyDescent="0.3">
      <c r="A128">
        <v>5</v>
      </c>
      <c r="B128">
        <v>125000</v>
      </c>
      <c r="C128" t="s">
        <v>46</v>
      </c>
      <c r="D128" t="s">
        <v>42</v>
      </c>
      <c r="E128">
        <v>1.1136999999999999E-2</v>
      </c>
    </row>
    <row r="129" spans="1:5" x14ac:dyDescent="0.3">
      <c r="A129">
        <v>5</v>
      </c>
      <c r="B129">
        <v>125000</v>
      </c>
      <c r="C129" t="s">
        <v>46</v>
      </c>
      <c r="D129" t="s">
        <v>43</v>
      </c>
      <c r="E129">
        <v>1.044E-2</v>
      </c>
    </row>
    <row r="130" spans="1:5" x14ac:dyDescent="0.3">
      <c r="A130">
        <v>6</v>
      </c>
      <c r="B130">
        <v>130000</v>
      </c>
      <c r="C130" t="s">
        <v>45</v>
      </c>
      <c r="D130" t="s">
        <v>28</v>
      </c>
      <c r="E130">
        <v>129999.983848</v>
      </c>
    </row>
    <row r="131" spans="1:5" x14ac:dyDescent="0.3">
      <c r="A131">
        <v>6</v>
      </c>
      <c r="B131">
        <v>130000</v>
      </c>
      <c r="C131" t="s">
        <v>45</v>
      </c>
      <c r="D131" t="s">
        <v>29</v>
      </c>
      <c r="E131">
        <v>1.2099999999999999E-3</v>
      </c>
    </row>
    <row r="132" spans="1:5" x14ac:dyDescent="0.3">
      <c r="A132">
        <v>6</v>
      </c>
      <c r="B132">
        <v>130000</v>
      </c>
      <c r="C132" t="s">
        <v>45</v>
      </c>
      <c r="D132" t="s">
        <v>30</v>
      </c>
      <c r="E132">
        <v>7.1299999999999998E-4</v>
      </c>
    </row>
    <row r="133" spans="1:5" x14ac:dyDescent="0.3">
      <c r="A133">
        <v>6</v>
      </c>
      <c r="B133">
        <v>130000</v>
      </c>
      <c r="C133" t="s">
        <v>45</v>
      </c>
      <c r="D133" t="s">
        <v>31</v>
      </c>
      <c r="E133">
        <v>7.1000000000000002E-4</v>
      </c>
    </row>
    <row r="134" spans="1:5" x14ac:dyDescent="0.3">
      <c r="A134">
        <v>6</v>
      </c>
      <c r="B134">
        <v>130000</v>
      </c>
      <c r="C134" t="s">
        <v>45</v>
      </c>
      <c r="D134" t="s">
        <v>32</v>
      </c>
      <c r="E134">
        <v>7.2199999999999999E-4</v>
      </c>
    </row>
    <row r="135" spans="1:5" x14ac:dyDescent="0.3">
      <c r="A135">
        <v>6</v>
      </c>
      <c r="B135">
        <v>130000</v>
      </c>
      <c r="C135" t="s">
        <v>45</v>
      </c>
      <c r="D135" t="s">
        <v>33</v>
      </c>
      <c r="E135">
        <v>1.2769999999999999E-3</v>
      </c>
    </row>
    <row r="136" spans="1:5" x14ac:dyDescent="0.3">
      <c r="A136">
        <v>6</v>
      </c>
      <c r="B136">
        <v>130000</v>
      </c>
      <c r="C136" t="s">
        <v>45</v>
      </c>
      <c r="D136" t="s">
        <v>34</v>
      </c>
      <c r="E136">
        <v>8.6899999999999998E-4</v>
      </c>
    </row>
    <row r="137" spans="1:5" x14ac:dyDescent="0.3">
      <c r="A137">
        <v>6</v>
      </c>
      <c r="B137">
        <v>130000</v>
      </c>
      <c r="C137" t="s">
        <v>45</v>
      </c>
      <c r="D137" t="s">
        <v>35</v>
      </c>
      <c r="E137">
        <v>1.9419999999999999E-3</v>
      </c>
    </row>
    <row r="138" spans="1:5" x14ac:dyDescent="0.3">
      <c r="A138">
        <v>6</v>
      </c>
      <c r="B138">
        <v>130000</v>
      </c>
      <c r="C138" t="s">
        <v>45</v>
      </c>
      <c r="D138" t="s">
        <v>36</v>
      </c>
      <c r="E138">
        <v>7.45E-4</v>
      </c>
    </row>
    <row r="139" spans="1:5" x14ac:dyDescent="0.3">
      <c r="A139">
        <v>6</v>
      </c>
      <c r="B139">
        <v>130000</v>
      </c>
      <c r="C139" t="s">
        <v>45</v>
      </c>
      <c r="D139" t="s">
        <v>37</v>
      </c>
      <c r="E139">
        <v>9.9400000000000009E-4</v>
      </c>
    </row>
    <row r="140" spans="1:5" x14ac:dyDescent="0.3">
      <c r="A140">
        <v>6</v>
      </c>
      <c r="B140">
        <v>130000</v>
      </c>
      <c r="C140" t="s">
        <v>45</v>
      </c>
      <c r="D140" t="s">
        <v>38</v>
      </c>
      <c r="E140">
        <v>8.7900000000000001E-4</v>
      </c>
    </row>
    <row r="141" spans="1:5" x14ac:dyDescent="0.3">
      <c r="A141">
        <v>6</v>
      </c>
      <c r="B141">
        <v>130000</v>
      </c>
      <c r="C141" t="s">
        <v>45</v>
      </c>
      <c r="D141" t="s">
        <v>39</v>
      </c>
      <c r="E141">
        <v>9.4300000000000004E-4</v>
      </c>
    </row>
    <row r="142" spans="1:5" x14ac:dyDescent="0.3">
      <c r="A142">
        <v>6</v>
      </c>
      <c r="B142">
        <v>130000</v>
      </c>
      <c r="C142" t="s">
        <v>45</v>
      </c>
      <c r="D142" t="s">
        <v>40</v>
      </c>
      <c r="E142">
        <v>3.4060000000000002E-3</v>
      </c>
    </row>
    <row r="143" spans="1:5" x14ac:dyDescent="0.3">
      <c r="A143">
        <v>6</v>
      </c>
      <c r="B143">
        <v>130000</v>
      </c>
      <c r="C143" t="s">
        <v>45</v>
      </c>
      <c r="D143" t="s">
        <v>41</v>
      </c>
      <c r="E143">
        <v>9.4899999999999997E-4</v>
      </c>
    </row>
    <row r="144" spans="1:5" x14ac:dyDescent="0.3">
      <c r="A144">
        <v>6</v>
      </c>
      <c r="B144">
        <v>130000</v>
      </c>
      <c r="C144" t="s">
        <v>45</v>
      </c>
      <c r="D144" t="s">
        <v>42</v>
      </c>
      <c r="E144">
        <v>7.7700000000000002E-4</v>
      </c>
    </row>
    <row r="145" spans="1:5" x14ac:dyDescent="0.3">
      <c r="A145">
        <v>6</v>
      </c>
      <c r="B145">
        <v>130000</v>
      </c>
      <c r="C145" t="s">
        <v>45</v>
      </c>
      <c r="D145" t="s">
        <v>43</v>
      </c>
      <c r="E145">
        <v>6.9999999999999999E-4</v>
      </c>
    </row>
    <row r="146" spans="1:5" x14ac:dyDescent="0.3">
      <c r="A146">
        <v>6</v>
      </c>
      <c r="B146">
        <v>130000</v>
      </c>
      <c r="C146" t="s">
        <v>46</v>
      </c>
      <c r="D146" t="s">
        <v>28</v>
      </c>
      <c r="E146">
        <v>129999.793725</v>
      </c>
    </row>
    <row r="147" spans="1:5" x14ac:dyDescent="0.3">
      <c r="A147">
        <v>6</v>
      </c>
      <c r="B147">
        <v>130000</v>
      </c>
      <c r="C147" t="s">
        <v>46</v>
      </c>
      <c r="D147" t="s">
        <v>29</v>
      </c>
      <c r="E147">
        <v>1.8450000000000001E-2</v>
      </c>
    </row>
    <row r="148" spans="1:5" x14ac:dyDescent="0.3">
      <c r="A148">
        <v>6</v>
      </c>
      <c r="B148">
        <v>130000</v>
      </c>
      <c r="C148" t="s">
        <v>46</v>
      </c>
      <c r="D148" t="s">
        <v>30</v>
      </c>
      <c r="E148">
        <v>1.2012999999999999E-2</v>
      </c>
    </row>
    <row r="149" spans="1:5" x14ac:dyDescent="0.3">
      <c r="A149">
        <v>6</v>
      </c>
      <c r="B149">
        <v>130000</v>
      </c>
      <c r="C149" t="s">
        <v>46</v>
      </c>
      <c r="D149" t="s">
        <v>31</v>
      </c>
      <c r="E149">
        <v>1.077E-2</v>
      </c>
    </row>
    <row r="150" spans="1:5" x14ac:dyDescent="0.3">
      <c r="A150">
        <v>6</v>
      </c>
      <c r="B150">
        <v>130000</v>
      </c>
      <c r="C150" t="s">
        <v>46</v>
      </c>
      <c r="D150" t="s">
        <v>32</v>
      </c>
      <c r="E150">
        <v>1.1131E-2</v>
      </c>
    </row>
    <row r="151" spans="1:5" x14ac:dyDescent="0.3">
      <c r="A151">
        <v>6</v>
      </c>
      <c r="B151">
        <v>130000</v>
      </c>
      <c r="C151" t="s">
        <v>46</v>
      </c>
      <c r="D151" t="s">
        <v>33</v>
      </c>
      <c r="E151">
        <v>1.9264E-2</v>
      </c>
    </row>
    <row r="152" spans="1:5" x14ac:dyDescent="0.3">
      <c r="A152">
        <v>6</v>
      </c>
      <c r="B152">
        <v>130000</v>
      </c>
      <c r="C152" t="s">
        <v>46</v>
      </c>
      <c r="D152" t="s">
        <v>34</v>
      </c>
      <c r="E152">
        <v>1.3540999999999999E-2</v>
      </c>
    </row>
    <row r="153" spans="1:5" x14ac:dyDescent="0.3">
      <c r="A153">
        <v>6</v>
      </c>
      <c r="B153">
        <v>130000</v>
      </c>
      <c r="C153" t="s">
        <v>46</v>
      </c>
      <c r="D153" t="s">
        <v>35</v>
      </c>
      <c r="E153">
        <v>2.8399000000000001E-2</v>
      </c>
    </row>
    <row r="154" spans="1:5" x14ac:dyDescent="0.3">
      <c r="A154">
        <v>6</v>
      </c>
      <c r="B154">
        <v>130000</v>
      </c>
      <c r="C154" t="s">
        <v>46</v>
      </c>
      <c r="D154" t="s">
        <v>36</v>
      </c>
      <c r="E154">
        <v>1.1379E-2</v>
      </c>
    </row>
    <row r="155" spans="1:5" x14ac:dyDescent="0.3">
      <c r="A155">
        <v>6</v>
      </c>
      <c r="B155">
        <v>130000</v>
      </c>
      <c r="C155" t="s">
        <v>46</v>
      </c>
      <c r="D155" t="s">
        <v>37</v>
      </c>
      <c r="E155">
        <v>1.5103E-2</v>
      </c>
    </row>
    <row r="156" spans="1:5" x14ac:dyDescent="0.3">
      <c r="A156">
        <v>6</v>
      </c>
      <c r="B156">
        <v>130000</v>
      </c>
      <c r="C156" t="s">
        <v>46</v>
      </c>
      <c r="D156" t="s">
        <v>38</v>
      </c>
      <c r="E156">
        <v>1.3586000000000001E-2</v>
      </c>
    </row>
    <row r="157" spans="1:5" x14ac:dyDescent="0.3">
      <c r="A157">
        <v>6</v>
      </c>
      <c r="B157">
        <v>130000</v>
      </c>
      <c r="C157" t="s">
        <v>46</v>
      </c>
      <c r="D157" t="s">
        <v>39</v>
      </c>
      <c r="E157">
        <v>1.4574E-2</v>
      </c>
    </row>
    <row r="158" spans="1:5" x14ac:dyDescent="0.3">
      <c r="A158">
        <v>6</v>
      </c>
      <c r="B158">
        <v>130000</v>
      </c>
      <c r="C158" t="s">
        <v>46</v>
      </c>
      <c r="D158" t="s">
        <v>40</v>
      </c>
      <c r="E158">
        <v>5.0708999999999997E-2</v>
      </c>
    </row>
    <row r="159" spans="1:5" x14ac:dyDescent="0.3">
      <c r="A159">
        <v>6</v>
      </c>
      <c r="B159">
        <v>130000</v>
      </c>
      <c r="C159" t="s">
        <v>46</v>
      </c>
      <c r="D159" t="s">
        <v>41</v>
      </c>
      <c r="E159">
        <v>1.4487999999999999E-2</v>
      </c>
    </row>
    <row r="160" spans="1:5" x14ac:dyDescent="0.3">
      <c r="A160">
        <v>6</v>
      </c>
      <c r="B160">
        <v>130000</v>
      </c>
      <c r="C160" t="s">
        <v>46</v>
      </c>
      <c r="D160" t="s">
        <v>42</v>
      </c>
      <c r="E160">
        <v>1.1958E-2</v>
      </c>
    </row>
    <row r="161" spans="1:5" x14ac:dyDescent="0.3">
      <c r="A161">
        <v>6</v>
      </c>
      <c r="B161">
        <v>130000</v>
      </c>
      <c r="C161" t="s">
        <v>46</v>
      </c>
      <c r="D161" t="s">
        <v>43</v>
      </c>
      <c r="E161">
        <v>1.0784E-2</v>
      </c>
    </row>
    <row r="162" spans="1:5" x14ac:dyDescent="0.3">
      <c r="A162">
        <v>7</v>
      </c>
      <c r="B162">
        <v>135000</v>
      </c>
      <c r="C162" t="s">
        <v>45</v>
      </c>
      <c r="D162" t="s">
        <v>28</v>
      </c>
      <c r="E162">
        <v>134999.46452800001</v>
      </c>
    </row>
    <row r="163" spans="1:5" x14ac:dyDescent="0.3">
      <c r="A163">
        <v>7</v>
      </c>
      <c r="B163">
        <v>135000</v>
      </c>
      <c r="C163" t="s">
        <v>45</v>
      </c>
      <c r="D163" t="s">
        <v>29</v>
      </c>
      <c r="E163">
        <v>4.6614000000000003E-2</v>
      </c>
    </row>
    <row r="164" spans="1:5" x14ac:dyDescent="0.3">
      <c r="A164">
        <v>7</v>
      </c>
      <c r="B164">
        <v>135000</v>
      </c>
      <c r="C164" t="s">
        <v>45</v>
      </c>
      <c r="D164" t="s">
        <v>30</v>
      </c>
      <c r="E164">
        <v>2.9257999999999999E-2</v>
      </c>
    </row>
    <row r="165" spans="1:5" x14ac:dyDescent="0.3">
      <c r="A165">
        <v>7</v>
      </c>
      <c r="B165">
        <v>135000</v>
      </c>
      <c r="C165" t="s">
        <v>45</v>
      </c>
      <c r="D165" t="s">
        <v>31</v>
      </c>
      <c r="E165">
        <v>2.7071000000000001E-2</v>
      </c>
    </row>
    <row r="166" spans="1:5" x14ac:dyDescent="0.3">
      <c r="A166">
        <v>7</v>
      </c>
      <c r="B166">
        <v>135000</v>
      </c>
      <c r="C166" t="s">
        <v>45</v>
      </c>
      <c r="D166" t="s">
        <v>32</v>
      </c>
      <c r="E166">
        <v>2.7418999999999999E-2</v>
      </c>
    </row>
    <row r="167" spans="1:5" x14ac:dyDescent="0.3">
      <c r="A167">
        <v>7</v>
      </c>
      <c r="B167">
        <v>135000</v>
      </c>
      <c r="C167" t="s">
        <v>45</v>
      </c>
      <c r="D167" t="s">
        <v>33</v>
      </c>
      <c r="E167">
        <v>4.3921000000000002E-2</v>
      </c>
    </row>
    <row r="168" spans="1:5" x14ac:dyDescent="0.3">
      <c r="A168">
        <v>7</v>
      </c>
      <c r="B168">
        <v>135000</v>
      </c>
      <c r="C168" t="s">
        <v>45</v>
      </c>
      <c r="D168" t="s">
        <v>34</v>
      </c>
      <c r="E168">
        <v>3.1654000000000002E-2</v>
      </c>
    </row>
    <row r="169" spans="1:5" x14ac:dyDescent="0.3">
      <c r="A169">
        <v>7</v>
      </c>
      <c r="B169">
        <v>135000</v>
      </c>
      <c r="C169" t="s">
        <v>45</v>
      </c>
      <c r="D169" t="s">
        <v>35</v>
      </c>
      <c r="E169">
        <v>7.3885000000000006E-2</v>
      </c>
    </row>
    <row r="170" spans="1:5" x14ac:dyDescent="0.3">
      <c r="A170">
        <v>7</v>
      </c>
      <c r="B170">
        <v>135000</v>
      </c>
      <c r="C170" t="s">
        <v>45</v>
      </c>
      <c r="D170" t="s">
        <v>36</v>
      </c>
      <c r="E170">
        <v>2.6879E-2</v>
      </c>
    </row>
    <row r="171" spans="1:5" x14ac:dyDescent="0.3">
      <c r="A171">
        <v>7</v>
      </c>
      <c r="B171">
        <v>135000</v>
      </c>
      <c r="C171" t="s">
        <v>45</v>
      </c>
      <c r="D171" t="s">
        <v>37</v>
      </c>
      <c r="E171">
        <v>3.7990999999999997E-2</v>
      </c>
    </row>
    <row r="172" spans="1:5" x14ac:dyDescent="0.3">
      <c r="A172">
        <v>7</v>
      </c>
      <c r="B172">
        <v>135000</v>
      </c>
      <c r="C172" t="s">
        <v>45</v>
      </c>
      <c r="D172" t="s">
        <v>38</v>
      </c>
      <c r="E172">
        <v>3.3259999999999998E-2</v>
      </c>
    </row>
    <row r="173" spans="1:5" x14ac:dyDescent="0.3">
      <c r="A173">
        <v>7</v>
      </c>
      <c r="B173">
        <v>135000</v>
      </c>
      <c r="C173" t="s">
        <v>45</v>
      </c>
      <c r="D173" t="s">
        <v>39</v>
      </c>
      <c r="E173">
        <v>3.6025000000000001E-2</v>
      </c>
    </row>
    <row r="174" spans="1:5" x14ac:dyDescent="0.3">
      <c r="A174">
        <v>7</v>
      </c>
      <c r="B174">
        <v>135000</v>
      </c>
      <c r="C174" t="s">
        <v>45</v>
      </c>
      <c r="D174" t="s">
        <v>40</v>
      </c>
      <c r="E174">
        <v>0.125415</v>
      </c>
    </row>
    <row r="175" spans="1:5" x14ac:dyDescent="0.3">
      <c r="A175">
        <v>7</v>
      </c>
      <c r="B175">
        <v>135000</v>
      </c>
      <c r="C175" t="s">
        <v>45</v>
      </c>
      <c r="D175" t="s">
        <v>41</v>
      </c>
      <c r="E175">
        <v>3.4391999999999999E-2</v>
      </c>
    </row>
    <row r="176" spans="1:5" x14ac:dyDescent="0.3">
      <c r="A176">
        <v>7</v>
      </c>
      <c r="B176">
        <v>135000</v>
      </c>
      <c r="C176" t="s">
        <v>45</v>
      </c>
      <c r="D176" t="s">
        <v>42</v>
      </c>
      <c r="E176">
        <v>2.8566999999999999E-2</v>
      </c>
    </row>
    <row r="177" spans="1:5" x14ac:dyDescent="0.3">
      <c r="A177">
        <v>7</v>
      </c>
      <c r="B177">
        <v>135000</v>
      </c>
      <c r="C177" t="s">
        <v>45</v>
      </c>
      <c r="D177" t="s">
        <v>43</v>
      </c>
      <c r="E177">
        <v>2.4778000000000001E-2</v>
      </c>
    </row>
    <row r="178" spans="1:5" x14ac:dyDescent="0.3">
      <c r="A178">
        <v>7</v>
      </c>
      <c r="B178">
        <v>135000</v>
      </c>
      <c r="C178" t="s">
        <v>46</v>
      </c>
      <c r="D178" t="s">
        <v>28</v>
      </c>
      <c r="E178">
        <v>134999.66134699999</v>
      </c>
    </row>
    <row r="179" spans="1:5" x14ac:dyDescent="0.3">
      <c r="A179">
        <v>7</v>
      </c>
      <c r="B179">
        <v>135000</v>
      </c>
      <c r="C179" t="s">
        <v>46</v>
      </c>
      <c r="D179" t="s">
        <v>29</v>
      </c>
      <c r="E179">
        <v>3.3301999999999998E-2</v>
      </c>
    </row>
    <row r="180" spans="1:5" x14ac:dyDescent="0.3">
      <c r="A180">
        <v>7</v>
      </c>
      <c r="B180">
        <v>135000</v>
      </c>
      <c r="C180" t="s">
        <v>46</v>
      </c>
      <c r="D180" t="s">
        <v>30</v>
      </c>
      <c r="E180">
        <v>2.2374000000000002E-2</v>
      </c>
    </row>
    <row r="181" spans="1:5" x14ac:dyDescent="0.3">
      <c r="A181">
        <v>7</v>
      </c>
      <c r="B181">
        <v>135000</v>
      </c>
      <c r="C181" t="s">
        <v>46</v>
      </c>
      <c r="D181" t="s">
        <v>31</v>
      </c>
      <c r="E181">
        <v>1.8973E-2</v>
      </c>
    </row>
    <row r="182" spans="1:5" x14ac:dyDescent="0.3">
      <c r="A182">
        <v>7</v>
      </c>
      <c r="B182">
        <v>135000</v>
      </c>
      <c r="C182" t="s">
        <v>46</v>
      </c>
      <c r="D182" t="s">
        <v>32</v>
      </c>
      <c r="E182">
        <v>1.9677E-2</v>
      </c>
    </row>
    <row r="183" spans="1:5" x14ac:dyDescent="0.3">
      <c r="A183">
        <v>7</v>
      </c>
      <c r="B183">
        <v>135000</v>
      </c>
      <c r="C183" t="s">
        <v>46</v>
      </c>
      <c r="D183" t="s">
        <v>33</v>
      </c>
      <c r="E183">
        <v>3.3224999999999998E-2</v>
      </c>
    </row>
    <row r="184" spans="1:5" x14ac:dyDescent="0.3">
      <c r="A184">
        <v>7</v>
      </c>
      <c r="B184">
        <v>135000</v>
      </c>
      <c r="C184" t="s">
        <v>46</v>
      </c>
      <c r="D184" t="s">
        <v>34</v>
      </c>
      <c r="E184">
        <v>2.3171000000000001E-2</v>
      </c>
    </row>
    <row r="185" spans="1:5" x14ac:dyDescent="0.3">
      <c r="A185">
        <v>7</v>
      </c>
      <c r="B185">
        <v>135000</v>
      </c>
      <c r="C185" t="s">
        <v>46</v>
      </c>
      <c r="D185" t="s">
        <v>35</v>
      </c>
      <c r="E185">
        <v>5.0902000000000003E-2</v>
      </c>
    </row>
    <row r="186" spans="1:5" x14ac:dyDescent="0.3">
      <c r="A186">
        <v>7</v>
      </c>
      <c r="B186">
        <v>135000</v>
      </c>
      <c r="C186" t="s">
        <v>46</v>
      </c>
      <c r="D186" t="s">
        <v>36</v>
      </c>
      <c r="E186">
        <v>1.9906E-2</v>
      </c>
    </row>
    <row r="187" spans="1:5" x14ac:dyDescent="0.3">
      <c r="A187">
        <v>7</v>
      </c>
      <c r="B187">
        <v>135000</v>
      </c>
      <c r="C187" t="s">
        <v>46</v>
      </c>
      <c r="D187" t="s">
        <v>37</v>
      </c>
      <c r="E187">
        <v>2.6748000000000001E-2</v>
      </c>
    </row>
    <row r="188" spans="1:5" x14ac:dyDescent="0.3">
      <c r="A188">
        <v>7</v>
      </c>
      <c r="B188">
        <v>135000</v>
      </c>
      <c r="C188" t="s">
        <v>46</v>
      </c>
      <c r="D188" t="s">
        <v>38</v>
      </c>
      <c r="E188">
        <v>2.4058E-2</v>
      </c>
    </row>
    <row r="189" spans="1:5" x14ac:dyDescent="0.3">
      <c r="A189">
        <v>7</v>
      </c>
      <c r="B189">
        <v>135000</v>
      </c>
      <c r="C189" t="s">
        <v>46</v>
      </c>
      <c r="D189" t="s">
        <v>39</v>
      </c>
      <c r="E189">
        <v>2.5864999999999999E-2</v>
      </c>
    </row>
    <row r="190" spans="1:5" x14ac:dyDescent="0.3">
      <c r="A190">
        <v>7</v>
      </c>
      <c r="B190">
        <v>135000</v>
      </c>
      <c r="C190" t="s">
        <v>46</v>
      </c>
      <c r="D190" t="s">
        <v>40</v>
      </c>
      <c r="E190">
        <v>8.7891999999999998E-2</v>
      </c>
    </row>
    <row r="191" spans="1:5" x14ac:dyDescent="0.3">
      <c r="A191">
        <v>7</v>
      </c>
      <c r="B191">
        <v>135000</v>
      </c>
      <c r="C191" t="s">
        <v>46</v>
      </c>
      <c r="D191" t="s">
        <v>41</v>
      </c>
      <c r="E191">
        <v>2.545E-2</v>
      </c>
    </row>
    <row r="192" spans="1:5" x14ac:dyDescent="0.3">
      <c r="A192">
        <v>7</v>
      </c>
      <c r="B192">
        <v>135000</v>
      </c>
      <c r="C192" t="s">
        <v>46</v>
      </c>
      <c r="D192" t="s">
        <v>42</v>
      </c>
      <c r="E192">
        <v>2.0990999999999999E-2</v>
      </c>
    </row>
    <row r="193" spans="1:5" x14ac:dyDescent="0.3">
      <c r="A193">
        <v>7</v>
      </c>
      <c r="B193">
        <v>135000</v>
      </c>
      <c r="C193" t="s">
        <v>46</v>
      </c>
      <c r="D193" t="s">
        <v>43</v>
      </c>
      <c r="E193">
        <v>1.8873000000000001E-2</v>
      </c>
    </row>
    <row r="194" spans="1:5" x14ac:dyDescent="0.3">
      <c r="A194">
        <v>7</v>
      </c>
      <c r="B194">
        <v>135000</v>
      </c>
      <c r="C194" t="s">
        <v>47</v>
      </c>
      <c r="D194" t="s">
        <v>28</v>
      </c>
      <c r="E194">
        <v>134999.942966</v>
      </c>
    </row>
    <row r="195" spans="1:5" x14ac:dyDescent="0.3">
      <c r="A195">
        <v>7</v>
      </c>
      <c r="B195">
        <v>135000</v>
      </c>
      <c r="C195" t="s">
        <v>47</v>
      </c>
      <c r="D195" t="s">
        <v>29</v>
      </c>
      <c r="E195">
        <v>4.9379999999999997E-3</v>
      </c>
    </row>
    <row r="196" spans="1:5" x14ac:dyDescent="0.3">
      <c r="A196">
        <v>7</v>
      </c>
      <c r="B196">
        <v>135000</v>
      </c>
      <c r="C196" t="s">
        <v>47</v>
      </c>
      <c r="D196" t="s">
        <v>30</v>
      </c>
      <c r="E196">
        <v>3.3140000000000001E-3</v>
      </c>
    </row>
    <row r="197" spans="1:5" x14ac:dyDescent="0.3">
      <c r="A197">
        <v>7</v>
      </c>
      <c r="B197">
        <v>135000</v>
      </c>
      <c r="C197" t="s">
        <v>47</v>
      </c>
      <c r="D197" t="s">
        <v>31</v>
      </c>
      <c r="E197">
        <v>3.0119999999999999E-3</v>
      </c>
    </row>
    <row r="198" spans="1:5" x14ac:dyDescent="0.3">
      <c r="A198">
        <v>7</v>
      </c>
      <c r="B198">
        <v>135000</v>
      </c>
      <c r="C198" t="s">
        <v>47</v>
      </c>
      <c r="D198" t="s">
        <v>32</v>
      </c>
      <c r="E198">
        <v>3.1549999999999998E-3</v>
      </c>
    </row>
    <row r="199" spans="1:5" x14ac:dyDescent="0.3">
      <c r="A199">
        <v>7</v>
      </c>
      <c r="B199">
        <v>135000</v>
      </c>
      <c r="C199" t="s">
        <v>47</v>
      </c>
      <c r="D199" t="s">
        <v>33</v>
      </c>
      <c r="E199">
        <v>4.9690000000000003E-3</v>
      </c>
    </row>
    <row r="200" spans="1:5" x14ac:dyDescent="0.3">
      <c r="A200">
        <v>7</v>
      </c>
      <c r="B200">
        <v>135000</v>
      </c>
      <c r="C200" t="s">
        <v>47</v>
      </c>
      <c r="D200" t="s">
        <v>34</v>
      </c>
      <c r="E200">
        <v>4.2519999999999997E-3</v>
      </c>
    </row>
    <row r="201" spans="1:5" x14ac:dyDescent="0.3">
      <c r="A201">
        <v>7</v>
      </c>
      <c r="B201">
        <v>135000</v>
      </c>
      <c r="C201" t="s">
        <v>47</v>
      </c>
      <c r="D201" t="s">
        <v>35</v>
      </c>
      <c r="E201">
        <v>6.3340000000000002E-3</v>
      </c>
    </row>
    <row r="202" spans="1:5" x14ac:dyDescent="0.3">
      <c r="A202">
        <v>7</v>
      </c>
      <c r="B202">
        <v>135000</v>
      </c>
      <c r="C202" t="s">
        <v>47</v>
      </c>
      <c r="D202" t="s">
        <v>36</v>
      </c>
      <c r="E202">
        <v>3.0400000000000002E-3</v>
      </c>
    </row>
    <row r="203" spans="1:5" x14ac:dyDescent="0.3">
      <c r="A203">
        <v>7</v>
      </c>
      <c r="B203">
        <v>135000</v>
      </c>
      <c r="C203" t="s">
        <v>47</v>
      </c>
      <c r="D203" t="s">
        <v>37</v>
      </c>
      <c r="E203">
        <v>4.2069999999999998E-3</v>
      </c>
    </row>
    <row r="204" spans="1:5" x14ac:dyDescent="0.3">
      <c r="A204">
        <v>7</v>
      </c>
      <c r="B204">
        <v>135000</v>
      </c>
      <c r="C204" t="s">
        <v>47</v>
      </c>
      <c r="D204" t="s">
        <v>38</v>
      </c>
      <c r="E204">
        <v>3.8570000000000002E-3</v>
      </c>
    </row>
    <row r="205" spans="1:5" x14ac:dyDescent="0.3">
      <c r="A205">
        <v>7</v>
      </c>
      <c r="B205">
        <v>135000</v>
      </c>
      <c r="C205" t="s">
        <v>47</v>
      </c>
      <c r="D205" t="s">
        <v>39</v>
      </c>
      <c r="E205">
        <v>4.2630000000000003E-3</v>
      </c>
    </row>
    <row r="206" spans="1:5" x14ac:dyDescent="0.3">
      <c r="A206">
        <v>7</v>
      </c>
      <c r="B206">
        <v>135000</v>
      </c>
      <c r="C206" t="s">
        <v>47</v>
      </c>
      <c r="D206" t="s">
        <v>40</v>
      </c>
      <c r="E206">
        <v>1.5036000000000001E-2</v>
      </c>
    </row>
    <row r="207" spans="1:5" x14ac:dyDescent="0.3">
      <c r="A207">
        <v>7</v>
      </c>
      <c r="B207">
        <v>135000</v>
      </c>
      <c r="C207" t="s">
        <v>47</v>
      </c>
      <c r="D207" t="s">
        <v>41</v>
      </c>
      <c r="E207">
        <v>4.1479999999999998E-3</v>
      </c>
    </row>
    <row r="208" spans="1:5" x14ac:dyDescent="0.3">
      <c r="A208">
        <v>7</v>
      </c>
      <c r="B208">
        <v>135000</v>
      </c>
      <c r="C208" t="s">
        <v>47</v>
      </c>
      <c r="D208" t="s">
        <v>42</v>
      </c>
      <c r="E208">
        <v>3.7650000000000001E-3</v>
      </c>
    </row>
    <row r="209" spans="1:5" x14ac:dyDescent="0.3">
      <c r="A209">
        <v>7</v>
      </c>
      <c r="B209">
        <v>135000</v>
      </c>
      <c r="C209" t="s">
        <v>47</v>
      </c>
      <c r="D209" t="s">
        <v>43</v>
      </c>
      <c r="E209">
        <v>3.411E-3</v>
      </c>
    </row>
    <row r="210" spans="1:5" x14ac:dyDescent="0.3">
      <c r="A210">
        <v>8</v>
      </c>
      <c r="B210">
        <v>140000</v>
      </c>
      <c r="C210" t="s">
        <v>45</v>
      </c>
      <c r="D210" t="s">
        <v>28</v>
      </c>
      <c r="E210">
        <v>139999.70452699999</v>
      </c>
    </row>
    <row r="211" spans="1:5" x14ac:dyDescent="0.3">
      <c r="A211">
        <v>8</v>
      </c>
      <c r="B211">
        <v>140000</v>
      </c>
      <c r="C211" t="s">
        <v>45</v>
      </c>
      <c r="D211" t="s">
        <v>29</v>
      </c>
      <c r="E211">
        <v>2.3200999999999999E-2</v>
      </c>
    </row>
    <row r="212" spans="1:5" x14ac:dyDescent="0.3">
      <c r="A212">
        <v>8</v>
      </c>
      <c r="B212">
        <v>140000</v>
      </c>
      <c r="C212" t="s">
        <v>45</v>
      </c>
      <c r="D212" t="s">
        <v>30</v>
      </c>
      <c r="E212">
        <v>1.1832000000000001E-2</v>
      </c>
    </row>
    <row r="213" spans="1:5" x14ac:dyDescent="0.3">
      <c r="A213">
        <v>8</v>
      </c>
      <c r="B213">
        <v>140000</v>
      </c>
      <c r="C213" t="s">
        <v>45</v>
      </c>
      <c r="D213" t="s">
        <v>31</v>
      </c>
      <c r="E213">
        <v>1.0421E-2</v>
      </c>
    </row>
    <row r="214" spans="1:5" x14ac:dyDescent="0.3">
      <c r="A214">
        <v>8</v>
      </c>
      <c r="B214">
        <v>140000</v>
      </c>
      <c r="C214" t="s">
        <v>45</v>
      </c>
      <c r="D214" t="s">
        <v>32</v>
      </c>
      <c r="E214">
        <v>1.0584E-2</v>
      </c>
    </row>
    <row r="215" spans="1:5" x14ac:dyDescent="0.3">
      <c r="A215">
        <v>8</v>
      </c>
      <c r="B215">
        <v>140000</v>
      </c>
      <c r="C215" t="s">
        <v>45</v>
      </c>
      <c r="D215" t="s">
        <v>33</v>
      </c>
      <c r="E215">
        <v>2.2457999999999999E-2</v>
      </c>
    </row>
    <row r="216" spans="1:5" x14ac:dyDescent="0.3">
      <c r="A216">
        <v>8</v>
      </c>
      <c r="B216">
        <v>140000</v>
      </c>
      <c r="C216" t="s">
        <v>45</v>
      </c>
      <c r="D216" t="s">
        <v>34</v>
      </c>
      <c r="E216">
        <v>1.3353E-2</v>
      </c>
    </row>
    <row r="217" spans="1:5" x14ac:dyDescent="0.3">
      <c r="A217">
        <v>8</v>
      </c>
      <c r="B217">
        <v>140000</v>
      </c>
      <c r="C217" t="s">
        <v>45</v>
      </c>
      <c r="D217" t="s">
        <v>35</v>
      </c>
      <c r="E217">
        <v>8.5181000000000007E-2</v>
      </c>
    </row>
    <row r="218" spans="1:5" x14ac:dyDescent="0.3">
      <c r="A218">
        <v>8</v>
      </c>
      <c r="B218">
        <v>140000</v>
      </c>
      <c r="C218" t="s">
        <v>45</v>
      </c>
      <c r="D218" t="s">
        <v>36</v>
      </c>
      <c r="E218">
        <v>1.0423E-2</v>
      </c>
    </row>
    <row r="219" spans="1:5" x14ac:dyDescent="0.3">
      <c r="A219">
        <v>8</v>
      </c>
      <c r="B219">
        <v>140000</v>
      </c>
      <c r="C219" t="s">
        <v>45</v>
      </c>
      <c r="D219" t="s">
        <v>37</v>
      </c>
      <c r="E219">
        <v>1.6806000000000001E-2</v>
      </c>
    </row>
    <row r="220" spans="1:5" x14ac:dyDescent="0.3">
      <c r="A220">
        <v>8</v>
      </c>
      <c r="B220">
        <v>140000</v>
      </c>
      <c r="C220" t="s">
        <v>45</v>
      </c>
      <c r="D220" t="s">
        <v>38</v>
      </c>
      <c r="E220">
        <v>1.3889E-2</v>
      </c>
    </row>
    <row r="221" spans="1:5" x14ac:dyDescent="0.3">
      <c r="A221">
        <v>8</v>
      </c>
      <c r="B221">
        <v>140000</v>
      </c>
      <c r="C221" t="s">
        <v>45</v>
      </c>
      <c r="D221" t="s">
        <v>39</v>
      </c>
      <c r="E221">
        <v>1.5403999999999999E-2</v>
      </c>
    </row>
    <row r="222" spans="1:5" x14ac:dyDescent="0.3">
      <c r="A222">
        <v>8</v>
      </c>
      <c r="B222">
        <v>140000</v>
      </c>
      <c r="C222" t="s">
        <v>45</v>
      </c>
      <c r="D222" t="s">
        <v>40</v>
      </c>
      <c r="E222">
        <v>4.7688000000000001E-2</v>
      </c>
    </row>
    <row r="223" spans="1:5" x14ac:dyDescent="0.3">
      <c r="A223">
        <v>8</v>
      </c>
      <c r="B223">
        <v>140000</v>
      </c>
      <c r="C223" t="s">
        <v>45</v>
      </c>
      <c r="D223" t="s">
        <v>41</v>
      </c>
      <c r="E223">
        <v>1.4533000000000001E-2</v>
      </c>
    </row>
    <row r="224" spans="1:5" x14ac:dyDescent="0.3">
      <c r="A224">
        <v>8</v>
      </c>
      <c r="B224">
        <v>140000</v>
      </c>
      <c r="C224" t="s">
        <v>45</v>
      </c>
      <c r="D224" t="s">
        <v>42</v>
      </c>
      <c r="E224">
        <v>1.1039E-2</v>
      </c>
    </row>
    <row r="225" spans="1:5" x14ac:dyDescent="0.3">
      <c r="A225">
        <v>8</v>
      </c>
      <c r="B225">
        <v>140000</v>
      </c>
      <c r="C225" t="s">
        <v>45</v>
      </c>
      <c r="D225" t="s">
        <v>43</v>
      </c>
      <c r="E225">
        <v>8.9490000000000004E-3</v>
      </c>
    </row>
    <row r="226" spans="1:5" x14ac:dyDescent="0.3">
      <c r="A226">
        <v>8</v>
      </c>
      <c r="B226">
        <v>140000</v>
      </c>
      <c r="C226" t="s">
        <v>46</v>
      </c>
      <c r="D226" t="s">
        <v>28</v>
      </c>
      <c r="E226">
        <v>139999.74016099999</v>
      </c>
    </row>
    <row r="227" spans="1:5" x14ac:dyDescent="0.3">
      <c r="A227">
        <v>8</v>
      </c>
      <c r="B227">
        <v>140000</v>
      </c>
      <c r="C227" t="s">
        <v>46</v>
      </c>
      <c r="D227" t="s">
        <v>29</v>
      </c>
      <c r="E227">
        <v>2.4580000000000001E-2</v>
      </c>
    </row>
    <row r="228" spans="1:5" x14ac:dyDescent="0.3">
      <c r="A228">
        <v>8</v>
      </c>
      <c r="B228">
        <v>140000</v>
      </c>
      <c r="C228" t="s">
        <v>46</v>
      </c>
      <c r="D228" t="s">
        <v>30</v>
      </c>
      <c r="E228">
        <v>1.6267E-2</v>
      </c>
    </row>
    <row r="229" spans="1:5" x14ac:dyDescent="0.3">
      <c r="A229">
        <v>8</v>
      </c>
      <c r="B229">
        <v>140000</v>
      </c>
      <c r="C229" t="s">
        <v>46</v>
      </c>
      <c r="D229" t="s">
        <v>31</v>
      </c>
      <c r="E229">
        <v>1.4341E-2</v>
      </c>
    </row>
    <row r="230" spans="1:5" x14ac:dyDescent="0.3">
      <c r="A230">
        <v>8</v>
      </c>
      <c r="B230">
        <v>140000</v>
      </c>
      <c r="C230" t="s">
        <v>46</v>
      </c>
      <c r="D230" t="s">
        <v>32</v>
      </c>
      <c r="E230">
        <v>1.4801E-2</v>
      </c>
    </row>
    <row r="231" spans="1:5" x14ac:dyDescent="0.3">
      <c r="A231">
        <v>8</v>
      </c>
      <c r="B231">
        <v>140000</v>
      </c>
      <c r="C231" t="s">
        <v>46</v>
      </c>
      <c r="D231" t="s">
        <v>33</v>
      </c>
      <c r="E231">
        <v>2.5981000000000001E-2</v>
      </c>
    </row>
    <row r="232" spans="1:5" x14ac:dyDescent="0.3">
      <c r="A232">
        <v>8</v>
      </c>
      <c r="B232">
        <v>140000</v>
      </c>
      <c r="C232" t="s">
        <v>46</v>
      </c>
      <c r="D232" t="s">
        <v>34</v>
      </c>
      <c r="E232">
        <v>1.7765E-2</v>
      </c>
    </row>
    <row r="233" spans="1:5" x14ac:dyDescent="0.3">
      <c r="A233">
        <v>8</v>
      </c>
      <c r="B233">
        <v>140000</v>
      </c>
      <c r="C233" t="s">
        <v>46</v>
      </c>
      <c r="D233" t="s">
        <v>35</v>
      </c>
      <c r="E233">
        <v>3.8783999999999999E-2</v>
      </c>
    </row>
    <row r="234" spans="1:5" x14ac:dyDescent="0.3">
      <c r="A234">
        <v>8</v>
      </c>
      <c r="B234">
        <v>140000</v>
      </c>
      <c r="C234" t="s">
        <v>46</v>
      </c>
      <c r="D234" t="s">
        <v>36</v>
      </c>
      <c r="E234">
        <v>1.5166000000000001E-2</v>
      </c>
    </row>
    <row r="235" spans="1:5" x14ac:dyDescent="0.3">
      <c r="A235">
        <v>8</v>
      </c>
      <c r="B235">
        <v>140000</v>
      </c>
      <c r="C235" t="s">
        <v>46</v>
      </c>
      <c r="D235" t="s">
        <v>37</v>
      </c>
      <c r="E235">
        <v>2.0105000000000001E-2</v>
      </c>
    </row>
    <row r="236" spans="1:5" x14ac:dyDescent="0.3">
      <c r="A236">
        <v>8</v>
      </c>
      <c r="B236">
        <v>140000</v>
      </c>
      <c r="C236" t="s">
        <v>46</v>
      </c>
      <c r="D236" t="s">
        <v>38</v>
      </c>
      <c r="E236">
        <v>1.8069000000000002E-2</v>
      </c>
    </row>
    <row r="237" spans="1:5" x14ac:dyDescent="0.3">
      <c r="A237">
        <v>8</v>
      </c>
      <c r="B237">
        <v>140000</v>
      </c>
      <c r="C237" t="s">
        <v>46</v>
      </c>
      <c r="D237" t="s">
        <v>39</v>
      </c>
      <c r="E237">
        <v>1.9251999999999998E-2</v>
      </c>
    </row>
    <row r="238" spans="1:5" x14ac:dyDescent="0.3">
      <c r="A238">
        <v>8</v>
      </c>
      <c r="B238">
        <v>140000</v>
      </c>
      <c r="C238" t="s">
        <v>46</v>
      </c>
      <c r="D238" t="s">
        <v>40</v>
      </c>
      <c r="E238">
        <v>6.5275E-2</v>
      </c>
    </row>
    <row r="239" spans="1:5" x14ac:dyDescent="0.3">
      <c r="A239">
        <v>8</v>
      </c>
      <c r="B239">
        <v>140000</v>
      </c>
      <c r="C239" t="s">
        <v>46</v>
      </c>
      <c r="D239" t="s">
        <v>41</v>
      </c>
      <c r="E239">
        <v>1.9446999999999999E-2</v>
      </c>
    </row>
    <row r="240" spans="1:5" x14ac:dyDescent="0.3">
      <c r="A240">
        <v>8</v>
      </c>
      <c r="B240">
        <v>140000</v>
      </c>
      <c r="C240" t="s">
        <v>46</v>
      </c>
      <c r="D240" t="s">
        <v>42</v>
      </c>
      <c r="E240">
        <v>1.5900999999999998E-2</v>
      </c>
    </row>
    <row r="241" spans="1:5" x14ac:dyDescent="0.3">
      <c r="A241">
        <v>8</v>
      </c>
      <c r="B241">
        <v>140000</v>
      </c>
      <c r="C241" t="s">
        <v>46</v>
      </c>
      <c r="D241" t="s">
        <v>43</v>
      </c>
      <c r="E241">
        <v>1.4402E-2</v>
      </c>
    </row>
    <row r="242" spans="1:5" x14ac:dyDescent="0.3">
      <c r="A242">
        <v>8</v>
      </c>
      <c r="B242">
        <v>140000</v>
      </c>
      <c r="C242" t="s">
        <v>47</v>
      </c>
      <c r="D242" t="s">
        <v>28</v>
      </c>
      <c r="E242">
        <v>138709.150945</v>
      </c>
    </row>
    <row r="243" spans="1:5" x14ac:dyDescent="0.3">
      <c r="A243">
        <v>8</v>
      </c>
      <c r="B243">
        <v>140000</v>
      </c>
      <c r="C243" t="s">
        <v>47</v>
      </c>
      <c r="D243" t="s">
        <v>29</v>
      </c>
      <c r="E243">
        <v>1.8176000000000001E-2</v>
      </c>
    </row>
    <row r="244" spans="1:5" x14ac:dyDescent="0.3">
      <c r="A244">
        <v>8</v>
      </c>
      <c r="B244">
        <v>140000</v>
      </c>
      <c r="C244" t="s">
        <v>47</v>
      </c>
      <c r="D244" t="s">
        <v>30</v>
      </c>
      <c r="E244">
        <v>1.1390000000000001E-2</v>
      </c>
    </row>
    <row r="245" spans="1:5" x14ac:dyDescent="0.3">
      <c r="A245">
        <v>8</v>
      </c>
      <c r="B245">
        <v>140000</v>
      </c>
      <c r="C245" t="s">
        <v>47</v>
      </c>
      <c r="D245" t="s">
        <v>31</v>
      </c>
      <c r="E245">
        <v>6.4079999999999996E-3</v>
      </c>
    </row>
    <row r="246" spans="1:5" x14ac:dyDescent="0.3">
      <c r="A246">
        <v>8</v>
      </c>
      <c r="B246">
        <v>140000</v>
      </c>
      <c r="C246" t="s">
        <v>47</v>
      </c>
      <c r="D246" t="s">
        <v>32</v>
      </c>
      <c r="E246">
        <v>6.8719999999999996E-3</v>
      </c>
    </row>
    <row r="247" spans="1:5" x14ac:dyDescent="0.3">
      <c r="A247">
        <v>8</v>
      </c>
      <c r="B247">
        <v>140000</v>
      </c>
      <c r="C247" t="s">
        <v>47</v>
      </c>
      <c r="D247" t="s">
        <v>33</v>
      </c>
      <c r="E247">
        <v>2.8695999999999999E-2</v>
      </c>
    </row>
    <row r="248" spans="1:5" x14ac:dyDescent="0.3">
      <c r="A248">
        <v>8</v>
      </c>
      <c r="B248">
        <v>140000</v>
      </c>
      <c r="C248" t="s">
        <v>47</v>
      </c>
      <c r="D248" t="s">
        <v>34</v>
      </c>
      <c r="E248">
        <v>1.663824</v>
      </c>
    </row>
    <row r="249" spans="1:5" x14ac:dyDescent="0.3">
      <c r="A249">
        <v>8</v>
      </c>
      <c r="B249">
        <v>140000</v>
      </c>
      <c r="C249" t="s">
        <v>47</v>
      </c>
      <c r="D249" t="s">
        <v>35</v>
      </c>
      <c r="E249">
        <v>1289.0433169999999</v>
      </c>
    </row>
    <row r="250" spans="1:5" x14ac:dyDescent="0.3">
      <c r="A250">
        <v>8</v>
      </c>
      <c r="B250">
        <v>140000</v>
      </c>
      <c r="C250" t="s">
        <v>47</v>
      </c>
      <c r="D250" t="s">
        <v>36</v>
      </c>
      <c r="E250">
        <v>7.345E-3</v>
      </c>
    </row>
    <row r="251" spans="1:5" x14ac:dyDescent="0.3">
      <c r="A251">
        <v>8</v>
      </c>
      <c r="B251">
        <v>140000</v>
      </c>
      <c r="C251" t="s">
        <v>47</v>
      </c>
      <c r="D251" t="s">
        <v>37</v>
      </c>
      <c r="E251">
        <v>1.1783999999999999E-2</v>
      </c>
    </row>
    <row r="252" spans="1:5" x14ac:dyDescent="0.3">
      <c r="A252">
        <v>8</v>
      </c>
      <c r="B252">
        <v>140000</v>
      </c>
      <c r="C252" t="s">
        <v>47</v>
      </c>
      <c r="D252" t="s">
        <v>38</v>
      </c>
      <c r="E252">
        <v>1.009E-2</v>
      </c>
    </row>
    <row r="253" spans="1:5" x14ac:dyDescent="0.3">
      <c r="A253">
        <v>8</v>
      </c>
      <c r="B253">
        <v>140000</v>
      </c>
      <c r="C253" t="s">
        <v>47</v>
      </c>
      <c r="D253" t="s">
        <v>39</v>
      </c>
      <c r="E253">
        <v>1.2383E-2</v>
      </c>
    </row>
    <row r="254" spans="1:5" x14ac:dyDescent="0.3">
      <c r="A254">
        <v>8</v>
      </c>
      <c r="B254">
        <v>140000</v>
      </c>
      <c r="C254" t="s">
        <v>47</v>
      </c>
      <c r="D254" t="s">
        <v>40</v>
      </c>
      <c r="E254">
        <v>3.4851E-2</v>
      </c>
    </row>
    <row r="255" spans="1:5" x14ac:dyDescent="0.3">
      <c r="A255">
        <v>8</v>
      </c>
      <c r="B255">
        <v>140000</v>
      </c>
      <c r="C255" t="s">
        <v>47</v>
      </c>
      <c r="D255" t="s">
        <v>41</v>
      </c>
      <c r="E255">
        <v>1.1669000000000001E-2</v>
      </c>
    </row>
    <row r="256" spans="1:5" x14ac:dyDescent="0.3">
      <c r="A256">
        <v>8</v>
      </c>
      <c r="B256">
        <v>140000</v>
      </c>
      <c r="C256" t="s">
        <v>47</v>
      </c>
      <c r="D256" t="s">
        <v>42</v>
      </c>
      <c r="E256">
        <v>1.0807000000000001E-2</v>
      </c>
    </row>
    <row r="257" spans="1:5" x14ac:dyDescent="0.3">
      <c r="A257">
        <v>8</v>
      </c>
      <c r="B257">
        <v>140000</v>
      </c>
      <c r="C257" t="s">
        <v>47</v>
      </c>
      <c r="D257" t="s">
        <v>43</v>
      </c>
      <c r="E257">
        <v>7.1079999999999997E-3</v>
      </c>
    </row>
    <row r="258" spans="1:5" x14ac:dyDescent="0.3">
      <c r="A258">
        <v>9</v>
      </c>
      <c r="B258">
        <v>145000</v>
      </c>
      <c r="C258" t="s">
        <v>45</v>
      </c>
      <c r="D258" t="s">
        <v>28</v>
      </c>
      <c r="E258">
        <v>141159.07797799999</v>
      </c>
    </row>
    <row r="259" spans="1:5" x14ac:dyDescent="0.3">
      <c r="A259">
        <v>9</v>
      </c>
      <c r="B259">
        <v>145000</v>
      </c>
      <c r="C259" t="s">
        <v>45</v>
      </c>
      <c r="D259" t="s">
        <v>29</v>
      </c>
      <c r="E259">
        <v>0.10145</v>
      </c>
    </row>
    <row r="260" spans="1:5" x14ac:dyDescent="0.3">
      <c r="A260">
        <v>9</v>
      </c>
      <c r="B260">
        <v>145000</v>
      </c>
      <c r="C260" t="s">
        <v>45</v>
      </c>
      <c r="D260" t="s">
        <v>30</v>
      </c>
      <c r="E260">
        <v>4.2258999999999998E-2</v>
      </c>
    </row>
    <row r="261" spans="1:5" x14ac:dyDescent="0.3">
      <c r="A261">
        <v>9</v>
      </c>
      <c r="B261">
        <v>145000</v>
      </c>
      <c r="C261" t="s">
        <v>45</v>
      </c>
      <c r="D261" t="s">
        <v>31</v>
      </c>
      <c r="E261">
        <v>3.7184000000000002E-2</v>
      </c>
    </row>
    <row r="262" spans="1:5" x14ac:dyDescent="0.3">
      <c r="A262">
        <v>9</v>
      </c>
      <c r="B262">
        <v>145000</v>
      </c>
      <c r="C262" t="s">
        <v>45</v>
      </c>
      <c r="D262" t="s">
        <v>32</v>
      </c>
      <c r="E262">
        <v>3.8405000000000002E-2</v>
      </c>
    </row>
    <row r="263" spans="1:5" x14ac:dyDescent="0.3">
      <c r="A263">
        <v>9</v>
      </c>
      <c r="B263">
        <v>145000</v>
      </c>
      <c r="C263" t="s">
        <v>45</v>
      </c>
      <c r="D263" t="s">
        <v>33</v>
      </c>
      <c r="E263">
        <v>9.3418000000000001E-2</v>
      </c>
    </row>
    <row r="264" spans="1:5" x14ac:dyDescent="0.3">
      <c r="A264">
        <v>9</v>
      </c>
      <c r="B264">
        <v>145000</v>
      </c>
      <c r="C264" t="s">
        <v>45</v>
      </c>
      <c r="D264" t="s">
        <v>34</v>
      </c>
      <c r="E264">
        <v>4.6651999999999999E-2</v>
      </c>
    </row>
    <row r="265" spans="1:5" x14ac:dyDescent="0.3">
      <c r="A265">
        <v>9</v>
      </c>
      <c r="B265">
        <v>145000</v>
      </c>
      <c r="C265" t="s">
        <v>45</v>
      </c>
      <c r="D265" t="s">
        <v>35</v>
      </c>
      <c r="E265">
        <v>3840.0879839999998</v>
      </c>
    </row>
    <row r="266" spans="1:5" x14ac:dyDescent="0.3">
      <c r="A266">
        <v>9</v>
      </c>
      <c r="B266">
        <v>145000</v>
      </c>
      <c r="C266" t="s">
        <v>45</v>
      </c>
      <c r="D266" t="s">
        <v>36</v>
      </c>
      <c r="E266">
        <v>3.6454E-2</v>
      </c>
    </row>
    <row r="267" spans="1:5" x14ac:dyDescent="0.3">
      <c r="A267">
        <v>9</v>
      </c>
      <c r="B267">
        <v>145000</v>
      </c>
      <c r="C267" t="s">
        <v>45</v>
      </c>
      <c r="D267" t="s">
        <v>37</v>
      </c>
      <c r="E267">
        <v>6.6166000000000003E-2</v>
      </c>
    </row>
    <row r="268" spans="1:5" x14ac:dyDescent="0.3">
      <c r="A268">
        <v>9</v>
      </c>
      <c r="B268">
        <v>145000</v>
      </c>
      <c r="C268" t="s">
        <v>45</v>
      </c>
      <c r="D268" t="s">
        <v>38</v>
      </c>
      <c r="E268">
        <v>5.4092000000000001E-2</v>
      </c>
    </row>
    <row r="269" spans="1:5" x14ac:dyDescent="0.3">
      <c r="A269">
        <v>9</v>
      </c>
      <c r="B269">
        <v>145000</v>
      </c>
      <c r="C269" t="s">
        <v>45</v>
      </c>
      <c r="D269" t="s">
        <v>39</v>
      </c>
      <c r="E269">
        <v>5.9061000000000002E-2</v>
      </c>
    </row>
    <row r="270" spans="1:5" x14ac:dyDescent="0.3">
      <c r="A270">
        <v>9</v>
      </c>
      <c r="B270">
        <v>145000</v>
      </c>
      <c r="C270" t="s">
        <v>45</v>
      </c>
      <c r="D270" t="s">
        <v>40</v>
      </c>
      <c r="E270">
        <v>0.170072</v>
      </c>
    </row>
    <row r="271" spans="1:5" x14ac:dyDescent="0.3">
      <c r="A271">
        <v>9</v>
      </c>
      <c r="B271">
        <v>145000</v>
      </c>
      <c r="C271" t="s">
        <v>45</v>
      </c>
      <c r="D271" t="s">
        <v>41</v>
      </c>
      <c r="E271">
        <v>5.4335000000000001E-2</v>
      </c>
    </row>
    <row r="272" spans="1:5" x14ac:dyDescent="0.3">
      <c r="A272">
        <v>9</v>
      </c>
      <c r="B272">
        <v>145000</v>
      </c>
      <c r="C272" t="s">
        <v>45</v>
      </c>
      <c r="D272" t="s">
        <v>42</v>
      </c>
      <c r="E272">
        <v>3.8924E-2</v>
      </c>
    </row>
    <row r="273" spans="1:5" x14ac:dyDescent="0.3">
      <c r="A273">
        <v>9</v>
      </c>
      <c r="B273">
        <v>145000</v>
      </c>
      <c r="C273" t="s">
        <v>45</v>
      </c>
      <c r="D273" t="s">
        <v>43</v>
      </c>
      <c r="E273">
        <v>3.0086000000000002E-2</v>
      </c>
    </row>
    <row r="274" spans="1:5" x14ac:dyDescent="0.3">
      <c r="A274">
        <v>9</v>
      </c>
      <c r="B274">
        <v>145000</v>
      </c>
      <c r="C274" t="s">
        <v>46</v>
      </c>
      <c r="D274" t="s">
        <v>28</v>
      </c>
      <c r="E274">
        <v>140708.71737500001</v>
      </c>
    </row>
    <row r="275" spans="1:5" x14ac:dyDescent="0.3">
      <c r="A275">
        <v>9</v>
      </c>
      <c r="B275">
        <v>145000</v>
      </c>
      <c r="C275" t="s">
        <v>46</v>
      </c>
      <c r="D275" t="s">
        <v>29</v>
      </c>
      <c r="E275">
        <v>1.1899E-2</v>
      </c>
    </row>
    <row r="276" spans="1:5" x14ac:dyDescent="0.3">
      <c r="A276">
        <v>9</v>
      </c>
      <c r="B276">
        <v>145000</v>
      </c>
      <c r="C276" t="s">
        <v>46</v>
      </c>
      <c r="D276" t="s">
        <v>30</v>
      </c>
      <c r="E276">
        <v>4.9309999999999996E-3</v>
      </c>
    </row>
    <row r="277" spans="1:5" x14ac:dyDescent="0.3">
      <c r="A277">
        <v>9</v>
      </c>
      <c r="B277">
        <v>145000</v>
      </c>
      <c r="C277" t="s">
        <v>46</v>
      </c>
      <c r="D277" t="s">
        <v>31</v>
      </c>
      <c r="E277">
        <v>4.1409999999999997E-3</v>
      </c>
    </row>
    <row r="278" spans="1:5" x14ac:dyDescent="0.3">
      <c r="A278">
        <v>9</v>
      </c>
      <c r="B278">
        <v>145000</v>
      </c>
      <c r="C278" t="s">
        <v>46</v>
      </c>
      <c r="D278" t="s">
        <v>32</v>
      </c>
      <c r="E278">
        <v>4.3449999999999999E-3</v>
      </c>
    </row>
    <row r="279" spans="1:5" x14ac:dyDescent="0.3">
      <c r="A279">
        <v>9</v>
      </c>
      <c r="B279">
        <v>145000</v>
      </c>
      <c r="C279" t="s">
        <v>46</v>
      </c>
      <c r="D279" t="s">
        <v>33</v>
      </c>
      <c r="E279">
        <v>1.5325999999999999E-2</v>
      </c>
    </row>
    <row r="280" spans="1:5" x14ac:dyDescent="0.3">
      <c r="A280">
        <v>9</v>
      </c>
      <c r="B280">
        <v>145000</v>
      </c>
      <c r="C280" t="s">
        <v>46</v>
      </c>
      <c r="D280" t="s">
        <v>34</v>
      </c>
      <c r="E280">
        <v>6.1260000000000004E-3</v>
      </c>
    </row>
    <row r="281" spans="1:5" x14ac:dyDescent="0.3">
      <c r="A281">
        <v>9</v>
      </c>
      <c r="B281">
        <v>145000</v>
      </c>
      <c r="C281" t="s">
        <v>46</v>
      </c>
      <c r="D281" t="s">
        <v>35</v>
      </c>
      <c r="E281">
        <v>4291.1881720000001</v>
      </c>
    </row>
    <row r="282" spans="1:5" x14ac:dyDescent="0.3">
      <c r="A282">
        <v>9</v>
      </c>
      <c r="B282">
        <v>145000</v>
      </c>
      <c r="C282" t="s">
        <v>46</v>
      </c>
      <c r="D282" t="s">
        <v>36</v>
      </c>
      <c r="E282">
        <v>4.5500000000000002E-3</v>
      </c>
    </row>
    <row r="283" spans="1:5" x14ac:dyDescent="0.3">
      <c r="A283">
        <v>9</v>
      </c>
      <c r="B283">
        <v>145000</v>
      </c>
      <c r="C283" t="s">
        <v>46</v>
      </c>
      <c r="D283" t="s">
        <v>37</v>
      </c>
      <c r="E283">
        <v>7.626E-3</v>
      </c>
    </row>
    <row r="284" spans="1:5" x14ac:dyDescent="0.3">
      <c r="A284">
        <v>9</v>
      </c>
      <c r="B284">
        <v>145000</v>
      </c>
      <c r="C284" t="s">
        <v>46</v>
      </c>
      <c r="D284" t="s">
        <v>38</v>
      </c>
      <c r="E284">
        <v>6.2329999999999998E-3</v>
      </c>
    </row>
    <row r="285" spans="1:5" x14ac:dyDescent="0.3">
      <c r="A285">
        <v>9</v>
      </c>
      <c r="B285">
        <v>145000</v>
      </c>
      <c r="C285" t="s">
        <v>46</v>
      </c>
      <c r="D285" t="s">
        <v>39</v>
      </c>
      <c r="E285">
        <v>6.9280000000000001E-3</v>
      </c>
    </row>
    <row r="286" spans="1:5" x14ac:dyDescent="0.3">
      <c r="A286">
        <v>9</v>
      </c>
      <c r="B286">
        <v>145000</v>
      </c>
      <c r="C286" t="s">
        <v>46</v>
      </c>
      <c r="D286" t="s">
        <v>40</v>
      </c>
      <c r="E286">
        <v>2.0011000000000001E-2</v>
      </c>
    </row>
    <row r="287" spans="1:5" x14ac:dyDescent="0.3">
      <c r="A287">
        <v>9</v>
      </c>
      <c r="B287">
        <v>145000</v>
      </c>
      <c r="C287" t="s">
        <v>46</v>
      </c>
      <c r="D287" t="s">
        <v>41</v>
      </c>
      <c r="E287">
        <v>7.1040000000000001E-3</v>
      </c>
    </row>
    <row r="288" spans="1:5" x14ac:dyDescent="0.3">
      <c r="A288">
        <v>9</v>
      </c>
      <c r="B288">
        <v>145000</v>
      </c>
      <c r="C288" t="s">
        <v>46</v>
      </c>
      <c r="D288" t="s">
        <v>42</v>
      </c>
      <c r="E288">
        <v>4.8869999999999999E-3</v>
      </c>
    </row>
    <row r="289" spans="1:5" x14ac:dyDescent="0.3">
      <c r="A289">
        <v>9</v>
      </c>
      <c r="B289">
        <v>145000</v>
      </c>
      <c r="C289" t="s">
        <v>46</v>
      </c>
      <c r="D289" t="s">
        <v>43</v>
      </c>
      <c r="E289">
        <v>4.1570000000000001E-3</v>
      </c>
    </row>
    <row r="290" spans="1:5" x14ac:dyDescent="0.3">
      <c r="A290">
        <v>9</v>
      </c>
      <c r="B290">
        <v>145000</v>
      </c>
      <c r="C290" t="s">
        <v>47</v>
      </c>
      <c r="D290" t="s">
        <v>28</v>
      </c>
      <c r="E290">
        <v>139885.583828</v>
      </c>
    </row>
    <row r="291" spans="1:5" x14ac:dyDescent="0.3">
      <c r="A291">
        <v>9</v>
      </c>
      <c r="B291">
        <v>145000</v>
      </c>
      <c r="C291" t="s">
        <v>47</v>
      </c>
      <c r="D291" t="s">
        <v>29</v>
      </c>
      <c r="E291">
        <v>3.8205999999999997E-2</v>
      </c>
    </row>
    <row r="292" spans="1:5" x14ac:dyDescent="0.3">
      <c r="A292">
        <v>9</v>
      </c>
      <c r="B292">
        <v>145000</v>
      </c>
      <c r="C292" t="s">
        <v>47</v>
      </c>
      <c r="D292" t="s">
        <v>30</v>
      </c>
      <c r="E292">
        <v>1.6160000000000001E-2</v>
      </c>
    </row>
    <row r="293" spans="1:5" x14ac:dyDescent="0.3">
      <c r="A293">
        <v>9</v>
      </c>
      <c r="B293">
        <v>145000</v>
      </c>
      <c r="C293" t="s">
        <v>47</v>
      </c>
      <c r="D293" t="s">
        <v>31</v>
      </c>
      <c r="E293">
        <v>1.3180000000000001E-2</v>
      </c>
    </row>
    <row r="294" spans="1:5" x14ac:dyDescent="0.3">
      <c r="A294">
        <v>9</v>
      </c>
      <c r="B294">
        <v>145000</v>
      </c>
      <c r="C294" t="s">
        <v>47</v>
      </c>
      <c r="D294" t="s">
        <v>32</v>
      </c>
      <c r="E294">
        <v>1.4076999999999999E-2</v>
      </c>
    </row>
    <row r="295" spans="1:5" x14ac:dyDescent="0.3">
      <c r="A295">
        <v>9</v>
      </c>
      <c r="B295">
        <v>145000</v>
      </c>
      <c r="C295" t="s">
        <v>47</v>
      </c>
      <c r="D295" t="s">
        <v>33</v>
      </c>
      <c r="E295">
        <v>5.7617000000000002E-2</v>
      </c>
    </row>
    <row r="296" spans="1:5" x14ac:dyDescent="0.3">
      <c r="A296">
        <v>9</v>
      </c>
      <c r="B296">
        <v>145000</v>
      </c>
      <c r="C296" t="s">
        <v>47</v>
      </c>
      <c r="D296" t="s">
        <v>34</v>
      </c>
      <c r="E296">
        <v>2.0813259999999998</v>
      </c>
    </row>
    <row r="297" spans="1:5" x14ac:dyDescent="0.3">
      <c r="A297">
        <v>9</v>
      </c>
      <c r="B297">
        <v>145000</v>
      </c>
      <c r="C297" t="s">
        <v>47</v>
      </c>
      <c r="D297" t="s">
        <v>35</v>
      </c>
      <c r="E297">
        <v>5112.0139250000002</v>
      </c>
    </row>
    <row r="298" spans="1:5" x14ac:dyDescent="0.3">
      <c r="A298">
        <v>9</v>
      </c>
      <c r="B298">
        <v>145000</v>
      </c>
      <c r="C298" t="s">
        <v>47</v>
      </c>
      <c r="D298" t="s">
        <v>36</v>
      </c>
      <c r="E298">
        <v>1.4808999999999999E-2</v>
      </c>
    </row>
    <row r="299" spans="1:5" x14ac:dyDescent="0.3">
      <c r="A299">
        <v>9</v>
      </c>
      <c r="B299">
        <v>145000</v>
      </c>
      <c r="C299" t="s">
        <v>47</v>
      </c>
      <c r="D299" t="s">
        <v>37</v>
      </c>
      <c r="E299">
        <v>2.4497000000000001E-2</v>
      </c>
    </row>
    <row r="300" spans="1:5" x14ac:dyDescent="0.3">
      <c r="A300">
        <v>9</v>
      </c>
      <c r="B300">
        <v>145000</v>
      </c>
      <c r="C300" t="s">
        <v>47</v>
      </c>
      <c r="D300" t="s">
        <v>38</v>
      </c>
      <c r="E300">
        <v>2.0754000000000002E-2</v>
      </c>
    </row>
    <row r="301" spans="1:5" x14ac:dyDescent="0.3">
      <c r="A301">
        <v>9</v>
      </c>
      <c r="B301">
        <v>145000</v>
      </c>
      <c r="C301" t="s">
        <v>47</v>
      </c>
      <c r="D301" t="s">
        <v>39</v>
      </c>
      <c r="E301">
        <v>2.5416999999999999E-2</v>
      </c>
    </row>
    <row r="302" spans="1:5" x14ac:dyDescent="0.3">
      <c r="A302">
        <v>9</v>
      </c>
      <c r="B302">
        <v>145000</v>
      </c>
      <c r="C302" t="s">
        <v>47</v>
      </c>
      <c r="D302" t="s">
        <v>40</v>
      </c>
      <c r="E302">
        <v>6.8851999999999997E-2</v>
      </c>
    </row>
    <row r="303" spans="1:5" x14ac:dyDescent="0.3">
      <c r="A303">
        <v>9</v>
      </c>
      <c r="B303">
        <v>145000</v>
      </c>
      <c r="C303" t="s">
        <v>47</v>
      </c>
      <c r="D303" t="s">
        <v>41</v>
      </c>
      <c r="E303">
        <v>2.3796000000000001E-2</v>
      </c>
    </row>
    <row r="304" spans="1:5" x14ac:dyDescent="0.3">
      <c r="A304">
        <v>9</v>
      </c>
      <c r="B304">
        <v>145000</v>
      </c>
      <c r="C304" t="s">
        <v>47</v>
      </c>
      <c r="D304" t="s">
        <v>42</v>
      </c>
      <c r="E304">
        <v>2.1802999999999999E-2</v>
      </c>
    </row>
    <row r="305" spans="1:5" x14ac:dyDescent="0.3">
      <c r="A305">
        <v>9</v>
      </c>
      <c r="B305">
        <v>145000</v>
      </c>
      <c r="C305" t="s">
        <v>47</v>
      </c>
      <c r="D305" t="s">
        <v>43</v>
      </c>
      <c r="E305">
        <v>1.4303E-2</v>
      </c>
    </row>
    <row r="306" spans="1:5" x14ac:dyDescent="0.3">
      <c r="A306">
        <v>10</v>
      </c>
      <c r="B306">
        <v>150000</v>
      </c>
      <c r="C306" t="s">
        <v>45</v>
      </c>
      <c r="D306" t="s">
        <v>28</v>
      </c>
      <c r="E306">
        <v>141395.04874200001</v>
      </c>
    </row>
    <row r="307" spans="1:5" x14ac:dyDescent="0.3">
      <c r="A307">
        <v>10</v>
      </c>
      <c r="B307">
        <v>150000</v>
      </c>
      <c r="C307" t="s">
        <v>45</v>
      </c>
      <c r="D307" t="s">
        <v>29</v>
      </c>
      <c r="E307">
        <v>7.2468000000000005E-2</v>
      </c>
    </row>
    <row r="308" spans="1:5" x14ac:dyDescent="0.3">
      <c r="A308">
        <v>10</v>
      </c>
      <c r="B308">
        <v>150000</v>
      </c>
      <c r="C308" t="s">
        <v>45</v>
      </c>
      <c r="D308" t="s">
        <v>30</v>
      </c>
      <c r="E308">
        <v>3.0251E-2</v>
      </c>
    </row>
    <row r="309" spans="1:5" x14ac:dyDescent="0.3">
      <c r="A309">
        <v>10</v>
      </c>
      <c r="B309">
        <v>150000</v>
      </c>
      <c r="C309" t="s">
        <v>45</v>
      </c>
      <c r="D309" t="s">
        <v>31</v>
      </c>
      <c r="E309">
        <v>2.4736999999999999E-2</v>
      </c>
    </row>
    <row r="310" spans="1:5" x14ac:dyDescent="0.3">
      <c r="A310">
        <v>10</v>
      </c>
      <c r="B310">
        <v>150000</v>
      </c>
      <c r="C310" t="s">
        <v>45</v>
      </c>
      <c r="D310" t="s">
        <v>32</v>
      </c>
      <c r="E310">
        <v>2.5586999999999999E-2</v>
      </c>
    </row>
    <row r="311" spans="1:5" x14ac:dyDescent="0.3">
      <c r="A311">
        <v>10</v>
      </c>
      <c r="B311">
        <v>150000</v>
      </c>
      <c r="C311" t="s">
        <v>45</v>
      </c>
      <c r="D311" t="s">
        <v>33</v>
      </c>
      <c r="E311">
        <v>5.8754000000000001E-2</v>
      </c>
    </row>
    <row r="312" spans="1:5" x14ac:dyDescent="0.3">
      <c r="A312">
        <v>10</v>
      </c>
      <c r="B312">
        <v>150000</v>
      </c>
      <c r="C312" t="s">
        <v>45</v>
      </c>
      <c r="D312" t="s">
        <v>34</v>
      </c>
      <c r="E312">
        <v>3.1296999999999998E-2</v>
      </c>
    </row>
    <row r="313" spans="1:5" x14ac:dyDescent="0.3">
      <c r="A313">
        <v>10</v>
      </c>
      <c r="B313">
        <v>150000</v>
      </c>
      <c r="C313" t="s">
        <v>45</v>
      </c>
      <c r="D313" t="s">
        <v>35</v>
      </c>
      <c r="E313">
        <v>8604.3974699999999</v>
      </c>
    </row>
    <row r="314" spans="1:5" x14ac:dyDescent="0.3">
      <c r="A314">
        <v>10</v>
      </c>
      <c r="B314">
        <v>150000</v>
      </c>
      <c r="C314" t="s">
        <v>45</v>
      </c>
      <c r="D314" t="s">
        <v>36</v>
      </c>
      <c r="E314">
        <v>2.342E-2</v>
      </c>
    </row>
    <row r="315" spans="1:5" x14ac:dyDescent="0.3">
      <c r="A315">
        <v>10</v>
      </c>
      <c r="B315">
        <v>150000</v>
      </c>
      <c r="C315" t="s">
        <v>45</v>
      </c>
      <c r="D315" t="s">
        <v>37</v>
      </c>
      <c r="E315">
        <v>4.5256999999999999E-2</v>
      </c>
    </row>
    <row r="316" spans="1:5" x14ac:dyDescent="0.3">
      <c r="A316">
        <v>10</v>
      </c>
      <c r="B316">
        <v>150000</v>
      </c>
      <c r="C316" t="s">
        <v>45</v>
      </c>
      <c r="D316" t="s">
        <v>38</v>
      </c>
      <c r="E316">
        <v>3.6308E-2</v>
      </c>
    </row>
    <row r="317" spans="1:5" x14ac:dyDescent="0.3">
      <c r="A317">
        <v>10</v>
      </c>
      <c r="B317">
        <v>150000</v>
      </c>
      <c r="C317" t="s">
        <v>45</v>
      </c>
      <c r="D317" t="s">
        <v>39</v>
      </c>
      <c r="E317">
        <v>4.0548000000000001E-2</v>
      </c>
    </row>
    <row r="318" spans="1:5" x14ac:dyDescent="0.3">
      <c r="A318">
        <v>10</v>
      </c>
      <c r="B318">
        <v>150000</v>
      </c>
      <c r="C318" t="s">
        <v>45</v>
      </c>
      <c r="D318" t="s">
        <v>40</v>
      </c>
      <c r="E318">
        <v>0.114686</v>
      </c>
    </row>
    <row r="319" spans="1:5" x14ac:dyDescent="0.3">
      <c r="A319">
        <v>10</v>
      </c>
      <c r="B319">
        <v>150000</v>
      </c>
      <c r="C319" t="s">
        <v>45</v>
      </c>
      <c r="D319" t="s">
        <v>41</v>
      </c>
      <c r="E319">
        <v>3.5570999999999998E-2</v>
      </c>
    </row>
    <row r="320" spans="1:5" x14ac:dyDescent="0.3">
      <c r="A320">
        <v>10</v>
      </c>
      <c r="B320">
        <v>150000</v>
      </c>
      <c r="C320" t="s">
        <v>45</v>
      </c>
      <c r="D320" t="s">
        <v>42</v>
      </c>
      <c r="E320">
        <v>2.5680000000000001E-2</v>
      </c>
    </row>
    <row r="321" spans="1:5" x14ac:dyDescent="0.3">
      <c r="A321">
        <v>10</v>
      </c>
      <c r="B321">
        <v>150000</v>
      </c>
      <c r="C321" t="s">
        <v>45</v>
      </c>
      <c r="D321" t="s">
        <v>43</v>
      </c>
      <c r="E321">
        <v>1.9359999999999999E-2</v>
      </c>
    </row>
    <row r="322" spans="1:5" x14ac:dyDescent="0.3">
      <c r="A322">
        <v>10</v>
      </c>
      <c r="B322">
        <v>150000</v>
      </c>
      <c r="C322" t="s">
        <v>46</v>
      </c>
      <c r="D322" t="s">
        <v>28</v>
      </c>
      <c r="E322">
        <v>141195.28876200001</v>
      </c>
    </row>
    <row r="323" spans="1:5" x14ac:dyDescent="0.3">
      <c r="A323">
        <v>10</v>
      </c>
      <c r="B323">
        <v>150000</v>
      </c>
      <c r="C323" t="s">
        <v>46</v>
      </c>
      <c r="D323" t="s">
        <v>29</v>
      </c>
      <c r="E323">
        <v>6.2074999999999998E-2</v>
      </c>
    </row>
    <row r="324" spans="1:5" x14ac:dyDescent="0.3">
      <c r="A324">
        <v>10</v>
      </c>
      <c r="B324">
        <v>150000</v>
      </c>
      <c r="C324" t="s">
        <v>46</v>
      </c>
      <c r="D324" t="s">
        <v>30</v>
      </c>
      <c r="E324">
        <v>2.2041999999999999E-2</v>
      </c>
    </row>
    <row r="325" spans="1:5" x14ac:dyDescent="0.3">
      <c r="A325">
        <v>10</v>
      </c>
      <c r="B325">
        <v>150000</v>
      </c>
      <c r="C325" t="s">
        <v>46</v>
      </c>
      <c r="D325" t="s">
        <v>31</v>
      </c>
      <c r="E325">
        <v>1.9824999999999999E-2</v>
      </c>
    </row>
    <row r="326" spans="1:5" x14ac:dyDescent="0.3">
      <c r="A326">
        <v>10</v>
      </c>
      <c r="B326">
        <v>150000</v>
      </c>
      <c r="C326" t="s">
        <v>46</v>
      </c>
      <c r="D326" t="s">
        <v>32</v>
      </c>
      <c r="E326">
        <v>2.0858000000000002E-2</v>
      </c>
    </row>
    <row r="327" spans="1:5" x14ac:dyDescent="0.3">
      <c r="A327">
        <v>10</v>
      </c>
      <c r="B327">
        <v>150000</v>
      </c>
      <c r="C327" t="s">
        <v>46</v>
      </c>
      <c r="D327" t="s">
        <v>33</v>
      </c>
      <c r="E327">
        <v>6.8170999999999995E-2</v>
      </c>
    </row>
    <row r="328" spans="1:5" x14ac:dyDescent="0.3">
      <c r="A328">
        <v>10</v>
      </c>
      <c r="B328">
        <v>150000</v>
      </c>
      <c r="C328" t="s">
        <v>46</v>
      </c>
      <c r="D328" t="s">
        <v>34</v>
      </c>
      <c r="E328">
        <v>2.6710000000000001E-2</v>
      </c>
    </row>
    <row r="329" spans="1:5" x14ac:dyDescent="0.3">
      <c r="A329">
        <v>10</v>
      </c>
      <c r="B329">
        <v>150000</v>
      </c>
      <c r="C329" t="s">
        <v>46</v>
      </c>
      <c r="D329" t="s">
        <v>35</v>
      </c>
      <c r="E329">
        <v>8804.2192400000004</v>
      </c>
    </row>
    <row r="330" spans="1:5" x14ac:dyDescent="0.3">
      <c r="A330">
        <v>10</v>
      </c>
      <c r="B330">
        <v>150000</v>
      </c>
      <c r="C330" t="s">
        <v>46</v>
      </c>
      <c r="D330" t="s">
        <v>36</v>
      </c>
      <c r="E330">
        <v>2.1316000000000002E-2</v>
      </c>
    </row>
    <row r="331" spans="1:5" x14ac:dyDescent="0.3">
      <c r="A331">
        <v>10</v>
      </c>
      <c r="B331">
        <v>150000</v>
      </c>
      <c r="C331" t="s">
        <v>46</v>
      </c>
      <c r="D331" t="s">
        <v>37</v>
      </c>
      <c r="E331">
        <v>3.7269999999999998E-2</v>
      </c>
    </row>
    <row r="332" spans="1:5" x14ac:dyDescent="0.3">
      <c r="A332">
        <v>10</v>
      </c>
      <c r="B332">
        <v>150000</v>
      </c>
      <c r="C332" t="s">
        <v>46</v>
      </c>
      <c r="D332" t="s">
        <v>38</v>
      </c>
      <c r="E332">
        <v>2.9801999999999999E-2</v>
      </c>
    </row>
    <row r="333" spans="1:5" x14ac:dyDescent="0.3">
      <c r="A333">
        <v>10</v>
      </c>
      <c r="B333">
        <v>150000</v>
      </c>
      <c r="C333" t="s">
        <v>46</v>
      </c>
      <c r="D333" t="s">
        <v>39</v>
      </c>
      <c r="E333">
        <v>3.4946999999999999E-2</v>
      </c>
    </row>
    <row r="334" spans="1:5" x14ac:dyDescent="0.3">
      <c r="A334">
        <v>10</v>
      </c>
      <c r="B334">
        <v>150000</v>
      </c>
      <c r="C334" t="s">
        <v>46</v>
      </c>
      <c r="D334" t="s">
        <v>40</v>
      </c>
      <c r="E334">
        <v>9.7297999999999996E-2</v>
      </c>
    </row>
    <row r="335" spans="1:5" x14ac:dyDescent="0.3">
      <c r="A335">
        <v>10</v>
      </c>
      <c r="B335">
        <v>150000</v>
      </c>
      <c r="C335" t="s">
        <v>46</v>
      </c>
      <c r="D335" t="s">
        <v>41</v>
      </c>
      <c r="E335">
        <v>3.3896000000000003E-2</v>
      </c>
    </row>
    <row r="336" spans="1:5" x14ac:dyDescent="0.3">
      <c r="A336">
        <v>10</v>
      </c>
      <c r="B336">
        <v>150000</v>
      </c>
      <c r="C336" t="s">
        <v>46</v>
      </c>
      <c r="D336" t="s">
        <v>42</v>
      </c>
      <c r="E336">
        <v>2.3354E-2</v>
      </c>
    </row>
    <row r="337" spans="1:5" x14ac:dyDescent="0.3">
      <c r="A337">
        <v>10</v>
      </c>
      <c r="B337">
        <v>150000</v>
      </c>
      <c r="C337" t="s">
        <v>46</v>
      </c>
      <c r="D337" t="s">
        <v>43</v>
      </c>
      <c r="E337">
        <v>2.0056000000000001E-2</v>
      </c>
    </row>
    <row r="338" spans="1:5" x14ac:dyDescent="0.3">
      <c r="A338">
        <v>10</v>
      </c>
      <c r="B338">
        <v>150000</v>
      </c>
      <c r="C338" t="s">
        <v>47</v>
      </c>
      <c r="D338" t="s">
        <v>28</v>
      </c>
      <c r="E338">
        <v>139947.78299400001</v>
      </c>
    </row>
    <row r="339" spans="1:5" x14ac:dyDescent="0.3">
      <c r="A339">
        <v>10</v>
      </c>
      <c r="B339">
        <v>150000</v>
      </c>
      <c r="C339" t="s">
        <v>47</v>
      </c>
      <c r="D339" t="s">
        <v>29</v>
      </c>
      <c r="E339">
        <v>8.8759000000000005E-2</v>
      </c>
    </row>
    <row r="340" spans="1:5" x14ac:dyDescent="0.3">
      <c r="A340">
        <v>10</v>
      </c>
      <c r="B340">
        <v>150000</v>
      </c>
      <c r="C340" t="s">
        <v>47</v>
      </c>
      <c r="D340" t="s">
        <v>30</v>
      </c>
      <c r="E340">
        <v>4.5171999999999997E-2</v>
      </c>
    </row>
    <row r="341" spans="1:5" x14ac:dyDescent="0.3">
      <c r="A341">
        <v>10</v>
      </c>
      <c r="B341">
        <v>150000</v>
      </c>
      <c r="C341" t="s">
        <v>47</v>
      </c>
      <c r="D341" t="s">
        <v>31</v>
      </c>
      <c r="E341">
        <v>3.0537000000000002E-2</v>
      </c>
    </row>
    <row r="342" spans="1:5" x14ac:dyDescent="0.3">
      <c r="A342">
        <v>10</v>
      </c>
      <c r="B342">
        <v>150000</v>
      </c>
      <c r="C342" t="s">
        <v>47</v>
      </c>
      <c r="D342" t="s">
        <v>32</v>
      </c>
      <c r="E342">
        <v>3.3341000000000003E-2</v>
      </c>
    </row>
    <row r="343" spans="1:5" x14ac:dyDescent="0.3">
      <c r="A343">
        <v>10</v>
      </c>
      <c r="B343">
        <v>150000</v>
      </c>
      <c r="C343" t="s">
        <v>47</v>
      </c>
      <c r="D343" t="s">
        <v>33</v>
      </c>
      <c r="E343">
        <v>0.10698299999999999</v>
      </c>
    </row>
    <row r="344" spans="1:5" x14ac:dyDescent="0.3">
      <c r="A344">
        <v>10</v>
      </c>
      <c r="B344">
        <v>150000</v>
      </c>
      <c r="C344" t="s">
        <v>47</v>
      </c>
      <c r="D344" t="s">
        <v>34</v>
      </c>
      <c r="E344">
        <v>3.3160750000000001</v>
      </c>
    </row>
    <row r="345" spans="1:5" x14ac:dyDescent="0.3">
      <c r="A345">
        <v>10</v>
      </c>
      <c r="B345">
        <v>150000</v>
      </c>
      <c r="C345" t="s">
        <v>47</v>
      </c>
      <c r="D345" t="s">
        <v>35</v>
      </c>
      <c r="E345">
        <v>10048.251241</v>
      </c>
    </row>
    <row r="346" spans="1:5" x14ac:dyDescent="0.3">
      <c r="A346">
        <v>10</v>
      </c>
      <c r="B346">
        <v>150000</v>
      </c>
      <c r="C346" t="s">
        <v>47</v>
      </c>
      <c r="D346" t="s">
        <v>36</v>
      </c>
      <c r="E346">
        <v>3.3563000000000003E-2</v>
      </c>
    </row>
    <row r="347" spans="1:5" x14ac:dyDescent="0.3">
      <c r="A347">
        <v>10</v>
      </c>
      <c r="B347">
        <v>150000</v>
      </c>
      <c r="C347" t="s">
        <v>47</v>
      </c>
      <c r="D347" t="s">
        <v>37</v>
      </c>
      <c r="E347">
        <v>5.6975999999999999E-2</v>
      </c>
    </row>
    <row r="348" spans="1:5" x14ac:dyDescent="0.3">
      <c r="A348">
        <v>10</v>
      </c>
      <c r="B348">
        <v>150000</v>
      </c>
      <c r="C348" t="s">
        <v>47</v>
      </c>
      <c r="D348" t="s">
        <v>38</v>
      </c>
      <c r="E348">
        <v>4.8788999999999999E-2</v>
      </c>
    </row>
    <row r="349" spans="1:5" x14ac:dyDescent="0.3">
      <c r="A349">
        <v>10</v>
      </c>
      <c r="B349">
        <v>150000</v>
      </c>
      <c r="C349" t="s">
        <v>47</v>
      </c>
      <c r="D349" t="s">
        <v>39</v>
      </c>
      <c r="E349">
        <v>6.0788000000000002E-2</v>
      </c>
    </row>
    <row r="350" spans="1:5" x14ac:dyDescent="0.3">
      <c r="A350">
        <v>10</v>
      </c>
      <c r="B350">
        <v>150000</v>
      </c>
      <c r="C350" t="s">
        <v>47</v>
      </c>
      <c r="D350" t="s">
        <v>40</v>
      </c>
      <c r="E350">
        <v>0.153137</v>
      </c>
    </row>
    <row r="351" spans="1:5" x14ac:dyDescent="0.3">
      <c r="A351">
        <v>10</v>
      </c>
      <c r="B351">
        <v>150000</v>
      </c>
      <c r="C351" t="s">
        <v>47</v>
      </c>
      <c r="D351" t="s">
        <v>41</v>
      </c>
      <c r="E351">
        <v>5.3671000000000003E-2</v>
      </c>
    </row>
    <row r="352" spans="1:5" x14ac:dyDescent="0.3">
      <c r="A352">
        <v>10</v>
      </c>
      <c r="B352">
        <v>150000</v>
      </c>
      <c r="C352" t="s">
        <v>47</v>
      </c>
      <c r="D352" t="s">
        <v>42</v>
      </c>
      <c r="E352">
        <v>4.9865E-2</v>
      </c>
    </row>
    <row r="353" spans="1:5" x14ac:dyDescent="0.3">
      <c r="A353">
        <v>10</v>
      </c>
      <c r="B353">
        <v>150000</v>
      </c>
      <c r="C353" t="s">
        <v>47</v>
      </c>
      <c r="D353" t="s">
        <v>43</v>
      </c>
      <c r="E353">
        <v>3.0578000000000001E-2</v>
      </c>
    </row>
    <row r="354" spans="1:5" x14ac:dyDescent="0.3">
      <c r="A354">
        <v>11</v>
      </c>
      <c r="B354">
        <v>155000</v>
      </c>
      <c r="C354" t="s">
        <v>45</v>
      </c>
      <c r="D354" t="s">
        <v>28</v>
      </c>
      <c r="E354">
        <v>141628.45711600001</v>
      </c>
    </row>
    <row r="355" spans="1:5" x14ac:dyDescent="0.3">
      <c r="A355">
        <v>11</v>
      </c>
      <c r="B355">
        <v>155000</v>
      </c>
      <c r="C355" t="s">
        <v>45</v>
      </c>
      <c r="D355" t="s">
        <v>29</v>
      </c>
      <c r="E355">
        <v>9.7881999999999997E-2</v>
      </c>
    </row>
    <row r="356" spans="1:5" x14ac:dyDescent="0.3">
      <c r="A356">
        <v>11</v>
      </c>
      <c r="B356">
        <v>155000</v>
      </c>
      <c r="C356" t="s">
        <v>45</v>
      </c>
      <c r="D356" t="s">
        <v>30</v>
      </c>
      <c r="E356">
        <v>4.3712000000000001E-2</v>
      </c>
    </row>
    <row r="357" spans="1:5" x14ac:dyDescent="0.3">
      <c r="A357">
        <v>11</v>
      </c>
      <c r="B357">
        <v>155000</v>
      </c>
      <c r="C357" t="s">
        <v>45</v>
      </c>
      <c r="D357" t="s">
        <v>31</v>
      </c>
      <c r="E357">
        <v>3.6131999999999997E-2</v>
      </c>
    </row>
    <row r="358" spans="1:5" x14ac:dyDescent="0.3">
      <c r="A358">
        <v>11</v>
      </c>
      <c r="B358">
        <v>155000</v>
      </c>
      <c r="C358" t="s">
        <v>45</v>
      </c>
      <c r="D358" t="s">
        <v>32</v>
      </c>
      <c r="E358">
        <v>3.7397E-2</v>
      </c>
    </row>
    <row r="359" spans="1:5" x14ac:dyDescent="0.3">
      <c r="A359">
        <v>11</v>
      </c>
      <c r="B359">
        <v>155000</v>
      </c>
      <c r="C359" t="s">
        <v>45</v>
      </c>
      <c r="D359" t="s">
        <v>33</v>
      </c>
      <c r="E359">
        <v>8.5555000000000006E-2</v>
      </c>
    </row>
    <row r="360" spans="1:5" x14ac:dyDescent="0.3">
      <c r="A360">
        <v>11</v>
      </c>
      <c r="B360">
        <v>155000</v>
      </c>
      <c r="C360" t="s">
        <v>45</v>
      </c>
      <c r="D360" t="s">
        <v>34</v>
      </c>
      <c r="E360">
        <v>4.4234000000000002E-2</v>
      </c>
    </row>
    <row r="361" spans="1:5" x14ac:dyDescent="0.3">
      <c r="A361">
        <v>11</v>
      </c>
      <c r="B361">
        <v>155000</v>
      </c>
      <c r="C361" t="s">
        <v>45</v>
      </c>
      <c r="D361" t="s">
        <v>35</v>
      </c>
      <c r="E361">
        <v>13370.772406</v>
      </c>
    </row>
    <row r="362" spans="1:5" x14ac:dyDescent="0.3">
      <c r="A362">
        <v>11</v>
      </c>
      <c r="B362">
        <v>155000</v>
      </c>
      <c r="C362" t="s">
        <v>45</v>
      </c>
      <c r="D362" t="s">
        <v>36</v>
      </c>
      <c r="E362">
        <v>3.4563000000000003E-2</v>
      </c>
    </row>
    <row r="363" spans="1:5" x14ac:dyDescent="0.3">
      <c r="A363">
        <v>11</v>
      </c>
      <c r="B363">
        <v>155000</v>
      </c>
      <c r="C363" t="s">
        <v>45</v>
      </c>
      <c r="D363" t="s">
        <v>37</v>
      </c>
      <c r="E363">
        <v>6.2700000000000006E-2</v>
      </c>
    </row>
    <row r="364" spans="1:5" x14ac:dyDescent="0.3">
      <c r="A364">
        <v>11</v>
      </c>
      <c r="B364">
        <v>155000</v>
      </c>
      <c r="C364" t="s">
        <v>45</v>
      </c>
      <c r="D364" t="s">
        <v>38</v>
      </c>
      <c r="E364">
        <v>5.1576999999999998E-2</v>
      </c>
    </row>
    <row r="365" spans="1:5" x14ac:dyDescent="0.3">
      <c r="A365">
        <v>11</v>
      </c>
      <c r="B365">
        <v>155000</v>
      </c>
      <c r="C365" t="s">
        <v>45</v>
      </c>
      <c r="D365" t="s">
        <v>39</v>
      </c>
      <c r="E365">
        <v>5.6799000000000002E-2</v>
      </c>
    </row>
    <row r="366" spans="1:5" x14ac:dyDescent="0.3">
      <c r="A366">
        <v>11</v>
      </c>
      <c r="B366">
        <v>155000</v>
      </c>
      <c r="C366" t="s">
        <v>45</v>
      </c>
      <c r="D366" t="s">
        <v>40</v>
      </c>
      <c r="E366">
        <v>0.169743</v>
      </c>
    </row>
    <row r="367" spans="1:5" x14ac:dyDescent="0.3">
      <c r="A367">
        <v>11</v>
      </c>
      <c r="B367">
        <v>155000</v>
      </c>
      <c r="C367" t="s">
        <v>45</v>
      </c>
      <c r="D367" t="s">
        <v>41</v>
      </c>
      <c r="E367">
        <v>5.1719000000000001E-2</v>
      </c>
    </row>
    <row r="368" spans="1:5" x14ac:dyDescent="0.3">
      <c r="A368">
        <v>11</v>
      </c>
      <c r="B368">
        <v>155000</v>
      </c>
      <c r="C368" t="s">
        <v>45</v>
      </c>
      <c r="D368" t="s">
        <v>42</v>
      </c>
      <c r="E368">
        <v>3.7613000000000001E-2</v>
      </c>
    </row>
    <row r="369" spans="1:5" x14ac:dyDescent="0.3">
      <c r="A369">
        <v>11</v>
      </c>
      <c r="B369">
        <v>155000</v>
      </c>
      <c r="C369" t="s">
        <v>45</v>
      </c>
      <c r="D369" t="s">
        <v>43</v>
      </c>
      <c r="E369">
        <v>2.9766999999999998E-2</v>
      </c>
    </row>
    <row r="370" spans="1:5" x14ac:dyDescent="0.3">
      <c r="A370">
        <v>11</v>
      </c>
      <c r="B370">
        <v>155000</v>
      </c>
      <c r="C370" t="s">
        <v>46</v>
      </c>
      <c r="D370" t="s">
        <v>28</v>
      </c>
      <c r="E370">
        <v>141767.32629500001</v>
      </c>
    </row>
    <row r="371" spans="1:5" x14ac:dyDescent="0.3">
      <c r="A371">
        <v>11</v>
      </c>
      <c r="B371">
        <v>155000</v>
      </c>
      <c r="C371" t="s">
        <v>46</v>
      </c>
      <c r="D371" t="s">
        <v>29</v>
      </c>
      <c r="E371">
        <v>1.753E-2</v>
      </c>
    </row>
    <row r="372" spans="1:5" x14ac:dyDescent="0.3">
      <c r="A372">
        <v>11</v>
      </c>
      <c r="B372">
        <v>155000</v>
      </c>
      <c r="C372" t="s">
        <v>46</v>
      </c>
      <c r="D372" t="s">
        <v>30</v>
      </c>
      <c r="E372">
        <v>6.659E-3</v>
      </c>
    </row>
    <row r="373" spans="1:5" x14ac:dyDescent="0.3">
      <c r="A373">
        <v>11</v>
      </c>
      <c r="B373">
        <v>155000</v>
      </c>
      <c r="C373" t="s">
        <v>46</v>
      </c>
      <c r="D373" t="s">
        <v>31</v>
      </c>
      <c r="E373">
        <v>6.0910000000000001E-3</v>
      </c>
    </row>
    <row r="374" spans="1:5" x14ac:dyDescent="0.3">
      <c r="A374">
        <v>11</v>
      </c>
      <c r="B374">
        <v>155000</v>
      </c>
      <c r="C374" t="s">
        <v>46</v>
      </c>
      <c r="D374" t="s">
        <v>32</v>
      </c>
      <c r="E374">
        <v>6.2709999999999997E-3</v>
      </c>
    </row>
    <row r="375" spans="1:5" x14ac:dyDescent="0.3">
      <c r="A375">
        <v>11</v>
      </c>
      <c r="B375">
        <v>155000</v>
      </c>
      <c r="C375" t="s">
        <v>46</v>
      </c>
      <c r="D375" t="s">
        <v>33</v>
      </c>
      <c r="E375">
        <v>1.9089999999999999E-2</v>
      </c>
    </row>
    <row r="376" spans="1:5" x14ac:dyDescent="0.3">
      <c r="A376">
        <v>11</v>
      </c>
      <c r="B376">
        <v>155000</v>
      </c>
      <c r="C376" t="s">
        <v>46</v>
      </c>
      <c r="D376" t="s">
        <v>34</v>
      </c>
      <c r="E376">
        <v>8.6090000000000003E-3</v>
      </c>
    </row>
    <row r="377" spans="1:5" x14ac:dyDescent="0.3">
      <c r="A377">
        <v>11</v>
      </c>
      <c r="B377">
        <v>155000</v>
      </c>
      <c r="C377" t="s">
        <v>46</v>
      </c>
      <c r="D377" t="s">
        <v>35</v>
      </c>
      <c r="E377">
        <v>13232.530194999999</v>
      </c>
    </row>
    <row r="378" spans="1:5" x14ac:dyDescent="0.3">
      <c r="A378">
        <v>11</v>
      </c>
      <c r="B378">
        <v>155000</v>
      </c>
      <c r="C378" t="s">
        <v>46</v>
      </c>
      <c r="D378" t="s">
        <v>36</v>
      </c>
      <c r="E378">
        <v>6.3940000000000004E-3</v>
      </c>
    </row>
    <row r="379" spans="1:5" x14ac:dyDescent="0.3">
      <c r="A379">
        <v>11</v>
      </c>
      <c r="B379">
        <v>155000</v>
      </c>
      <c r="C379" t="s">
        <v>46</v>
      </c>
      <c r="D379" t="s">
        <v>37</v>
      </c>
      <c r="E379">
        <v>1.1077E-2</v>
      </c>
    </row>
    <row r="380" spans="1:5" x14ac:dyDescent="0.3">
      <c r="A380">
        <v>11</v>
      </c>
      <c r="B380">
        <v>155000</v>
      </c>
      <c r="C380" t="s">
        <v>46</v>
      </c>
      <c r="D380" t="s">
        <v>38</v>
      </c>
      <c r="E380">
        <v>8.8260000000000005E-3</v>
      </c>
    </row>
    <row r="381" spans="1:5" x14ac:dyDescent="0.3">
      <c r="A381">
        <v>11</v>
      </c>
      <c r="B381">
        <v>155000</v>
      </c>
      <c r="C381" t="s">
        <v>46</v>
      </c>
      <c r="D381" t="s">
        <v>39</v>
      </c>
      <c r="E381">
        <v>1.0055E-2</v>
      </c>
    </row>
    <row r="382" spans="1:5" x14ac:dyDescent="0.3">
      <c r="A382">
        <v>11</v>
      </c>
      <c r="B382">
        <v>155000</v>
      </c>
      <c r="C382" t="s">
        <v>46</v>
      </c>
      <c r="D382" t="s">
        <v>40</v>
      </c>
      <c r="E382">
        <v>2.8428999999999999E-2</v>
      </c>
    </row>
    <row r="383" spans="1:5" x14ac:dyDescent="0.3">
      <c r="A383">
        <v>11</v>
      </c>
      <c r="B383">
        <v>155000</v>
      </c>
      <c r="C383" t="s">
        <v>46</v>
      </c>
      <c r="D383" t="s">
        <v>41</v>
      </c>
      <c r="E383">
        <v>9.7850000000000003E-3</v>
      </c>
    </row>
    <row r="384" spans="1:5" x14ac:dyDescent="0.3">
      <c r="A384">
        <v>11</v>
      </c>
      <c r="B384">
        <v>155000</v>
      </c>
      <c r="C384" t="s">
        <v>46</v>
      </c>
      <c r="D384" t="s">
        <v>42</v>
      </c>
      <c r="E384">
        <v>6.8710000000000004E-3</v>
      </c>
    </row>
    <row r="385" spans="1:5" x14ac:dyDescent="0.3">
      <c r="A385">
        <v>11</v>
      </c>
      <c r="B385">
        <v>155000</v>
      </c>
      <c r="C385" t="s">
        <v>46</v>
      </c>
      <c r="D385" t="s">
        <v>43</v>
      </c>
      <c r="E385">
        <v>5.6220000000000003E-3</v>
      </c>
    </row>
    <row r="386" spans="1:5" x14ac:dyDescent="0.3">
      <c r="A386">
        <v>11</v>
      </c>
      <c r="B386">
        <v>155000</v>
      </c>
      <c r="C386" t="s">
        <v>47</v>
      </c>
      <c r="D386" t="s">
        <v>28</v>
      </c>
      <c r="E386">
        <v>140119.09294199999</v>
      </c>
    </row>
    <row r="387" spans="1:5" x14ac:dyDescent="0.3">
      <c r="A387">
        <v>11</v>
      </c>
      <c r="B387">
        <v>155000</v>
      </c>
      <c r="C387" t="s">
        <v>47</v>
      </c>
      <c r="D387" t="s">
        <v>29</v>
      </c>
      <c r="E387">
        <v>6.7056000000000004E-2</v>
      </c>
    </row>
    <row r="388" spans="1:5" x14ac:dyDescent="0.3">
      <c r="A388">
        <v>11</v>
      </c>
      <c r="B388">
        <v>155000</v>
      </c>
      <c r="C388" t="s">
        <v>47</v>
      </c>
      <c r="D388" t="s">
        <v>30</v>
      </c>
      <c r="E388">
        <v>3.0196000000000001E-2</v>
      </c>
    </row>
    <row r="389" spans="1:5" x14ac:dyDescent="0.3">
      <c r="A389">
        <v>11</v>
      </c>
      <c r="B389">
        <v>155000</v>
      </c>
      <c r="C389" t="s">
        <v>47</v>
      </c>
      <c r="D389" t="s">
        <v>31</v>
      </c>
      <c r="E389">
        <v>2.3616999999999999E-2</v>
      </c>
    </row>
    <row r="390" spans="1:5" x14ac:dyDescent="0.3">
      <c r="A390">
        <v>11</v>
      </c>
      <c r="B390">
        <v>155000</v>
      </c>
      <c r="C390" t="s">
        <v>47</v>
      </c>
      <c r="D390" t="s">
        <v>32</v>
      </c>
      <c r="E390">
        <v>2.5492999999999998E-2</v>
      </c>
    </row>
    <row r="391" spans="1:5" x14ac:dyDescent="0.3">
      <c r="A391">
        <v>11</v>
      </c>
      <c r="B391">
        <v>155000</v>
      </c>
      <c r="C391" t="s">
        <v>47</v>
      </c>
      <c r="D391" t="s">
        <v>33</v>
      </c>
      <c r="E391">
        <v>8.9025999999999994E-2</v>
      </c>
    </row>
    <row r="392" spans="1:5" x14ac:dyDescent="0.3">
      <c r="A392">
        <v>11</v>
      </c>
      <c r="B392">
        <v>155000</v>
      </c>
      <c r="C392" t="s">
        <v>47</v>
      </c>
      <c r="D392" t="s">
        <v>34</v>
      </c>
      <c r="E392">
        <v>2.8509060000000002</v>
      </c>
    </row>
    <row r="393" spans="1:5" x14ac:dyDescent="0.3">
      <c r="A393">
        <v>11</v>
      </c>
      <c r="B393">
        <v>155000</v>
      </c>
      <c r="C393" t="s">
        <v>47</v>
      </c>
      <c r="D393" t="s">
        <v>35</v>
      </c>
      <c r="E393">
        <v>14877.528547</v>
      </c>
    </row>
    <row r="394" spans="1:5" x14ac:dyDescent="0.3">
      <c r="A394">
        <v>11</v>
      </c>
      <c r="B394">
        <v>155000</v>
      </c>
      <c r="C394" t="s">
        <v>47</v>
      </c>
      <c r="D394" t="s">
        <v>36</v>
      </c>
      <c r="E394">
        <v>2.622E-2</v>
      </c>
    </row>
    <row r="395" spans="1:5" x14ac:dyDescent="0.3">
      <c r="A395">
        <v>11</v>
      </c>
      <c r="B395">
        <v>155000</v>
      </c>
      <c r="C395" t="s">
        <v>47</v>
      </c>
      <c r="D395" t="s">
        <v>37</v>
      </c>
      <c r="E395">
        <v>4.3338000000000002E-2</v>
      </c>
    </row>
    <row r="396" spans="1:5" x14ac:dyDescent="0.3">
      <c r="A396">
        <v>11</v>
      </c>
      <c r="B396">
        <v>155000</v>
      </c>
      <c r="C396" t="s">
        <v>47</v>
      </c>
      <c r="D396" t="s">
        <v>38</v>
      </c>
      <c r="E396">
        <v>3.7414000000000003E-2</v>
      </c>
    </row>
    <row r="397" spans="1:5" x14ac:dyDescent="0.3">
      <c r="A397">
        <v>11</v>
      </c>
      <c r="B397">
        <v>155000</v>
      </c>
      <c r="C397" t="s">
        <v>47</v>
      </c>
      <c r="D397" t="s">
        <v>39</v>
      </c>
      <c r="E397">
        <v>4.5411E-2</v>
      </c>
    </row>
    <row r="398" spans="1:5" x14ac:dyDescent="0.3">
      <c r="A398">
        <v>11</v>
      </c>
      <c r="B398">
        <v>155000</v>
      </c>
      <c r="C398" t="s">
        <v>47</v>
      </c>
      <c r="D398" t="s">
        <v>40</v>
      </c>
      <c r="E398">
        <v>0.114341</v>
      </c>
    </row>
    <row r="399" spans="1:5" x14ac:dyDescent="0.3">
      <c r="A399">
        <v>11</v>
      </c>
      <c r="B399">
        <v>155000</v>
      </c>
      <c r="C399" t="s">
        <v>47</v>
      </c>
      <c r="D399" t="s">
        <v>41</v>
      </c>
      <c r="E399">
        <v>4.1381000000000001E-2</v>
      </c>
    </row>
    <row r="400" spans="1:5" x14ac:dyDescent="0.3">
      <c r="A400">
        <v>11</v>
      </c>
      <c r="B400">
        <v>155000</v>
      </c>
      <c r="C400" t="s">
        <v>47</v>
      </c>
      <c r="D400" t="s">
        <v>42</v>
      </c>
      <c r="E400">
        <v>3.8496000000000002E-2</v>
      </c>
    </row>
    <row r="401" spans="1:5" x14ac:dyDescent="0.3">
      <c r="A401">
        <v>11</v>
      </c>
      <c r="B401">
        <v>155000</v>
      </c>
      <c r="C401" t="s">
        <v>47</v>
      </c>
      <c r="D401" t="s">
        <v>43</v>
      </c>
      <c r="E401">
        <v>2.4291E-2</v>
      </c>
    </row>
    <row r="402" spans="1:5" x14ac:dyDescent="0.3">
      <c r="A402">
        <v>12</v>
      </c>
      <c r="B402">
        <v>160000</v>
      </c>
      <c r="C402" t="s">
        <v>45</v>
      </c>
      <c r="D402" t="s">
        <v>28</v>
      </c>
      <c r="E402">
        <v>141860.4105</v>
      </c>
    </row>
    <row r="403" spans="1:5" x14ac:dyDescent="0.3">
      <c r="A403">
        <v>12</v>
      </c>
      <c r="B403">
        <v>160000</v>
      </c>
      <c r="C403" t="s">
        <v>45</v>
      </c>
      <c r="D403" t="s">
        <v>29</v>
      </c>
      <c r="E403">
        <v>3.8843999999999997E-2</v>
      </c>
    </row>
    <row r="404" spans="1:5" x14ac:dyDescent="0.3">
      <c r="A404">
        <v>12</v>
      </c>
      <c r="B404">
        <v>160000</v>
      </c>
      <c r="C404" t="s">
        <v>45</v>
      </c>
      <c r="D404" t="s">
        <v>30</v>
      </c>
      <c r="E404">
        <v>1.6677999999999998E-2</v>
      </c>
    </row>
    <row r="405" spans="1:5" x14ac:dyDescent="0.3">
      <c r="A405">
        <v>12</v>
      </c>
      <c r="B405">
        <v>160000</v>
      </c>
      <c r="C405" t="s">
        <v>45</v>
      </c>
      <c r="D405" t="s">
        <v>31</v>
      </c>
      <c r="E405">
        <v>1.455E-2</v>
      </c>
    </row>
    <row r="406" spans="1:5" x14ac:dyDescent="0.3">
      <c r="A406">
        <v>12</v>
      </c>
      <c r="B406">
        <v>160000</v>
      </c>
      <c r="C406" t="s">
        <v>45</v>
      </c>
      <c r="D406" t="s">
        <v>32</v>
      </c>
      <c r="E406">
        <v>1.5102000000000001E-2</v>
      </c>
    </row>
    <row r="407" spans="1:5" x14ac:dyDescent="0.3">
      <c r="A407">
        <v>12</v>
      </c>
      <c r="B407">
        <v>160000</v>
      </c>
      <c r="C407" t="s">
        <v>45</v>
      </c>
      <c r="D407" t="s">
        <v>33</v>
      </c>
      <c r="E407">
        <v>3.2543999999999997E-2</v>
      </c>
    </row>
    <row r="408" spans="1:5" x14ac:dyDescent="0.3">
      <c r="A408">
        <v>12</v>
      </c>
      <c r="B408">
        <v>160000</v>
      </c>
      <c r="C408" t="s">
        <v>45</v>
      </c>
      <c r="D408" t="s">
        <v>34</v>
      </c>
      <c r="E408">
        <v>1.8477E-2</v>
      </c>
    </row>
    <row r="409" spans="1:5" x14ac:dyDescent="0.3">
      <c r="A409">
        <v>12</v>
      </c>
      <c r="B409">
        <v>160000</v>
      </c>
      <c r="C409" t="s">
        <v>45</v>
      </c>
      <c r="D409" t="s">
        <v>35</v>
      </c>
      <c r="E409">
        <v>18139.271999000001</v>
      </c>
    </row>
    <row r="410" spans="1:5" x14ac:dyDescent="0.3">
      <c r="A410">
        <v>12</v>
      </c>
      <c r="B410">
        <v>160000</v>
      </c>
      <c r="C410" t="s">
        <v>45</v>
      </c>
      <c r="D410" t="s">
        <v>36</v>
      </c>
      <c r="E410">
        <v>1.4010999999999999E-2</v>
      </c>
    </row>
    <row r="411" spans="1:5" x14ac:dyDescent="0.3">
      <c r="A411">
        <v>12</v>
      </c>
      <c r="B411">
        <v>160000</v>
      </c>
      <c r="C411" t="s">
        <v>45</v>
      </c>
      <c r="D411" t="s">
        <v>37</v>
      </c>
      <c r="E411">
        <v>2.5201999999999999E-2</v>
      </c>
    </row>
    <row r="412" spans="1:5" x14ac:dyDescent="0.3">
      <c r="A412">
        <v>12</v>
      </c>
      <c r="B412">
        <v>160000</v>
      </c>
      <c r="C412" t="s">
        <v>45</v>
      </c>
      <c r="D412" t="s">
        <v>38</v>
      </c>
      <c r="E412">
        <v>2.0809999999999999E-2</v>
      </c>
    </row>
    <row r="413" spans="1:5" x14ac:dyDescent="0.3">
      <c r="A413">
        <v>12</v>
      </c>
      <c r="B413">
        <v>160000</v>
      </c>
      <c r="C413" t="s">
        <v>45</v>
      </c>
      <c r="D413" t="s">
        <v>39</v>
      </c>
      <c r="E413">
        <v>2.2852999999999998E-2</v>
      </c>
    </row>
    <row r="414" spans="1:5" x14ac:dyDescent="0.3">
      <c r="A414">
        <v>12</v>
      </c>
      <c r="B414">
        <v>160000</v>
      </c>
      <c r="C414" t="s">
        <v>45</v>
      </c>
      <c r="D414" t="s">
        <v>40</v>
      </c>
      <c r="E414">
        <v>6.8360000000000004E-2</v>
      </c>
    </row>
    <row r="415" spans="1:5" x14ac:dyDescent="0.3">
      <c r="A415">
        <v>12</v>
      </c>
      <c r="B415">
        <v>160000</v>
      </c>
      <c r="C415" t="s">
        <v>45</v>
      </c>
      <c r="D415" t="s">
        <v>41</v>
      </c>
      <c r="E415">
        <v>2.0577999999999999E-2</v>
      </c>
    </row>
    <row r="416" spans="1:5" x14ac:dyDescent="0.3">
      <c r="A416">
        <v>12</v>
      </c>
      <c r="B416">
        <v>160000</v>
      </c>
      <c r="C416" t="s">
        <v>45</v>
      </c>
      <c r="D416" t="s">
        <v>42</v>
      </c>
      <c r="E416">
        <v>1.5262E-2</v>
      </c>
    </row>
    <row r="417" spans="1:5" x14ac:dyDescent="0.3">
      <c r="A417">
        <v>12</v>
      </c>
      <c r="B417">
        <v>160000</v>
      </c>
      <c r="C417" t="s">
        <v>45</v>
      </c>
      <c r="D417" t="s">
        <v>43</v>
      </c>
      <c r="E417">
        <v>1.1886000000000001E-2</v>
      </c>
    </row>
    <row r="418" spans="1:5" x14ac:dyDescent="0.3">
      <c r="A418">
        <v>12</v>
      </c>
      <c r="B418">
        <v>160000</v>
      </c>
      <c r="C418" t="s">
        <v>46</v>
      </c>
      <c r="D418" t="s">
        <v>28</v>
      </c>
      <c r="E418">
        <v>142319.11644899999</v>
      </c>
    </row>
    <row r="419" spans="1:5" x14ac:dyDescent="0.3">
      <c r="A419">
        <v>12</v>
      </c>
      <c r="B419">
        <v>160000</v>
      </c>
      <c r="C419" t="s">
        <v>46</v>
      </c>
      <c r="D419" t="s">
        <v>29</v>
      </c>
      <c r="E419">
        <v>4.1429000000000001E-2</v>
      </c>
    </row>
    <row r="420" spans="1:5" x14ac:dyDescent="0.3">
      <c r="A420">
        <v>12</v>
      </c>
      <c r="B420">
        <v>160000</v>
      </c>
      <c r="C420" t="s">
        <v>46</v>
      </c>
      <c r="D420" t="s">
        <v>30</v>
      </c>
      <c r="E420">
        <v>1.7017999999999998E-2</v>
      </c>
    </row>
    <row r="421" spans="1:5" x14ac:dyDescent="0.3">
      <c r="A421">
        <v>12</v>
      </c>
      <c r="B421">
        <v>160000</v>
      </c>
      <c r="C421" t="s">
        <v>46</v>
      </c>
      <c r="D421" t="s">
        <v>31</v>
      </c>
      <c r="E421">
        <v>1.5072E-2</v>
      </c>
    </row>
    <row r="422" spans="1:5" x14ac:dyDescent="0.3">
      <c r="A422">
        <v>12</v>
      </c>
      <c r="B422">
        <v>160000</v>
      </c>
      <c r="C422" t="s">
        <v>46</v>
      </c>
      <c r="D422" t="s">
        <v>32</v>
      </c>
      <c r="E422">
        <v>1.5401E-2</v>
      </c>
    </row>
    <row r="423" spans="1:5" x14ac:dyDescent="0.3">
      <c r="A423">
        <v>12</v>
      </c>
      <c r="B423">
        <v>160000</v>
      </c>
      <c r="C423" t="s">
        <v>46</v>
      </c>
      <c r="D423" t="s">
        <v>33</v>
      </c>
      <c r="E423">
        <v>4.3361999999999998E-2</v>
      </c>
    </row>
    <row r="424" spans="1:5" x14ac:dyDescent="0.3">
      <c r="A424">
        <v>12</v>
      </c>
      <c r="B424">
        <v>160000</v>
      </c>
      <c r="C424" t="s">
        <v>46</v>
      </c>
      <c r="D424" t="s">
        <v>34</v>
      </c>
      <c r="E424">
        <v>2.1189E-2</v>
      </c>
    </row>
    <row r="425" spans="1:5" x14ac:dyDescent="0.3">
      <c r="A425">
        <v>12</v>
      </c>
      <c r="B425">
        <v>160000</v>
      </c>
      <c r="C425" t="s">
        <v>46</v>
      </c>
      <c r="D425" t="s">
        <v>35</v>
      </c>
      <c r="E425">
        <v>17680.565495999999</v>
      </c>
    </row>
    <row r="426" spans="1:5" x14ac:dyDescent="0.3">
      <c r="A426">
        <v>12</v>
      </c>
      <c r="B426">
        <v>160000</v>
      </c>
      <c r="C426" t="s">
        <v>46</v>
      </c>
      <c r="D426" t="s">
        <v>36</v>
      </c>
      <c r="E426">
        <v>1.5507999999999999E-2</v>
      </c>
    </row>
    <row r="427" spans="1:5" x14ac:dyDescent="0.3">
      <c r="A427">
        <v>12</v>
      </c>
      <c r="B427">
        <v>160000</v>
      </c>
      <c r="C427" t="s">
        <v>46</v>
      </c>
      <c r="D427" t="s">
        <v>37</v>
      </c>
      <c r="E427">
        <v>2.6827E-2</v>
      </c>
    </row>
    <row r="428" spans="1:5" x14ac:dyDescent="0.3">
      <c r="A428">
        <v>12</v>
      </c>
      <c r="B428">
        <v>160000</v>
      </c>
      <c r="C428" t="s">
        <v>46</v>
      </c>
      <c r="D428" t="s">
        <v>38</v>
      </c>
      <c r="E428">
        <v>2.1406000000000001E-2</v>
      </c>
    </row>
    <row r="429" spans="1:5" x14ac:dyDescent="0.3">
      <c r="A429">
        <v>12</v>
      </c>
      <c r="B429">
        <v>160000</v>
      </c>
      <c r="C429" t="s">
        <v>46</v>
      </c>
      <c r="D429" t="s">
        <v>39</v>
      </c>
      <c r="E429">
        <v>2.4253E-2</v>
      </c>
    </row>
    <row r="430" spans="1:5" x14ac:dyDescent="0.3">
      <c r="A430">
        <v>12</v>
      </c>
      <c r="B430">
        <v>160000</v>
      </c>
      <c r="C430" t="s">
        <v>46</v>
      </c>
      <c r="D430" t="s">
        <v>40</v>
      </c>
      <c r="E430">
        <v>6.8443000000000004E-2</v>
      </c>
    </row>
    <row r="431" spans="1:5" x14ac:dyDescent="0.3">
      <c r="A431">
        <v>12</v>
      </c>
      <c r="B431">
        <v>160000</v>
      </c>
      <c r="C431" t="s">
        <v>46</v>
      </c>
      <c r="D431" t="s">
        <v>41</v>
      </c>
      <c r="E431">
        <v>2.3244000000000001E-2</v>
      </c>
    </row>
    <row r="432" spans="1:5" x14ac:dyDescent="0.3">
      <c r="A432">
        <v>12</v>
      </c>
      <c r="B432">
        <v>160000</v>
      </c>
      <c r="C432" t="s">
        <v>46</v>
      </c>
      <c r="D432" t="s">
        <v>42</v>
      </c>
      <c r="E432">
        <v>1.6587999999999999E-2</v>
      </c>
    </row>
    <row r="433" spans="1:5" x14ac:dyDescent="0.3">
      <c r="A433">
        <v>12</v>
      </c>
      <c r="B433">
        <v>160000</v>
      </c>
      <c r="C433" t="s">
        <v>46</v>
      </c>
      <c r="D433" t="s">
        <v>43</v>
      </c>
      <c r="E433">
        <v>1.3443E-2</v>
      </c>
    </row>
    <row r="434" spans="1:5" x14ac:dyDescent="0.3">
      <c r="A434">
        <v>12</v>
      </c>
      <c r="B434">
        <v>160000</v>
      </c>
      <c r="C434" t="s">
        <v>47</v>
      </c>
      <c r="D434" t="s">
        <v>28</v>
      </c>
      <c r="E434">
        <v>140297.350114</v>
      </c>
    </row>
    <row r="435" spans="1:5" x14ac:dyDescent="0.3">
      <c r="A435">
        <v>12</v>
      </c>
      <c r="B435">
        <v>160000</v>
      </c>
      <c r="C435" t="s">
        <v>47</v>
      </c>
      <c r="D435" t="s">
        <v>29</v>
      </c>
      <c r="E435">
        <v>5.9142E-2</v>
      </c>
    </row>
    <row r="436" spans="1:5" x14ac:dyDescent="0.3">
      <c r="A436">
        <v>12</v>
      </c>
      <c r="B436">
        <v>160000</v>
      </c>
      <c r="C436" t="s">
        <v>47</v>
      </c>
      <c r="D436" t="s">
        <v>30</v>
      </c>
      <c r="E436">
        <v>2.5552999999999999E-2</v>
      </c>
    </row>
    <row r="437" spans="1:5" x14ac:dyDescent="0.3">
      <c r="A437">
        <v>12</v>
      </c>
      <c r="B437">
        <v>160000</v>
      </c>
      <c r="C437" t="s">
        <v>47</v>
      </c>
      <c r="D437" t="s">
        <v>31</v>
      </c>
      <c r="E437">
        <v>2.0905E-2</v>
      </c>
    </row>
    <row r="438" spans="1:5" x14ac:dyDescent="0.3">
      <c r="A438">
        <v>12</v>
      </c>
      <c r="B438">
        <v>160000</v>
      </c>
      <c r="C438" t="s">
        <v>47</v>
      </c>
      <c r="D438" t="s">
        <v>32</v>
      </c>
      <c r="E438">
        <v>2.2061000000000001E-2</v>
      </c>
    </row>
    <row r="439" spans="1:5" x14ac:dyDescent="0.3">
      <c r="A439">
        <v>12</v>
      </c>
      <c r="B439">
        <v>160000</v>
      </c>
      <c r="C439" t="s">
        <v>47</v>
      </c>
      <c r="D439" t="s">
        <v>33</v>
      </c>
      <c r="E439">
        <v>7.3654999999999998E-2</v>
      </c>
    </row>
    <row r="440" spans="1:5" x14ac:dyDescent="0.3">
      <c r="A440">
        <v>12</v>
      </c>
      <c r="B440">
        <v>160000</v>
      </c>
      <c r="C440" t="s">
        <v>47</v>
      </c>
      <c r="D440" t="s">
        <v>34</v>
      </c>
      <c r="E440">
        <v>3.5564999999999999E-2</v>
      </c>
    </row>
    <row r="441" spans="1:5" x14ac:dyDescent="0.3">
      <c r="A441">
        <v>12</v>
      </c>
      <c r="B441">
        <v>160000</v>
      </c>
      <c r="C441" t="s">
        <v>47</v>
      </c>
      <c r="D441" t="s">
        <v>35</v>
      </c>
      <c r="E441">
        <v>19702.177479999998</v>
      </c>
    </row>
    <row r="442" spans="1:5" x14ac:dyDescent="0.3">
      <c r="A442">
        <v>12</v>
      </c>
      <c r="B442">
        <v>160000</v>
      </c>
      <c r="C442" t="s">
        <v>47</v>
      </c>
      <c r="D442" t="s">
        <v>36</v>
      </c>
      <c r="E442">
        <v>2.2946000000000001E-2</v>
      </c>
    </row>
    <row r="443" spans="1:5" x14ac:dyDescent="0.3">
      <c r="A443">
        <v>12</v>
      </c>
      <c r="B443">
        <v>160000</v>
      </c>
      <c r="C443" t="s">
        <v>47</v>
      </c>
      <c r="D443" t="s">
        <v>37</v>
      </c>
      <c r="E443">
        <v>3.8556E-2</v>
      </c>
    </row>
    <row r="444" spans="1:5" x14ac:dyDescent="0.3">
      <c r="A444">
        <v>12</v>
      </c>
      <c r="B444">
        <v>160000</v>
      </c>
      <c r="C444" t="s">
        <v>47</v>
      </c>
      <c r="D444" t="s">
        <v>38</v>
      </c>
      <c r="E444">
        <v>3.1704999999999997E-2</v>
      </c>
    </row>
    <row r="445" spans="1:5" x14ac:dyDescent="0.3">
      <c r="A445">
        <v>12</v>
      </c>
      <c r="B445">
        <v>160000</v>
      </c>
      <c r="C445" t="s">
        <v>47</v>
      </c>
      <c r="D445" t="s">
        <v>39</v>
      </c>
      <c r="E445">
        <v>3.5744999999999999E-2</v>
      </c>
    </row>
    <row r="446" spans="1:5" x14ac:dyDescent="0.3">
      <c r="A446">
        <v>12</v>
      </c>
      <c r="B446">
        <v>160000</v>
      </c>
      <c r="C446" t="s">
        <v>47</v>
      </c>
      <c r="D446" t="s">
        <v>40</v>
      </c>
      <c r="E446">
        <v>0.101602</v>
      </c>
    </row>
    <row r="447" spans="1:5" x14ac:dyDescent="0.3">
      <c r="A447">
        <v>12</v>
      </c>
      <c r="B447">
        <v>160000</v>
      </c>
      <c r="C447" t="s">
        <v>47</v>
      </c>
      <c r="D447" t="s">
        <v>41</v>
      </c>
      <c r="E447">
        <v>3.5663E-2</v>
      </c>
    </row>
    <row r="448" spans="1:5" x14ac:dyDescent="0.3">
      <c r="A448">
        <v>12</v>
      </c>
      <c r="B448">
        <v>160000</v>
      </c>
      <c r="C448" t="s">
        <v>47</v>
      </c>
      <c r="D448" t="s">
        <v>42</v>
      </c>
      <c r="E448">
        <v>2.4976999999999999E-2</v>
      </c>
    </row>
    <row r="449" spans="1:5" x14ac:dyDescent="0.3">
      <c r="A449">
        <v>12</v>
      </c>
      <c r="B449">
        <v>160000</v>
      </c>
      <c r="C449" t="s">
        <v>47</v>
      </c>
      <c r="D449" t="s">
        <v>43</v>
      </c>
      <c r="E449">
        <v>2.0896999999999999E-2</v>
      </c>
    </row>
    <row r="450" spans="1:5" x14ac:dyDescent="0.3">
      <c r="A450">
        <v>13</v>
      </c>
      <c r="B450">
        <v>165000</v>
      </c>
      <c r="C450" t="s">
        <v>45</v>
      </c>
      <c r="D450" t="s">
        <v>28</v>
      </c>
      <c r="E450">
        <v>142097.343895</v>
      </c>
    </row>
    <row r="451" spans="1:5" x14ac:dyDescent="0.3">
      <c r="A451">
        <v>13</v>
      </c>
      <c r="B451">
        <v>165000</v>
      </c>
      <c r="C451" t="s">
        <v>45</v>
      </c>
      <c r="D451" t="s">
        <v>29</v>
      </c>
      <c r="E451">
        <v>0.16148299999999999</v>
      </c>
    </row>
    <row r="452" spans="1:5" x14ac:dyDescent="0.3">
      <c r="A452">
        <v>13</v>
      </c>
      <c r="B452">
        <v>165000</v>
      </c>
      <c r="C452" t="s">
        <v>45</v>
      </c>
      <c r="D452" t="s">
        <v>30</v>
      </c>
      <c r="E452">
        <v>5.8994999999999999E-2</v>
      </c>
    </row>
    <row r="453" spans="1:5" x14ac:dyDescent="0.3">
      <c r="A453">
        <v>13</v>
      </c>
      <c r="B453">
        <v>165000</v>
      </c>
      <c r="C453" t="s">
        <v>45</v>
      </c>
      <c r="D453" t="s">
        <v>31</v>
      </c>
      <c r="E453">
        <v>5.1088000000000001E-2</v>
      </c>
    </row>
    <row r="454" spans="1:5" x14ac:dyDescent="0.3">
      <c r="A454">
        <v>13</v>
      </c>
      <c r="B454">
        <v>165000</v>
      </c>
      <c r="C454" t="s">
        <v>45</v>
      </c>
      <c r="D454" t="s">
        <v>32</v>
      </c>
      <c r="E454">
        <v>5.3147E-2</v>
      </c>
    </row>
    <row r="455" spans="1:5" x14ac:dyDescent="0.3">
      <c r="A455">
        <v>13</v>
      </c>
      <c r="B455">
        <v>165000</v>
      </c>
      <c r="C455" t="s">
        <v>45</v>
      </c>
      <c r="D455" t="s">
        <v>33</v>
      </c>
      <c r="E455">
        <v>0.167875</v>
      </c>
    </row>
    <row r="456" spans="1:5" x14ac:dyDescent="0.3">
      <c r="A456">
        <v>13</v>
      </c>
      <c r="B456">
        <v>165000</v>
      </c>
      <c r="C456" t="s">
        <v>45</v>
      </c>
      <c r="D456" t="s">
        <v>34</v>
      </c>
      <c r="E456">
        <v>5.8945999999999998E-2</v>
      </c>
    </row>
    <row r="457" spans="1:5" x14ac:dyDescent="0.3">
      <c r="A457">
        <v>13</v>
      </c>
      <c r="B457">
        <v>165000</v>
      </c>
      <c r="C457" t="s">
        <v>45</v>
      </c>
      <c r="D457" t="s">
        <v>35</v>
      </c>
      <c r="E457">
        <v>22901.478758000001</v>
      </c>
    </row>
    <row r="458" spans="1:5" x14ac:dyDescent="0.3">
      <c r="A458">
        <v>13</v>
      </c>
      <c r="B458">
        <v>165000</v>
      </c>
      <c r="C458" t="s">
        <v>45</v>
      </c>
      <c r="D458" t="s">
        <v>36</v>
      </c>
      <c r="E458">
        <v>5.0092999999999999E-2</v>
      </c>
    </row>
    <row r="459" spans="1:5" x14ac:dyDescent="0.3">
      <c r="A459">
        <v>13</v>
      </c>
      <c r="B459">
        <v>165000</v>
      </c>
      <c r="C459" t="s">
        <v>45</v>
      </c>
      <c r="D459" t="s">
        <v>37</v>
      </c>
      <c r="E459">
        <v>0.10562199999999999</v>
      </c>
    </row>
    <row r="460" spans="1:5" x14ac:dyDescent="0.3">
      <c r="A460">
        <v>13</v>
      </c>
      <c r="B460">
        <v>165000</v>
      </c>
      <c r="C460" t="s">
        <v>45</v>
      </c>
      <c r="D460" t="s">
        <v>38</v>
      </c>
      <c r="E460">
        <v>8.1060999999999994E-2</v>
      </c>
    </row>
    <row r="461" spans="1:5" x14ac:dyDescent="0.3">
      <c r="A461">
        <v>13</v>
      </c>
      <c r="B461">
        <v>165000</v>
      </c>
      <c r="C461" t="s">
        <v>45</v>
      </c>
      <c r="D461" t="s">
        <v>39</v>
      </c>
      <c r="E461">
        <v>8.5232000000000002E-2</v>
      </c>
    </row>
    <row r="462" spans="1:5" x14ac:dyDescent="0.3">
      <c r="A462">
        <v>13</v>
      </c>
      <c r="B462">
        <v>165000</v>
      </c>
      <c r="C462" t="s">
        <v>45</v>
      </c>
      <c r="D462" t="s">
        <v>40</v>
      </c>
      <c r="E462">
        <v>0.228661</v>
      </c>
    </row>
    <row r="463" spans="1:5" x14ac:dyDescent="0.3">
      <c r="A463">
        <v>13</v>
      </c>
      <c r="B463">
        <v>165000</v>
      </c>
      <c r="C463" t="s">
        <v>45</v>
      </c>
      <c r="D463" t="s">
        <v>41</v>
      </c>
      <c r="E463">
        <v>8.1989000000000006E-2</v>
      </c>
    </row>
    <row r="464" spans="1:5" x14ac:dyDescent="0.3">
      <c r="A464">
        <v>13</v>
      </c>
      <c r="B464">
        <v>165000</v>
      </c>
      <c r="C464" t="s">
        <v>45</v>
      </c>
      <c r="D464" t="s">
        <v>42</v>
      </c>
      <c r="E464">
        <v>5.2136000000000002E-2</v>
      </c>
    </row>
    <row r="465" spans="1:5" x14ac:dyDescent="0.3">
      <c r="A465">
        <v>13</v>
      </c>
      <c r="B465">
        <v>165000</v>
      </c>
      <c r="C465" t="s">
        <v>45</v>
      </c>
      <c r="D465" t="s">
        <v>43</v>
      </c>
      <c r="E465">
        <v>3.9005999999999999E-2</v>
      </c>
    </row>
    <row r="466" spans="1:5" x14ac:dyDescent="0.3">
      <c r="A466">
        <v>13</v>
      </c>
      <c r="B466">
        <v>165000</v>
      </c>
      <c r="C466" t="s">
        <v>46</v>
      </c>
      <c r="D466" t="s">
        <v>28</v>
      </c>
      <c r="E466">
        <v>143206.45895900001</v>
      </c>
    </row>
    <row r="467" spans="1:5" x14ac:dyDescent="0.3">
      <c r="A467">
        <v>13</v>
      </c>
      <c r="B467">
        <v>165000</v>
      </c>
      <c r="C467" t="s">
        <v>46</v>
      </c>
      <c r="D467" t="s">
        <v>29</v>
      </c>
      <c r="E467">
        <v>8.9190000000000005E-2</v>
      </c>
    </row>
    <row r="468" spans="1:5" x14ac:dyDescent="0.3">
      <c r="A468">
        <v>13</v>
      </c>
      <c r="B468">
        <v>165000</v>
      </c>
      <c r="C468" t="s">
        <v>46</v>
      </c>
      <c r="D468" t="s">
        <v>30</v>
      </c>
      <c r="E468">
        <v>3.6398E-2</v>
      </c>
    </row>
    <row r="469" spans="1:5" x14ac:dyDescent="0.3">
      <c r="A469">
        <v>13</v>
      </c>
      <c r="B469">
        <v>165000</v>
      </c>
      <c r="C469" t="s">
        <v>46</v>
      </c>
      <c r="D469" t="s">
        <v>31</v>
      </c>
      <c r="E469">
        <v>3.2446999999999997E-2</v>
      </c>
    </row>
    <row r="470" spans="1:5" x14ac:dyDescent="0.3">
      <c r="A470">
        <v>13</v>
      </c>
      <c r="B470">
        <v>165000</v>
      </c>
      <c r="C470" t="s">
        <v>46</v>
      </c>
      <c r="D470" t="s">
        <v>32</v>
      </c>
      <c r="E470">
        <v>3.2937000000000001E-2</v>
      </c>
    </row>
    <row r="471" spans="1:5" x14ac:dyDescent="0.3">
      <c r="A471">
        <v>13</v>
      </c>
      <c r="B471">
        <v>165000</v>
      </c>
      <c r="C471" t="s">
        <v>46</v>
      </c>
      <c r="D471" t="s">
        <v>33</v>
      </c>
      <c r="E471">
        <v>8.4502999999999995E-2</v>
      </c>
    </row>
    <row r="472" spans="1:5" x14ac:dyDescent="0.3">
      <c r="A472">
        <v>13</v>
      </c>
      <c r="B472">
        <v>165000</v>
      </c>
      <c r="C472" t="s">
        <v>46</v>
      </c>
      <c r="D472" t="s">
        <v>34</v>
      </c>
      <c r="E472">
        <v>4.4259E-2</v>
      </c>
    </row>
    <row r="473" spans="1:5" x14ac:dyDescent="0.3">
      <c r="A473">
        <v>13</v>
      </c>
      <c r="B473">
        <v>165000</v>
      </c>
      <c r="C473" t="s">
        <v>46</v>
      </c>
      <c r="D473" t="s">
        <v>35</v>
      </c>
      <c r="E473">
        <v>21792.859385</v>
      </c>
    </row>
    <row r="474" spans="1:5" x14ac:dyDescent="0.3">
      <c r="A474">
        <v>13</v>
      </c>
      <c r="B474">
        <v>165000</v>
      </c>
      <c r="C474" t="s">
        <v>46</v>
      </c>
      <c r="D474" t="s">
        <v>36</v>
      </c>
      <c r="E474">
        <v>3.2659000000000001E-2</v>
      </c>
    </row>
    <row r="475" spans="1:5" x14ac:dyDescent="0.3">
      <c r="A475">
        <v>13</v>
      </c>
      <c r="B475">
        <v>165000</v>
      </c>
      <c r="C475" t="s">
        <v>46</v>
      </c>
      <c r="D475" t="s">
        <v>37</v>
      </c>
      <c r="E475">
        <v>5.7393E-2</v>
      </c>
    </row>
    <row r="476" spans="1:5" x14ac:dyDescent="0.3">
      <c r="A476">
        <v>13</v>
      </c>
      <c r="B476">
        <v>165000</v>
      </c>
      <c r="C476" t="s">
        <v>46</v>
      </c>
      <c r="D476" t="s">
        <v>38</v>
      </c>
      <c r="E476">
        <v>4.5321E-2</v>
      </c>
    </row>
    <row r="477" spans="1:5" x14ac:dyDescent="0.3">
      <c r="A477">
        <v>13</v>
      </c>
      <c r="B477">
        <v>165000</v>
      </c>
      <c r="C477" t="s">
        <v>46</v>
      </c>
      <c r="D477" t="s">
        <v>39</v>
      </c>
      <c r="E477">
        <v>5.2000999999999999E-2</v>
      </c>
    </row>
    <row r="478" spans="1:5" x14ac:dyDescent="0.3">
      <c r="A478">
        <v>13</v>
      </c>
      <c r="B478">
        <v>165000</v>
      </c>
      <c r="C478" t="s">
        <v>46</v>
      </c>
      <c r="D478" t="s">
        <v>40</v>
      </c>
      <c r="E478">
        <v>0.14760999999999999</v>
      </c>
    </row>
    <row r="479" spans="1:5" x14ac:dyDescent="0.3">
      <c r="A479">
        <v>13</v>
      </c>
      <c r="B479">
        <v>165000</v>
      </c>
      <c r="C479" t="s">
        <v>46</v>
      </c>
      <c r="D479" t="s">
        <v>41</v>
      </c>
      <c r="E479">
        <v>4.8332E-2</v>
      </c>
    </row>
    <row r="480" spans="1:5" x14ac:dyDescent="0.3">
      <c r="A480">
        <v>13</v>
      </c>
      <c r="B480">
        <v>165000</v>
      </c>
      <c r="C480" t="s">
        <v>46</v>
      </c>
      <c r="D480" t="s">
        <v>42</v>
      </c>
      <c r="E480">
        <v>3.4978000000000002E-2</v>
      </c>
    </row>
    <row r="481" spans="1:5" x14ac:dyDescent="0.3">
      <c r="A481">
        <v>13</v>
      </c>
      <c r="B481">
        <v>165000</v>
      </c>
      <c r="C481" t="s">
        <v>46</v>
      </c>
      <c r="D481" t="s">
        <v>43</v>
      </c>
      <c r="E481">
        <v>2.7871E-2</v>
      </c>
    </row>
    <row r="482" spans="1:5" x14ac:dyDescent="0.3">
      <c r="A482">
        <v>13</v>
      </c>
      <c r="B482">
        <v>165000</v>
      </c>
      <c r="C482" t="s">
        <v>47</v>
      </c>
      <c r="D482" t="s">
        <v>28</v>
      </c>
      <c r="E482">
        <v>140462.698512</v>
      </c>
    </row>
    <row r="483" spans="1:5" x14ac:dyDescent="0.3">
      <c r="A483">
        <v>13</v>
      </c>
      <c r="B483">
        <v>165000</v>
      </c>
      <c r="C483" t="s">
        <v>47</v>
      </c>
      <c r="D483" t="s">
        <v>29</v>
      </c>
      <c r="E483">
        <v>1.6712000000000001E-2</v>
      </c>
    </row>
    <row r="484" spans="1:5" x14ac:dyDescent="0.3">
      <c r="A484">
        <v>13</v>
      </c>
      <c r="B484">
        <v>165000</v>
      </c>
      <c r="C484" t="s">
        <v>47</v>
      </c>
      <c r="D484" t="s">
        <v>30</v>
      </c>
      <c r="E484">
        <v>6.6759999999999996E-3</v>
      </c>
    </row>
    <row r="485" spans="1:5" x14ac:dyDescent="0.3">
      <c r="A485">
        <v>13</v>
      </c>
      <c r="B485">
        <v>165000</v>
      </c>
      <c r="C485" t="s">
        <v>47</v>
      </c>
      <c r="D485" t="s">
        <v>31</v>
      </c>
      <c r="E485">
        <v>6.0439999999999999E-3</v>
      </c>
    </row>
    <row r="486" spans="1:5" x14ac:dyDescent="0.3">
      <c r="A486">
        <v>13</v>
      </c>
      <c r="B486">
        <v>165000</v>
      </c>
      <c r="C486" t="s">
        <v>47</v>
      </c>
      <c r="D486" t="s">
        <v>32</v>
      </c>
      <c r="E486">
        <v>6.3090000000000004E-3</v>
      </c>
    </row>
    <row r="487" spans="1:5" x14ac:dyDescent="0.3">
      <c r="A487">
        <v>13</v>
      </c>
      <c r="B487">
        <v>165000</v>
      </c>
      <c r="C487" t="s">
        <v>47</v>
      </c>
      <c r="D487" t="s">
        <v>33</v>
      </c>
      <c r="E487">
        <v>2.2586999999999999E-2</v>
      </c>
    </row>
    <row r="488" spans="1:5" x14ac:dyDescent="0.3">
      <c r="A488">
        <v>13</v>
      </c>
      <c r="B488">
        <v>165000</v>
      </c>
      <c r="C488" t="s">
        <v>47</v>
      </c>
      <c r="D488" t="s">
        <v>34</v>
      </c>
      <c r="E488">
        <v>9.2230000000000003E-3</v>
      </c>
    </row>
    <row r="489" spans="1:5" x14ac:dyDescent="0.3">
      <c r="A489">
        <v>13</v>
      </c>
      <c r="B489">
        <v>165000</v>
      </c>
      <c r="C489" t="s">
        <v>47</v>
      </c>
      <c r="D489" t="s">
        <v>35</v>
      </c>
      <c r="E489">
        <v>24537.158039000002</v>
      </c>
    </row>
    <row r="490" spans="1:5" x14ac:dyDescent="0.3">
      <c r="A490">
        <v>13</v>
      </c>
      <c r="B490">
        <v>165000</v>
      </c>
      <c r="C490" t="s">
        <v>47</v>
      </c>
      <c r="D490" t="s">
        <v>36</v>
      </c>
      <c r="E490">
        <v>6.6769999999999998E-3</v>
      </c>
    </row>
    <row r="491" spans="1:5" x14ac:dyDescent="0.3">
      <c r="A491">
        <v>13</v>
      </c>
      <c r="B491">
        <v>165000</v>
      </c>
      <c r="C491" t="s">
        <v>47</v>
      </c>
      <c r="D491" t="s">
        <v>37</v>
      </c>
      <c r="E491">
        <v>1.0926E-2</v>
      </c>
    </row>
    <row r="492" spans="1:5" x14ac:dyDescent="0.3">
      <c r="A492">
        <v>13</v>
      </c>
      <c r="B492">
        <v>165000</v>
      </c>
      <c r="C492" t="s">
        <v>47</v>
      </c>
      <c r="D492" t="s">
        <v>38</v>
      </c>
      <c r="E492">
        <v>8.9960000000000005E-3</v>
      </c>
    </row>
    <row r="493" spans="1:5" x14ac:dyDescent="0.3">
      <c r="A493">
        <v>13</v>
      </c>
      <c r="B493">
        <v>165000</v>
      </c>
      <c r="C493" t="s">
        <v>47</v>
      </c>
      <c r="D493" t="s">
        <v>39</v>
      </c>
      <c r="E493">
        <v>9.9629999999999996E-3</v>
      </c>
    </row>
    <row r="494" spans="1:5" x14ac:dyDescent="0.3">
      <c r="A494">
        <v>13</v>
      </c>
      <c r="B494">
        <v>165000</v>
      </c>
      <c r="C494" t="s">
        <v>47</v>
      </c>
      <c r="D494" t="s">
        <v>40</v>
      </c>
      <c r="E494">
        <v>2.8646000000000001E-2</v>
      </c>
    </row>
    <row r="495" spans="1:5" x14ac:dyDescent="0.3">
      <c r="A495">
        <v>13</v>
      </c>
      <c r="B495">
        <v>165000</v>
      </c>
      <c r="C495" t="s">
        <v>47</v>
      </c>
      <c r="D495" t="s">
        <v>41</v>
      </c>
      <c r="E495">
        <v>1.0274999999999999E-2</v>
      </c>
    </row>
    <row r="496" spans="1:5" x14ac:dyDescent="0.3">
      <c r="A496">
        <v>13</v>
      </c>
      <c r="B496">
        <v>165000</v>
      </c>
      <c r="C496" t="s">
        <v>47</v>
      </c>
      <c r="D496" t="s">
        <v>42</v>
      </c>
      <c r="E496">
        <v>7.162E-3</v>
      </c>
    </row>
    <row r="497" spans="1:5" x14ac:dyDescent="0.3">
      <c r="A497">
        <v>13</v>
      </c>
      <c r="B497">
        <v>165000</v>
      </c>
      <c r="C497" t="s">
        <v>47</v>
      </c>
      <c r="D497" t="s">
        <v>43</v>
      </c>
      <c r="E497">
        <v>6.1760000000000001E-3</v>
      </c>
    </row>
    <row r="498" spans="1:5" x14ac:dyDescent="0.3">
      <c r="A498">
        <v>14</v>
      </c>
      <c r="B498">
        <v>170000</v>
      </c>
      <c r="C498" t="s">
        <v>45</v>
      </c>
      <c r="D498" t="s">
        <v>28</v>
      </c>
      <c r="E498">
        <v>140442.30308899999</v>
      </c>
    </row>
    <row r="499" spans="1:5" x14ac:dyDescent="0.3">
      <c r="A499">
        <v>14</v>
      </c>
      <c r="B499">
        <v>170000</v>
      </c>
      <c r="C499" t="s">
        <v>45</v>
      </c>
      <c r="D499" t="s">
        <v>29</v>
      </c>
      <c r="E499">
        <v>0.17507500000000001</v>
      </c>
    </row>
    <row r="500" spans="1:5" x14ac:dyDescent="0.3">
      <c r="A500">
        <v>14</v>
      </c>
      <c r="B500">
        <v>170000</v>
      </c>
      <c r="C500" t="s">
        <v>45</v>
      </c>
      <c r="D500" t="s">
        <v>30</v>
      </c>
      <c r="E500">
        <v>6.2732999999999997E-2</v>
      </c>
    </row>
    <row r="501" spans="1:5" x14ac:dyDescent="0.3">
      <c r="A501">
        <v>14</v>
      </c>
      <c r="B501">
        <v>170000</v>
      </c>
      <c r="C501" t="s">
        <v>45</v>
      </c>
      <c r="D501" t="s">
        <v>31</v>
      </c>
      <c r="E501">
        <v>5.4531000000000003E-2</v>
      </c>
    </row>
    <row r="502" spans="1:5" x14ac:dyDescent="0.3">
      <c r="A502">
        <v>14</v>
      </c>
      <c r="B502">
        <v>170000</v>
      </c>
      <c r="C502" t="s">
        <v>45</v>
      </c>
      <c r="D502" t="s">
        <v>32</v>
      </c>
      <c r="E502">
        <v>5.6432000000000003E-2</v>
      </c>
    </row>
    <row r="503" spans="1:5" x14ac:dyDescent="0.3">
      <c r="A503">
        <v>14</v>
      </c>
      <c r="B503">
        <v>170000</v>
      </c>
      <c r="C503" t="s">
        <v>45</v>
      </c>
      <c r="D503" t="s">
        <v>33</v>
      </c>
      <c r="E503">
        <v>0.181307</v>
      </c>
    </row>
    <row r="504" spans="1:5" x14ac:dyDescent="0.3">
      <c r="A504">
        <v>14</v>
      </c>
      <c r="B504">
        <v>170000</v>
      </c>
      <c r="C504" t="s">
        <v>45</v>
      </c>
      <c r="D504" t="s">
        <v>34</v>
      </c>
      <c r="E504">
        <v>5.8606999999999999E-2</v>
      </c>
    </row>
    <row r="505" spans="1:5" x14ac:dyDescent="0.3">
      <c r="A505">
        <v>14</v>
      </c>
      <c r="B505">
        <v>170000</v>
      </c>
      <c r="C505" t="s">
        <v>45</v>
      </c>
      <c r="D505" t="s">
        <v>35</v>
      </c>
      <c r="E505">
        <v>29556.401678999999</v>
      </c>
    </row>
    <row r="506" spans="1:5" x14ac:dyDescent="0.3">
      <c r="A506">
        <v>14</v>
      </c>
      <c r="B506">
        <v>170000</v>
      </c>
      <c r="C506" t="s">
        <v>45</v>
      </c>
      <c r="D506" t="s">
        <v>36</v>
      </c>
      <c r="E506">
        <v>5.2814E-2</v>
      </c>
    </row>
    <row r="507" spans="1:5" x14ac:dyDescent="0.3">
      <c r="A507">
        <v>14</v>
      </c>
      <c r="B507">
        <v>170000</v>
      </c>
      <c r="C507" t="s">
        <v>45</v>
      </c>
      <c r="D507" t="s">
        <v>37</v>
      </c>
      <c r="E507">
        <v>0.117441</v>
      </c>
    </row>
    <row r="508" spans="1:5" x14ac:dyDescent="0.3">
      <c r="A508">
        <v>14</v>
      </c>
      <c r="B508">
        <v>170000</v>
      </c>
      <c r="C508" t="s">
        <v>45</v>
      </c>
      <c r="D508" t="s">
        <v>38</v>
      </c>
      <c r="E508">
        <v>8.7827000000000002E-2</v>
      </c>
    </row>
    <row r="509" spans="1:5" x14ac:dyDescent="0.3">
      <c r="A509">
        <v>14</v>
      </c>
      <c r="B509">
        <v>170000</v>
      </c>
      <c r="C509" t="s">
        <v>45</v>
      </c>
      <c r="D509" t="s">
        <v>39</v>
      </c>
      <c r="E509">
        <v>9.0134000000000006E-2</v>
      </c>
    </row>
    <row r="510" spans="1:5" x14ac:dyDescent="0.3">
      <c r="A510">
        <v>14</v>
      </c>
      <c r="B510">
        <v>170000</v>
      </c>
      <c r="C510" t="s">
        <v>45</v>
      </c>
      <c r="D510" t="s">
        <v>40</v>
      </c>
      <c r="E510">
        <v>0.24029700000000001</v>
      </c>
    </row>
    <row r="511" spans="1:5" x14ac:dyDescent="0.3">
      <c r="A511">
        <v>14</v>
      </c>
      <c r="B511">
        <v>170000</v>
      </c>
      <c r="C511" t="s">
        <v>45</v>
      </c>
      <c r="D511" t="s">
        <v>41</v>
      </c>
      <c r="E511">
        <v>8.695E-2</v>
      </c>
    </row>
    <row r="512" spans="1:5" x14ac:dyDescent="0.3">
      <c r="A512">
        <v>14</v>
      </c>
      <c r="B512">
        <v>170000</v>
      </c>
      <c r="C512" t="s">
        <v>45</v>
      </c>
      <c r="D512" t="s">
        <v>42</v>
      </c>
      <c r="E512">
        <v>5.3586000000000002E-2</v>
      </c>
    </row>
    <row r="513" spans="1:5" x14ac:dyDescent="0.3">
      <c r="A513">
        <v>14</v>
      </c>
      <c r="B513">
        <v>170000</v>
      </c>
      <c r="C513" t="s">
        <v>45</v>
      </c>
      <c r="D513" t="s">
        <v>43</v>
      </c>
      <c r="E513">
        <v>3.8392999999999997E-2</v>
      </c>
    </row>
    <row r="514" spans="1:5" x14ac:dyDescent="0.3">
      <c r="A514">
        <v>14</v>
      </c>
      <c r="B514">
        <v>170000</v>
      </c>
      <c r="C514" t="s">
        <v>46</v>
      </c>
      <c r="D514" t="s">
        <v>28</v>
      </c>
      <c r="E514">
        <v>143896.35316900001</v>
      </c>
    </row>
    <row r="515" spans="1:5" x14ac:dyDescent="0.3">
      <c r="A515">
        <v>14</v>
      </c>
      <c r="B515">
        <v>170000</v>
      </c>
      <c r="C515" t="s">
        <v>46</v>
      </c>
      <c r="D515" t="s">
        <v>29</v>
      </c>
      <c r="E515">
        <v>9.6188999999999997E-2</v>
      </c>
    </row>
    <row r="516" spans="1:5" x14ac:dyDescent="0.3">
      <c r="A516">
        <v>14</v>
      </c>
      <c r="B516">
        <v>170000</v>
      </c>
      <c r="C516" t="s">
        <v>46</v>
      </c>
      <c r="D516" t="s">
        <v>30</v>
      </c>
      <c r="E516">
        <v>4.5016E-2</v>
      </c>
    </row>
    <row r="517" spans="1:5" x14ac:dyDescent="0.3">
      <c r="A517">
        <v>14</v>
      </c>
      <c r="B517">
        <v>170000</v>
      </c>
      <c r="C517" t="s">
        <v>46</v>
      </c>
      <c r="D517" t="s">
        <v>31</v>
      </c>
      <c r="E517">
        <v>3.5124000000000002E-2</v>
      </c>
    </row>
    <row r="518" spans="1:5" x14ac:dyDescent="0.3">
      <c r="A518">
        <v>14</v>
      </c>
      <c r="B518">
        <v>170000</v>
      </c>
      <c r="C518" t="s">
        <v>46</v>
      </c>
      <c r="D518" t="s">
        <v>32</v>
      </c>
      <c r="E518">
        <v>3.6233000000000001E-2</v>
      </c>
    </row>
    <row r="519" spans="1:5" x14ac:dyDescent="0.3">
      <c r="A519">
        <v>14</v>
      </c>
      <c r="B519">
        <v>170000</v>
      </c>
      <c r="C519" t="s">
        <v>46</v>
      </c>
      <c r="D519" t="s">
        <v>33</v>
      </c>
      <c r="E519">
        <v>7.8675999999999996E-2</v>
      </c>
    </row>
    <row r="520" spans="1:5" x14ac:dyDescent="0.3">
      <c r="A520">
        <v>14</v>
      </c>
      <c r="B520">
        <v>170000</v>
      </c>
      <c r="C520" t="s">
        <v>46</v>
      </c>
      <c r="D520" t="s">
        <v>34</v>
      </c>
      <c r="E520">
        <v>4.7780999999999997E-2</v>
      </c>
    </row>
    <row r="521" spans="1:5" x14ac:dyDescent="0.3">
      <c r="A521">
        <v>14</v>
      </c>
      <c r="B521">
        <v>170000</v>
      </c>
      <c r="C521" t="s">
        <v>46</v>
      </c>
      <c r="D521" t="s">
        <v>35</v>
      </c>
      <c r="E521">
        <v>26102.883032000002</v>
      </c>
    </row>
    <row r="522" spans="1:5" x14ac:dyDescent="0.3">
      <c r="A522">
        <v>14</v>
      </c>
      <c r="B522">
        <v>170000</v>
      </c>
      <c r="C522" t="s">
        <v>46</v>
      </c>
      <c r="D522" t="s">
        <v>36</v>
      </c>
      <c r="E522">
        <v>3.4341999999999998E-2</v>
      </c>
    </row>
    <row r="523" spans="1:5" x14ac:dyDescent="0.3">
      <c r="A523">
        <v>14</v>
      </c>
      <c r="B523">
        <v>170000</v>
      </c>
      <c r="C523" t="s">
        <v>46</v>
      </c>
      <c r="D523" t="s">
        <v>37</v>
      </c>
      <c r="E523">
        <v>6.2191999999999997E-2</v>
      </c>
    </row>
    <row r="524" spans="1:5" x14ac:dyDescent="0.3">
      <c r="A524">
        <v>14</v>
      </c>
      <c r="B524">
        <v>170000</v>
      </c>
      <c r="C524" t="s">
        <v>46</v>
      </c>
      <c r="D524" t="s">
        <v>38</v>
      </c>
      <c r="E524">
        <v>5.0944999999999997E-2</v>
      </c>
    </row>
    <row r="525" spans="1:5" x14ac:dyDescent="0.3">
      <c r="A525">
        <v>14</v>
      </c>
      <c r="B525">
        <v>170000</v>
      </c>
      <c r="C525" t="s">
        <v>46</v>
      </c>
      <c r="D525" t="s">
        <v>39</v>
      </c>
      <c r="E525">
        <v>5.6696999999999997E-2</v>
      </c>
    </row>
    <row r="526" spans="1:5" x14ac:dyDescent="0.3">
      <c r="A526">
        <v>14</v>
      </c>
      <c r="B526">
        <v>170000</v>
      </c>
      <c r="C526" t="s">
        <v>46</v>
      </c>
      <c r="D526" t="s">
        <v>40</v>
      </c>
      <c r="E526">
        <v>0.16059699999999999</v>
      </c>
    </row>
    <row r="527" spans="1:5" x14ac:dyDescent="0.3">
      <c r="A527">
        <v>14</v>
      </c>
      <c r="B527">
        <v>170000</v>
      </c>
      <c r="C527" t="s">
        <v>46</v>
      </c>
      <c r="D527" t="s">
        <v>41</v>
      </c>
      <c r="E527">
        <v>5.0164E-2</v>
      </c>
    </row>
    <row r="528" spans="1:5" x14ac:dyDescent="0.3">
      <c r="A528">
        <v>14</v>
      </c>
      <c r="B528">
        <v>170000</v>
      </c>
      <c r="C528" t="s">
        <v>46</v>
      </c>
      <c r="D528" t="s">
        <v>42</v>
      </c>
      <c r="E528">
        <v>3.7019999999999997E-2</v>
      </c>
    </row>
    <row r="529" spans="1:5" x14ac:dyDescent="0.3">
      <c r="A529">
        <v>14</v>
      </c>
      <c r="B529">
        <v>170000</v>
      </c>
      <c r="C529" t="s">
        <v>46</v>
      </c>
      <c r="D529" t="s">
        <v>43</v>
      </c>
      <c r="E529">
        <v>2.8274000000000001E-2</v>
      </c>
    </row>
    <row r="530" spans="1:5" x14ac:dyDescent="0.3">
      <c r="A530">
        <v>14</v>
      </c>
      <c r="B530">
        <v>170000</v>
      </c>
      <c r="C530" t="s">
        <v>47</v>
      </c>
      <c r="D530" t="s">
        <v>28</v>
      </c>
      <c r="E530">
        <v>140636.27889300001</v>
      </c>
    </row>
    <row r="531" spans="1:5" x14ac:dyDescent="0.3">
      <c r="A531">
        <v>14</v>
      </c>
      <c r="B531">
        <v>170000</v>
      </c>
      <c r="C531" t="s">
        <v>47</v>
      </c>
      <c r="D531" t="s">
        <v>29</v>
      </c>
      <c r="E531">
        <v>4.2006000000000002E-2</v>
      </c>
    </row>
    <row r="532" spans="1:5" x14ac:dyDescent="0.3">
      <c r="A532">
        <v>14</v>
      </c>
      <c r="B532">
        <v>170000</v>
      </c>
      <c r="C532" t="s">
        <v>47</v>
      </c>
      <c r="D532" t="s">
        <v>30</v>
      </c>
      <c r="E532">
        <v>1.6107E-2</v>
      </c>
    </row>
    <row r="533" spans="1:5" x14ac:dyDescent="0.3">
      <c r="A533">
        <v>14</v>
      </c>
      <c r="B533">
        <v>170000</v>
      </c>
      <c r="C533" t="s">
        <v>47</v>
      </c>
      <c r="D533" t="s">
        <v>31</v>
      </c>
      <c r="E533">
        <v>1.5029000000000001E-2</v>
      </c>
    </row>
    <row r="534" spans="1:5" x14ac:dyDescent="0.3">
      <c r="A534">
        <v>14</v>
      </c>
      <c r="B534">
        <v>170000</v>
      </c>
      <c r="C534" t="s">
        <v>47</v>
      </c>
      <c r="D534" t="s">
        <v>32</v>
      </c>
      <c r="E534">
        <v>1.5713999999999999E-2</v>
      </c>
    </row>
    <row r="535" spans="1:5" x14ac:dyDescent="0.3">
      <c r="A535">
        <v>14</v>
      </c>
      <c r="B535">
        <v>170000</v>
      </c>
      <c r="C535" t="s">
        <v>47</v>
      </c>
      <c r="D535" t="s">
        <v>33</v>
      </c>
      <c r="E535">
        <v>5.5159E-2</v>
      </c>
    </row>
    <row r="536" spans="1:5" x14ac:dyDescent="0.3">
      <c r="A536">
        <v>14</v>
      </c>
      <c r="B536">
        <v>170000</v>
      </c>
      <c r="C536" t="s">
        <v>47</v>
      </c>
      <c r="D536" t="s">
        <v>34</v>
      </c>
      <c r="E536">
        <v>2.3279999999999999E-2</v>
      </c>
    </row>
    <row r="537" spans="1:5" x14ac:dyDescent="0.3">
      <c r="A537">
        <v>14</v>
      </c>
      <c r="B537">
        <v>170000</v>
      </c>
      <c r="C537" t="s">
        <v>47</v>
      </c>
      <c r="D537" t="s">
        <v>35</v>
      </c>
      <c r="E537">
        <v>29363.371329000001</v>
      </c>
    </row>
    <row r="538" spans="1:5" x14ac:dyDescent="0.3">
      <c r="A538">
        <v>14</v>
      </c>
      <c r="B538">
        <v>170000</v>
      </c>
      <c r="C538" t="s">
        <v>47</v>
      </c>
      <c r="D538" t="s">
        <v>36</v>
      </c>
      <c r="E538">
        <v>1.6500000000000001E-2</v>
      </c>
    </row>
    <row r="539" spans="1:5" x14ac:dyDescent="0.3">
      <c r="A539">
        <v>14</v>
      </c>
      <c r="B539">
        <v>170000</v>
      </c>
      <c r="C539" t="s">
        <v>47</v>
      </c>
      <c r="D539" t="s">
        <v>37</v>
      </c>
      <c r="E539">
        <v>2.7244000000000001E-2</v>
      </c>
    </row>
    <row r="540" spans="1:5" x14ac:dyDescent="0.3">
      <c r="A540">
        <v>14</v>
      </c>
      <c r="B540">
        <v>170000</v>
      </c>
      <c r="C540" t="s">
        <v>47</v>
      </c>
      <c r="D540" t="s">
        <v>38</v>
      </c>
      <c r="E540">
        <v>2.2397E-2</v>
      </c>
    </row>
    <row r="541" spans="1:5" x14ac:dyDescent="0.3">
      <c r="A541">
        <v>14</v>
      </c>
      <c r="B541">
        <v>170000</v>
      </c>
      <c r="C541" t="s">
        <v>47</v>
      </c>
      <c r="D541" t="s">
        <v>39</v>
      </c>
      <c r="E541">
        <v>2.4781000000000001E-2</v>
      </c>
    </row>
    <row r="542" spans="1:5" x14ac:dyDescent="0.3">
      <c r="A542">
        <v>14</v>
      </c>
      <c r="B542">
        <v>170000</v>
      </c>
      <c r="C542" t="s">
        <v>47</v>
      </c>
      <c r="D542" t="s">
        <v>40</v>
      </c>
      <c r="E542">
        <v>7.0514999999999994E-2</v>
      </c>
    </row>
    <row r="543" spans="1:5" x14ac:dyDescent="0.3">
      <c r="A543">
        <v>14</v>
      </c>
      <c r="B543">
        <v>170000</v>
      </c>
      <c r="C543" t="s">
        <v>47</v>
      </c>
      <c r="D543" t="s">
        <v>41</v>
      </c>
      <c r="E543">
        <v>2.5616E-2</v>
      </c>
    </row>
    <row r="544" spans="1:5" x14ac:dyDescent="0.3">
      <c r="A544">
        <v>14</v>
      </c>
      <c r="B544">
        <v>170000</v>
      </c>
      <c r="C544" t="s">
        <v>47</v>
      </c>
      <c r="D544" t="s">
        <v>42</v>
      </c>
      <c r="E544">
        <v>1.7579000000000001E-2</v>
      </c>
    </row>
    <row r="545" spans="1:5" x14ac:dyDescent="0.3">
      <c r="A545">
        <v>14</v>
      </c>
      <c r="B545">
        <v>170000</v>
      </c>
      <c r="C545" t="s">
        <v>47</v>
      </c>
      <c r="D545" t="s">
        <v>43</v>
      </c>
      <c r="E545">
        <v>1.5214E-2</v>
      </c>
    </row>
    <row r="546" spans="1:5" x14ac:dyDescent="0.3">
      <c r="A546">
        <v>15</v>
      </c>
      <c r="B546">
        <v>175000</v>
      </c>
      <c r="C546" t="s">
        <v>45</v>
      </c>
      <c r="D546" t="s">
        <v>28</v>
      </c>
      <c r="E546">
        <v>140537.28626200001</v>
      </c>
    </row>
    <row r="547" spans="1:5" x14ac:dyDescent="0.3">
      <c r="A547">
        <v>15</v>
      </c>
      <c r="B547">
        <v>175000</v>
      </c>
      <c r="C547" t="s">
        <v>45</v>
      </c>
      <c r="D547" t="s">
        <v>29</v>
      </c>
      <c r="E547">
        <v>9.6586000000000005E-2</v>
      </c>
    </row>
    <row r="548" spans="1:5" x14ac:dyDescent="0.3">
      <c r="A548">
        <v>15</v>
      </c>
      <c r="B548">
        <v>175000</v>
      </c>
      <c r="C548" t="s">
        <v>45</v>
      </c>
      <c r="D548" t="s">
        <v>30</v>
      </c>
      <c r="E548">
        <v>3.9635999999999998E-2</v>
      </c>
    </row>
    <row r="549" spans="1:5" x14ac:dyDescent="0.3">
      <c r="A549">
        <v>15</v>
      </c>
      <c r="B549">
        <v>175000</v>
      </c>
      <c r="C549" t="s">
        <v>45</v>
      </c>
      <c r="D549" t="s">
        <v>31</v>
      </c>
      <c r="E549">
        <v>3.1281999999999997E-2</v>
      </c>
    </row>
    <row r="550" spans="1:5" x14ac:dyDescent="0.3">
      <c r="A550">
        <v>15</v>
      </c>
      <c r="B550">
        <v>175000</v>
      </c>
      <c r="C550" t="s">
        <v>45</v>
      </c>
      <c r="D550" t="s">
        <v>32</v>
      </c>
      <c r="E550">
        <v>3.2285000000000001E-2</v>
      </c>
    </row>
    <row r="551" spans="1:5" x14ac:dyDescent="0.3">
      <c r="A551">
        <v>15</v>
      </c>
      <c r="B551">
        <v>175000</v>
      </c>
      <c r="C551" t="s">
        <v>45</v>
      </c>
      <c r="D551" t="s">
        <v>33</v>
      </c>
      <c r="E551">
        <v>0.102107</v>
      </c>
    </row>
    <row r="552" spans="1:5" x14ac:dyDescent="0.3">
      <c r="A552">
        <v>15</v>
      </c>
      <c r="B552">
        <v>175000</v>
      </c>
      <c r="C552" t="s">
        <v>45</v>
      </c>
      <c r="D552" t="s">
        <v>34</v>
      </c>
      <c r="E552">
        <v>3.4616000000000001E-2</v>
      </c>
    </row>
    <row r="553" spans="1:5" x14ac:dyDescent="0.3">
      <c r="A553">
        <v>15</v>
      </c>
      <c r="B553">
        <v>175000</v>
      </c>
      <c r="C553" t="s">
        <v>45</v>
      </c>
      <c r="D553" t="s">
        <v>35</v>
      </c>
      <c r="E553">
        <v>34461.973695000001</v>
      </c>
    </row>
    <row r="554" spans="1:5" x14ac:dyDescent="0.3">
      <c r="A554">
        <v>15</v>
      </c>
      <c r="B554">
        <v>175000</v>
      </c>
      <c r="C554" t="s">
        <v>45</v>
      </c>
      <c r="D554" t="s">
        <v>36</v>
      </c>
      <c r="E554">
        <v>3.0054999999999998E-2</v>
      </c>
    </row>
    <row r="555" spans="1:5" x14ac:dyDescent="0.3">
      <c r="A555">
        <v>15</v>
      </c>
      <c r="B555">
        <v>175000</v>
      </c>
      <c r="C555" t="s">
        <v>45</v>
      </c>
      <c r="D555" t="s">
        <v>37</v>
      </c>
      <c r="E555">
        <v>6.6415000000000002E-2</v>
      </c>
    </row>
    <row r="556" spans="1:5" x14ac:dyDescent="0.3">
      <c r="A556">
        <v>15</v>
      </c>
      <c r="B556">
        <v>175000</v>
      </c>
      <c r="C556" t="s">
        <v>45</v>
      </c>
      <c r="D556" t="s">
        <v>38</v>
      </c>
      <c r="E556">
        <v>4.9880000000000001E-2</v>
      </c>
    </row>
    <row r="557" spans="1:5" x14ac:dyDescent="0.3">
      <c r="A557">
        <v>15</v>
      </c>
      <c r="B557">
        <v>175000</v>
      </c>
      <c r="C557" t="s">
        <v>45</v>
      </c>
      <c r="D557" t="s">
        <v>39</v>
      </c>
      <c r="E557">
        <v>5.1004000000000001E-2</v>
      </c>
    </row>
    <row r="558" spans="1:5" x14ac:dyDescent="0.3">
      <c r="A558">
        <v>15</v>
      </c>
      <c r="B558">
        <v>175000</v>
      </c>
      <c r="C558" t="s">
        <v>45</v>
      </c>
      <c r="D558" t="s">
        <v>40</v>
      </c>
      <c r="E558">
        <v>0.14011599999999999</v>
      </c>
    </row>
    <row r="559" spans="1:5" x14ac:dyDescent="0.3">
      <c r="A559">
        <v>15</v>
      </c>
      <c r="B559">
        <v>175000</v>
      </c>
      <c r="C559" t="s">
        <v>45</v>
      </c>
      <c r="D559" t="s">
        <v>41</v>
      </c>
      <c r="E559">
        <v>4.8954999999999999E-2</v>
      </c>
    </row>
    <row r="560" spans="1:5" x14ac:dyDescent="0.3">
      <c r="A560">
        <v>15</v>
      </c>
      <c r="B560">
        <v>175000</v>
      </c>
      <c r="C560" t="s">
        <v>45</v>
      </c>
      <c r="D560" t="s">
        <v>42</v>
      </c>
      <c r="E560">
        <v>3.0516000000000001E-2</v>
      </c>
    </row>
    <row r="561" spans="1:5" x14ac:dyDescent="0.3">
      <c r="A561">
        <v>15</v>
      </c>
      <c r="B561">
        <v>175000</v>
      </c>
      <c r="C561" t="s">
        <v>45</v>
      </c>
      <c r="D561" t="s">
        <v>43</v>
      </c>
      <c r="E561">
        <v>2.179E-2</v>
      </c>
    </row>
    <row r="562" spans="1:5" x14ac:dyDescent="0.3">
      <c r="A562">
        <v>15</v>
      </c>
      <c r="B562">
        <v>175000</v>
      </c>
      <c r="C562" t="s">
        <v>46</v>
      </c>
      <c r="D562" t="s">
        <v>28</v>
      </c>
      <c r="E562">
        <v>143988.35600100001</v>
      </c>
    </row>
    <row r="563" spans="1:5" x14ac:dyDescent="0.3">
      <c r="A563">
        <v>15</v>
      </c>
      <c r="B563">
        <v>175000</v>
      </c>
      <c r="C563" t="s">
        <v>46</v>
      </c>
      <c r="D563" t="s">
        <v>29</v>
      </c>
      <c r="E563">
        <v>9.6126000000000003E-2</v>
      </c>
    </row>
    <row r="564" spans="1:5" x14ac:dyDescent="0.3">
      <c r="A564">
        <v>15</v>
      </c>
      <c r="B564">
        <v>175000</v>
      </c>
      <c r="C564" t="s">
        <v>46</v>
      </c>
      <c r="D564" t="s">
        <v>30</v>
      </c>
      <c r="E564">
        <v>4.6734999999999999E-2</v>
      </c>
    </row>
    <row r="565" spans="1:5" x14ac:dyDescent="0.3">
      <c r="A565">
        <v>15</v>
      </c>
      <c r="B565">
        <v>175000</v>
      </c>
      <c r="C565" t="s">
        <v>46</v>
      </c>
      <c r="D565" t="s">
        <v>31</v>
      </c>
      <c r="E565">
        <v>3.4633999999999998E-2</v>
      </c>
    </row>
    <row r="566" spans="1:5" x14ac:dyDescent="0.3">
      <c r="A566">
        <v>15</v>
      </c>
      <c r="B566">
        <v>175000</v>
      </c>
      <c r="C566" t="s">
        <v>46</v>
      </c>
      <c r="D566" t="s">
        <v>32</v>
      </c>
      <c r="E566">
        <v>3.5742999999999997E-2</v>
      </c>
    </row>
    <row r="567" spans="1:5" x14ac:dyDescent="0.3">
      <c r="A567">
        <v>15</v>
      </c>
      <c r="B567">
        <v>175000</v>
      </c>
      <c r="C567" t="s">
        <v>46</v>
      </c>
      <c r="D567" t="s">
        <v>33</v>
      </c>
      <c r="E567">
        <v>8.5448999999999997E-2</v>
      </c>
    </row>
    <row r="568" spans="1:5" x14ac:dyDescent="0.3">
      <c r="A568">
        <v>15</v>
      </c>
      <c r="B568">
        <v>175000</v>
      </c>
      <c r="C568" t="s">
        <v>46</v>
      </c>
      <c r="D568" t="s">
        <v>34</v>
      </c>
      <c r="E568">
        <v>4.6723000000000001E-2</v>
      </c>
    </row>
    <row r="569" spans="1:5" x14ac:dyDescent="0.3">
      <c r="A569">
        <v>15</v>
      </c>
      <c r="B569">
        <v>175000</v>
      </c>
      <c r="C569" t="s">
        <v>46</v>
      </c>
      <c r="D569" t="s">
        <v>35</v>
      </c>
      <c r="E569">
        <v>31010.903224999998</v>
      </c>
    </row>
    <row r="570" spans="1:5" x14ac:dyDescent="0.3">
      <c r="A570">
        <v>15</v>
      </c>
      <c r="B570">
        <v>175000</v>
      </c>
      <c r="C570" t="s">
        <v>46</v>
      </c>
      <c r="D570" t="s">
        <v>36</v>
      </c>
      <c r="E570">
        <v>3.4195999999999997E-2</v>
      </c>
    </row>
    <row r="571" spans="1:5" x14ac:dyDescent="0.3">
      <c r="A571">
        <v>15</v>
      </c>
      <c r="B571">
        <v>175000</v>
      </c>
      <c r="C571" t="s">
        <v>46</v>
      </c>
      <c r="D571" t="s">
        <v>37</v>
      </c>
      <c r="E571">
        <v>6.1898000000000002E-2</v>
      </c>
    </row>
    <row r="572" spans="1:5" x14ac:dyDescent="0.3">
      <c r="A572">
        <v>15</v>
      </c>
      <c r="B572">
        <v>175000</v>
      </c>
      <c r="C572" t="s">
        <v>46</v>
      </c>
      <c r="D572" t="s">
        <v>38</v>
      </c>
      <c r="E572">
        <v>5.0189999999999999E-2</v>
      </c>
    </row>
    <row r="573" spans="1:5" x14ac:dyDescent="0.3">
      <c r="A573">
        <v>15</v>
      </c>
      <c r="B573">
        <v>175000</v>
      </c>
      <c r="C573" t="s">
        <v>46</v>
      </c>
      <c r="D573" t="s">
        <v>39</v>
      </c>
      <c r="E573">
        <v>5.5614999999999998E-2</v>
      </c>
    </row>
    <row r="574" spans="1:5" x14ac:dyDescent="0.3">
      <c r="A574">
        <v>15</v>
      </c>
      <c r="B574">
        <v>175000</v>
      </c>
      <c r="C574" t="s">
        <v>46</v>
      </c>
      <c r="D574" t="s">
        <v>40</v>
      </c>
      <c r="E574">
        <v>0.158471</v>
      </c>
    </row>
    <row r="575" spans="1:5" x14ac:dyDescent="0.3">
      <c r="A575">
        <v>15</v>
      </c>
      <c r="B575">
        <v>175000</v>
      </c>
      <c r="C575" t="s">
        <v>46</v>
      </c>
      <c r="D575" t="s">
        <v>41</v>
      </c>
      <c r="E575">
        <v>5.0481999999999999E-2</v>
      </c>
    </row>
    <row r="576" spans="1:5" x14ac:dyDescent="0.3">
      <c r="A576">
        <v>15</v>
      </c>
      <c r="B576">
        <v>175000</v>
      </c>
      <c r="C576" t="s">
        <v>46</v>
      </c>
      <c r="D576" t="s">
        <v>42</v>
      </c>
      <c r="E576">
        <v>3.6601000000000002E-2</v>
      </c>
    </row>
    <row r="577" spans="1:5" x14ac:dyDescent="0.3">
      <c r="A577">
        <v>15</v>
      </c>
      <c r="B577">
        <v>175000</v>
      </c>
      <c r="C577" t="s">
        <v>46</v>
      </c>
      <c r="D577" t="s">
        <v>43</v>
      </c>
      <c r="E577">
        <v>2.8191000000000001E-2</v>
      </c>
    </row>
    <row r="578" spans="1:5" x14ac:dyDescent="0.3">
      <c r="A578">
        <v>15</v>
      </c>
      <c r="B578">
        <v>175000</v>
      </c>
      <c r="C578" t="s">
        <v>47</v>
      </c>
      <c r="D578" t="s">
        <v>28</v>
      </c>
      <c r="E578">
        <v>140805.13752300001</v>
      </c>
    </row>
    <row r="579" spans="1:5" x14ac:dyDescent="0.3">
      <c r="A579">
        <v>15</v>
      </c>
      <c r="B579">
        <v>175000</v>
      </c>
      <c r="C579" t="s">
        <v>47</v>
      </c>
      <c r="D579" t="s">
        <v>29</v>
      </c>
      <c r="E579">
        <v>2.8518999999999999E-2</v>
      </c>
    </row>
    <row r="580" spans="1:5" x14ac:dyDescent="0.3">
      <c r="A580">
        <v>15</v>
      </c>
      <c r="B580">
        <v>175000</v>
      </c>
      <c r="C580" t="s">
        <v>47</v>
      </c>
      <c r="D580" t="s">
        <v>30</v>
      </c>
      <c r="E580">
        <v>1.3049E-2</v>
      </c>
    </row>
    <row r="581" spans="1:5" x14ac:dyDescent="0.3">
      <c r="A581">
        <v>15</v>
      </c>
      <c r="B581">
        <v>175000</v>
      </c>
      <c r="C581" t="s">
        <v>47</v>
      </c>
      <c r="D581" t="s">
        <v>31</v>
      </c>
      <c r="E581">
        <v>1.0041E-2</v>
      </c>
    </row>
    <row r="582" spans="1:5" x14ac:dyDescent="0.3">
      <c r="A582">
        <v>15</v>
      </c>
      <c r="B582">
        <v>175000</v>
      </c>
      <c r="C582" t="s">
        <v>47</v>
      </c>
      <c r="D582" t="s">
        <v>32</v>
      </c>
      <c r="E582">
        <v>1.0600999999999999E-2</v>
      </c>
    </row>
    <row r="583" spans="1:5" x14ac:dyDescent="0.3">
      <c r="A583">
        <v>15</v>
      </c>
      <c r="B583">
        <v>175000</v>
      </c>
      <c r="C583" t="s">
        <v>47</v>
      </c>
      <c r="D583" t="s">
        <v>33</v>
      </c>
      <c r="E583">
        <v>3.4977000000000001E-2</v>
      </c>
    </row>
    <row r="584" spans="1:5" x14ac:dyDescent="0.3">
      <c r="A584">
        <v>15</v>
      </c>
      <c r="B584">
        <v>175000</v>
      </c>
      <c r="C584" t="s">
        <v>47</v>
      </c>
      <c r="D584" t="s">
        <v>34</v>
      </c>
      <c r="E584">
        <v>1.6119000000000001E-2</v>
      </c>
    </row>
    <row r="585" spans="1:5" x14ac:dyDescent="0.3">
      <c r="A585">
        <v>15</v>
      </c>
      <c r="B585">
        <v>175000</v>
      </c>
      <c r="C585" t="s">
        <v>47</v>
      </c>
      <c r="D585" t="s">
        <v>35</v>
      </c>
      <c r="E585">
        <v>34194.625243000002</v>
      </c>
    </row>
    <row r="586" spans="1:5" x14ac:dyDescent="0.3">
      <c r="A586">
        <v>15</v>
      </c>
      <c r="B586">
        <v>175000</v>
      </c>
      <c r="C586" t="s">
        <v>47</v>
      </c>
      <c r="D586" t="s">
        <v>36</v>
      </c>
      <c r="E586">
        <v>1.0988E-2</v>
      </c>
    </row>
    <row r="587" spans="1:5" x14ac:dyDescent="0.3">
      <c r="A587">
        <v>15</v>
      </c>
      <c r="B587">
        <v>175000</v>
      </c>
      <c r="C587" t="s">
        <v>47</v>
      </c>
      <c r="D587" t="s">
        <v>37</v>
      </c>
      <c r="E587">
        <v>1.8558000000000002E-2</v>
      </c>
    </row>
    <row r="588" spans="1:5" x14ac:dyDescent="0.3">
      <c r="A588">
        <v>15</v>
      </c>
      <c r="B588">
        <v>175000</v>
      </c>
      <c r="C588" t="s">
        <v>47</v>
      </c>
      <c r="D588" t="s">
        <v>38</v>
      </c>
      <c r="E588">
        <v>1.5264E-2</v>
      </c>
    </row>
    <row r="589" spans="1:5" x14ac:dyDescent="0.3">
      <c r="A589">
        <v>15</v>
      </c>
      <c r="B589">
        <v>175000</v>
      </c>
      <c r="C589" t="s">
        <v>47</v>
      </c>
      <c r="D589" t="s">
        <v>39</v>
      </c>
      <c r="E589">
        <v>1.7413999999999999E-2</v>
      </c>
    </row>
    <row r="590" spans="1:5" x14ac:dyDescent="0.3">
      <c r="A590">
        <v>15</v>
      </c>
      <c r="B590">
        <v>175000</v>
      </c>
      <c r="C590" t="s">
        <v>47</v>
      </c>
      <c r="D590" t="s">
        <v>40</v>
      </c>
      <c r="E590">
        <v>4.9874000000000002E-2</v>
      </c>
    </row>
    <row r="591" spans="1:5" x14ac:dyDescent="0.3">
      <c r="A591">
        <v>15</v>
      </c>
      <c r="B591">
        <v>175000</v>
      </c>
      <c r="C591" t="s">
        <v>47</v>
      </c>
      <c r="D591" t="s">
        <v>41</v>
      </c>
      <c r="E591">
        <v>1.7033E-2</v>
      </c>
    </row>
    <row r="592" spans="1:5" x14ac:dyDescent="0.3">
      <c r="A592">
        <v>15</v>
      </c>
      <c r="B592">
        <v>175000</v>
      </c>
      <c r="C592" t="s">
        <v>47</v>
      </c>
      <c r="D592" t="s">
        <v>42</v>
      </c>
      <c r="E592">
        <v>1.201E-2</v>
      </c>
    </row>
    <row r="593" spans="1:5" x14ac:dyDescent="0.3">
      <c r="A593">
        <v>15</v>
      </c>
      <c r="B593">
        <v>175000</v>
      </c>
      <c r="C593" t="s">
        <v>47</v>
      </c>
      <c r="D593" t="s">
        <v>43</v>
      </c>
      <c r="E593">
        <v>9.8779999999999996E-3</v>
      </c>
    </row>
    <row r="594" spans="1:5" x14ac:dyDescent="0.3">
      <c r="A594">
        <v>16</v>
      </c>
      <c r="B594">
        <v>180000</v>
      </c>
      <c r="C594" t="s">
        <v>45</v>
      </c>
      <c r="D594" t="s">
        <v>28</v>
      </c>
      <c r="E594">
        <v>140760.34516999999</v>
      </c>
    </row>
    <row r="595" spans="1:5" x14ac:dyDescent="0.3">
      <c r="A595">
        <v>16</v>
      </c>
      <c r="B595">
        <v>180000</v>
      </c>
      <c r="C595" t="s">
        <v>45</v>
      </c>
      <c r="D595" t="s">
        <v>29</v>
      </c>
      <c r="E595">
        <v>0.100468</v>
      </c>
    </row>
    <row r="596" spans="1:5" x14ac:dyDescent="0.3">
      <c r="A596">
        <v>16</v>
      </c>
      <c r="B596">
        <v>180000</v>
      </c>
      <c r="C596" t="s">
        <v>45</v>
      </c>
      <c r="D596" t="s">
        <v>30</v>
      </c>
      <c r="E596">
        <v>3.5763000000000003E-2</v>
      </c>
    </row>
    <row r="597" spans="1:5" x14ac:dyDescent="0.3">
      <c r="A597">
        <v>16</v>
      </c>
      <c r="B597">
        <v>180000</v>
      </c>
      <c r="C597" t="s">
        <v>45</v>
      </c>
      <c r="D597" t="s">
        <v>31</v>
      </c>
      <c r="E597">
        <v>2.9409000000000001E-2</v>
      </c>
    </row>
    <row r="598" spans="1:5" x14ac:dyDescent="0.3">
      <c r="A598">
        <v>16</v>
      </c>
      <c r="B598">
        <v>180000</v>
      </c>
      <c r="C598" t="s">
        <v>45</v>
      </c>
      <c r="D598" t="s">
        <v>32</v>
      </c>
      <c r="E598">
        <v>3.0518E-2</v>
      </c>
    </row>
    <row r="599" spans="1:5" x14ac:dyDescent="0.3">
      <c r="A599">
        <v>16</v>
      </c>
      <c r="B599">
        <v>180000</v>
      </c>
      <c r="C599" t="s">
        <v>45</v>
      </c>
      <c r="D599" t="s">
        <v>33</v>
      </c>
      <c r="E599">
        <v>0.112235</v>
      </c>
    </row>
    <row r="600" spans="1:5" x14ac:dyDescent="0.3">
      <c r="A600">
        <v>16</v>
      </c>
      <c r="B600">
        <v>180000</v>
      </c>
      <c r="C600" t="s">
        <v>45</v>
      </c>
      <c r="D600" t="s">
        <v>34</v>
      </c>
      <c r="E600">
        <v>3.2097000000000001E-2</v>
      </c>
    </row>
    <row r="601" spans="1:5" x14ac:dyDescent="0.3">
      <c r="A601">
        <v>16</v>
      </c>
      <c r="B601">
        <v>180000</v>
      </c>
      <c r="C601" t="s">
        <v>45</v>
      </c>
      <c r="D601" t="s">
        <v>35</v>
      </c>
      <c r="E601">
        <v>39238.914725000002</v>
      </c>
    </row>
    <row r="602" spans="1:5" x14ac:dyDescent="0.3">
      <c r="A602">
        <v>16</v>
      </c>
      <c r="B602">
        <v>180000</v>
      </c>
      <c r="C602" t="s">
        <v>45</v>
      </c>
      <c r="D602" t="s">
        <v>36</v>
      </c>
      <c r="E602">
        <v>2.8804E-2</v>
      </c>
    </row>
    <row r="603" spans="1:5" x14ac:dyDescent="0.3">
      <c r="A603">
        <v>16</v>
      </c>
      <c r="B603">
        <v>180000</v>
      </c>
      <c r="C603" t="s">
        <v>45</v>
      </c>
      <c r="D603" t="s">
        <v>37</v>
      </c>
      <c r="E603">
        <v>6.6198000000000007E-2</v>
      </c>
    </row>
    <row r="604" spans="1:5" x14ac:dyDescent="0.3">
      <c r="A604">
        <v>16</v>
      </c>
      <c r="B604">
        <v>180000</v>
      </c>
      <c r="C604" t="s">
        <v>45</v>
      </c>
      <c r="D604" t="s">
        <v>38</v>
      </c>
      <c r="E604">
        <v>4.8087999999999999E-2</v>
      </c>
    </row>
    <row r="605" spans="1:5" x14ac:dyDescent="0.3">
      <c r="A605">
        <v>16</v>
      </c>
      <c r="B605">
        <v>180000</v>
      </c>
      <c r="C605" t="s">
        <v>45</v>
      </c>
      <c r="D605" t="s">
        <v>39</v>
      </c>
      <c r="E605">
        <v>5.0195999999999998E-2</v>
      </c>
    </row>
    <row r="606" spans="1:5" x14ac:dyDescent="0.3">
      <c r="A606">
        <v>16</v>
      </c>
      <c r="B606">
        <v>180000</v>
      </c>
      <c r="C606" t="s">
        <v>45</v>
      </c>
      <c r="D606" t="s">
        <v>40</v>
      </c>
      <c r="E606">
        <v>0.13238900000000001</v>
      </c>
    </row>
    <row r="607" spans="1:5" x14ac:dyDescent="0.3">
      <c r="A607">
        <v>16</v>
      </c>
      <c r="B607">
        <v>180000</v>
      </c>
      <c r="C607" t="s">
        <v>45</v>
      </c>
      <c r="D607" t="s">
        <v>41</v>
      </c>
      <c r="E607">
        <v>4.8825E-2</v>
      </c>
    </row>
    <row r="608" spans="1:5" x14ac:dyDescent="0.3">
      <c r="A608">
        <v>16</v>
      </c>
      <c r="B608">
        <v>180000</v>
      </c>
      <c r="C608" t="s">
        <v>45</v>
      </c>
      <c r="D608" t="s">
        <v>42</v>
      </c>
      <c r="E608">
        <v>2.9184999999999999E-2</v>
      </c>
    </row>
    <row r="609" spans="1:5" x14ac:dyDescent="0.3">
      <c r="A609">
        <v>16</v>
      </c>
      <c r="B609">
        <v>180000</v>
      </c>
      <c r="C609" t="s">
        <v>45</v>
      </c>
      <c r="D609" t="s">
        <v>43</v>
      </c>
      <c r="E609">
        <v>2.0830999999999999E-2</v>
      </c>
    </row>
    <row r="610" spans="1:5" x14ac:dyDescent="0.3">
      <c r="A610">
        <v>16</v>
      </c>
      <c r="B610">
        <v>180000</v>
      </c>
      <c r="C610" t="s">
        <v>46</v>
      </c>
      <c r="D610" t="s">
        <v>28</v>
      </c>
      <c r="E610">
        <v>144072.93504499999</v>
      </c>
    </row>
    <row r="611" spans="1:5" x14ac:dyDescent="0.3">
      <c r="A611">
        <v>16</v>
      </c>
      <c r="B611">
        <v>180000</v>
      </c>
      <c r="C611" t="s">
        <v>46</v>
      </c>
      <c r="D611" t="s">
        <v>29</v>
      </c>
      <c r="E611">
        <v>9.1946E-2</v>
      </c>
    </row>
    <row r="612" spans="1:5" x14ac:dyDescent="0.3">
      <c r="A612">
        <v>16</v>
      </c>
      <c r="B612">
        <v>180000</v>
      </c>
      <c r="C612" t="s">
        <v>46</v>
      </c>
      <c r="D612" t="s">
        <v>30</v>
      </c>
      <c r="E612">
        <v>3.7383E-2</v>
      </c>
    </row>
    <row r="613" spans="1:5" x14ac:dyDescent="0.3">
      <c r="A613">
        <v>16</v>
      </c>
      <c r="B613">
        <v>180000</v>
      </c>
      <c r="C613" t="s">
        <v>46</v>
      </c>
      <c r="D613" t="s">
        <v>31</v>
      </c>
      <c r="E613">
        <v>2.9564E-2</v>
      </c>
    </row>
    <row r="614" spans="1:5" x14ac:dyDescent="0.3">
      <c r="A614">
        <v>16</v>
      </c>
      <c r="B614">
        <v>180000</v>
      </c>
      <c r="C614" t="s">
        <v>46</v>
      </c>
      <c r="D614" t="s">
        <v>32</v>
      </c>
      <c r="E614">
        <v>3.0800999999999999E-2</v>
      </c>
    </row>
    <row r="615" spans="1:5" x14ac:dyDescent="0.3">
      <c r="A615">
        <v>16</v>
      </c>
      <c r="B615">
        <v>180000</v>
      </c>
      <c r="C615" t="s">
        <v>46</v>
      </c>
      <c r="D615" t="s">
        <v>33</v>
      </c>
      <c r="E615">
        <v>9.0642E-2</v>
      </c>
    </row>
    <row r="616" spans="1:5" x14ac:dyDescent="0.3">
      <c r="A616">
        <v>16</v>
      </c>
      <c r="B616">
        <v>180000</v>
      </c>
      <c r="C616" t="s">
        <v>46</v>
      </c>
      <c r="D616" t="s">
        <v>34</v>
      </c>
      <c r="E616">
        <v>3.5314999999999999E-2</v>
      </c>
    </row>
    <row r="617" spans="1:5" x14ac:dyDescent="0.3">
      <c r="A617">
        <v>16</v>
      </c>
      <c r="B617">
        <v>180000</v>
      </c>
      <c r="C617" t="s">
        <v>46</v>
      </c>
      <c r="D617" t="s">
        <v>35</v>
      </c>
      <c r="E617">
        <v>35926.367682999997</v>
      </c>
    </row>
    <row r="618" spans="1:5" x14ac:dyDescent="0.3">
      <c r="A618">
        <v>16</v>
      </c>
      <c r="B618">
        <v>180000</v>
      </c>
      <c r="C618" t="s">
        <v>46</v>
      </c>
      <c r="D618" t="s">
        <v>36</v>
      </c>
      <c r="E618">
        <v>2.9100999999999998E-2</v>
      </c>
    </row>
    <row r="619" spans="1:5" x14ac:dyDescent="0.3">
      <c r="A619">
        <v>16</v>
      </c>
      <c r="B619">
        <v>180000</v>
      </c>
      <c r="C619" t="s">
        <v>46</v>
      </c>
      <c r="D619" t="s">
        <v>37</v>
      </c>
      <c r="E619">
        <v>5.9635000000000001E-2</v>
      </c>
    </row>
    <row r="620" spans="1:5" x14ac:dyDescent="0.3">
      <c r="A620">
        <v>16</v>
      </c>
      <c r="B620">
        <v>180000</v>
      </c>
      <c r="C620" t="s">
        <v>46</v>
      </c>
      <c r="D620" t="s">
        <v>38</v>
      </c>
      <c r="E620">
        <v>4.6412000000000002E-2</v>
      </c>
    </row>
    <row r="621" spans="1:5" x14ac:dyDescent="0.3">
      <c r="A621">
        <v>16</v>
      </c>
      <c r="B621">
        <v>180000</v>
      </c>
      <c r="C621" t="s">
        <v>46</v>
      </c>
      <c r="D621" t="s">
        <v>39</v>
      </c>
      <c r="E621">
        <v>4.938E-2</v>
      </c>
    </row>
    <row r="622" spans="1:5" x14ac:dyDescent="0.3">
      <c r="A622">
        <v>16</v>
      </c>
      <c r="B622">
        <v>180000</v>
      </c>
      <c r="C622" t="s">
        <v>46</v>
      </c>
      <c r="D622" t="s">
        <v>40</v>
      </c>
      <c r="E622">
        <v>0.136239</v>
      </c>
    </row>
    <row r="623" spans="1:5" x14ac:dyDescent="0.3">
      <c r="A623">
        <v>16</v>
      </c>
      <c r="B623">
        <v>180000</v>
      </c>
      <c r="C623" t="s">
        <v>46</v>
      </c>
      <c r="D623" t="s">
        <v>41</v>
      </c>
      <c r="E623">
        <v>4.6522000000000001E-2</v>
      </c>
    </row>
    <row r="624" spans="1:5" x14ac:dyDescent="0.3">
      <c r="A624">
        <v>16</v>
      </c>
      <c r="B624">
        <v>180000</v>
      </c>
      <c r="C624" t="s">
        <v>46</v>
      </c>
      <c r="D624" t="s">
        <v>42</v>
      </c>
      <c r="E624">
        <v>3.0477000000000001E-2</v>
      </c>
    </row>
    <row r="625" spans="1:5" x14ac:dyDescent="0.3">
      <c r="A625">
        <v>16</v>
      </c>
      <c r="B625">
        <v>180000</v>
      </c>
      <c r="C625" t="s">
        <v>46</v>
      </c>
      <c r="D625" t="s">
        <v>43</v>
      </c>
      <c r="E625">
        <v>2.2529E-2</v>
      </c>
    </row>
    <row r="626" spans="1:5" x14ac:dyDescent="0.3">
      <c r="A626">
        <v>16</v>
      </c>
      <c r="B626">
        <v>180000</v>
      </c>
      <c r="C626" t="s">
        <v>47</v>
      </c>
      <c r="D626" t="s">
        <v>28</v>
      </c>
      <c r="E626">
        <v>140990.70038299999</v>
      </c>
    </row>
    <row r="627" spans="1:5" x14ac:dyDescent="0.3">
      <c r="A627">
        <v>16</v>
      </c>
      <c r="B627">
        <v>180000</v>
      </c>
      <c r="C627" t="s">
        <v>47</v>
      </c>
      <c r="D627" t="s">
        <v>29</v>
      </c>
      <c r="E627">
        <v>1.8797999999999999E-2</v>
      </c>
    </row>
    <row r="628" spans="1:5" x14ac:dyDescent="0.3">
      <c r="A628">
        <v>16</v>
      </c>
      <c r="B628">
        <v>180000</v>
      </c>
      <c r="C628" t="s">
        <v>47</v>
      </c>
      <c r="D628" t="s">
        <v>30</v>
      </c>
      <c r="E628">
        <v>7.3619999999999996E-3</v>
      </c>
    </row>
    <row r="629" spans="1:5" x14ac:dyDescent="0.3">
      <c r="A629">
        <v>16</v>
      </c>
      <c r="B629">
        <v>180000</v>
      </c>
      <c r="C629" t="s">
        <v>47</v>
      </c>
      <c r="D629" t="s">
        <v>31</v>
      </c>
      <c r="E629">
        <v>6.803E-3</v>
      </c>
    </row>
    <row r="630" spans="1:5" x14ac:dyDescent="0.3">
      <c r="A630">
        <v>16</v>
      </c>
      <c r="B630">
        <v>180000</v>
      </c>
      <c r="C630" t="s">
        <v>47</v>
      </c>
      <c r="D630" t="s">
        <v>32</v>
      </c>
      <c r="E630">
        <v>7.0920000000000002E-3</v>
      </c>
    </row>
    <row r="631" spans="1:5" x14ac:dyDescent="0.3">
      <c r="A631">
        <v>16</v>
      </c>
      <c r="B631">
        <v>180000</v>
      </c>
      <c r="C631" t="s">
        <v>47</v>
      </c>
      <c r="D631" t="s">
        <v>33</v>
      </c>
      <c r="E631">
        <v>2.1007999999999999E-2</v>
      </c>
    </row>
    <row r="632" spans="1:5" x14ac:dyDescent="0.3">
      <c r="A632">
        <v>16</v>
      </c>
      <c r="B632">
        <v>180000</v>
      </c>
      <c r="C632" t="s">
        <v>47</v>
      </c>
      <c r="D632" t="s">
        <v>34</v>
      </c>
      <c r="E632">
        <v>7.724E-3</v>
      </c>
    </row>
    <row r="633" spans="1:5" x14ac:dyDescent="0.3">
      <c r="A633">
        <v>16</v>
      </c>
      <c r="B633">
        <v>180000</v>
      </c>
      <c r="C633" t="s">
        <v>47</v>
      </c>
      <c r="D633" t="s">
        <v>35</v>
      </c>
      <c r="E633">
        <v>39009.147171999997</v>
      </c>
    </row>
    <row r="634" spans="1:5" x14ac:dyDescent="0.3">
      <c r="A634">
        <v>16</v>
      </c>
      <c r="B634">
        <v>180000</v>
      </c>
      <c r="C634" t="s">
        <v>47</v>
      </c>
      <c r="D634" t="s">
        <v>36</v>
      </c>
      <c r="E634">
        <v>7.2839999999999997E-3</v>
      </c>
    </row>
    <row r="635" spans="1:5" x14ac:dyDescent="0.3">
      <c r="A635">
        <v>16</v>
      </c>
      <c r="B635">
        <v>180000</v>
      </c>
      <c r="C635" t="s">
        <v>47</v>
      </c>
      <c r="D635" t="s">
        <v>37</v>
      </c>
      <c r="E635">
        <v>1.2318000000000001E-2</v>
      </c>
    </row>
    <row r="636" spans="1:5" x14ac:dyDescent="0.3">
      <c r="A636">
        <v>16</v>
      </c>
      <c r="B636">
        <v>180000</v>
      </c>
      <c r="C636" t="s">
        <v>47</v>
      </c>
      <c r="D636" t="s">
        <v>38</v>
      </c>
      <c r="E636">
        <v>1.0111999999999999E-2</v>
      </c>
    </row>
    <row r="637" spans="1:5" x14ac:dyDescent="0.3">
      <c r="A637">
        <v>16</v>
      </c>
      <c r="B637">
        <v>180000</v>
      </c>
      <c r="C637" t="s">
        <v>47</v>
      </c>
      <c r="D637" t="s">
        <v>39</v>
      </c>
      <c r="E637">
        <v>1.1214999999999999E-2</v>
      </c>
    </row>
    <row r="638" spans="1:5" x14ac:dyDescent="0.3">
      <c r="A638">
        <v>16</v>
      </c>
      <c r="B638">
        <v>180000</v>
      </c>
      <c r="C638" t="s">
        <v>47</v>
      </c>
      <c r="D638" t="s">
        <v>40</v>
      </c>
      <c r="E638">
        <v>3.1996999999999998E-2</v>
      </c>
    </row>
    <row r="639" spans="1:5" x14ac:dyDescent="0.3">
      <c r="A639">
        <v>16</v>
      </c>
      <c r="B639">
        <v>180000</v>
      </c>
      <c r="C639" t="s">
        <v>47</v>
      </c>
      <c r="D639" t="s">
        <v>41</v>
      </c>
      <c r="E639">
        <v>1.1121000000000001E-2</v>
      </c>
    </row>
    <row r="640" spans="1:5" x14ac:dyDescent="0.3">
      <c r="A640">
        <v>16</v>
      </c>
      <c r="B640">
        <v>180000</v>
      </c>
      <c r="C640" t="s">
        <v>47</v>
      </c>
      <c r="D640" t="s">
        <v>42</v>
      </c>
      <c r="E640">
        <v>7.8189999999999996E-3</v>
      </c>
    </row>
    <row r="641" spans="1:5" x14ac:dyDescent="0.3">
      <c r="A641">
        <v>16</v>
      </c>
      <c r="B641">
        <v>180000</v>
      </c>
      <c r="C641" t="s">
        <v>47</v>
      </c>
      <c r="D641" t="s">
        <v>43</v>
      </c>
      <c r="E641">
        <v>6.5129999999999997E-3</v>
      </c>
    </row>
    <row r="642" spans="1:5" x14ac:dyDescent="0.3">
      <c r="A642">
        <v>17</v>
      </c>
      <c r="B642">
        <v>185000</v>
      </c>
      <c r="C642" t="s">
        <v>45</v>
      </c>
      <c r="D642" t="s">
        <v>28</v>
      </c>
      <c r="E642">
        <v>141052.89163999999</v>
      </c>
    </row>
    <row r="643" spans="1:5" x14ac:dyDescent="0.3">
      <c r="A643">
        <v>17</v>
      </c>
      <c r="B643">
        <v>185000</v>
      </c>
      <c r="C643" t="s">
        <v>45</v>
      </c>
      <c r="D643" t="s">
        <v>29</v>
      </c>
      <c r="E643">
        <v>0.123269</v>
      </c>
    </row>
    <row r="644" spans="1:5" x14ac:dyDescent="0.3">
      <c r="A644">
        <v>17</v>
      </c>
      <c r="B644">
        <v>185000</v>
      </c>
      <c r="C644" t="s">
        <v>45</v>
      </c>
      <c r="D644" t="s">
        <v>30</v>
      </c>
      <c r="E644">
        <v>4.4755000000000003E-2</v>
      </c>
    </row>
    <row r="645" spans="1:5" x14ac:dyDescent="0.3">
      <c r="A645">
        <v>17</v>
      </c>
      <c r="B645">
        <v>185000</v>
      </c>
      <c r="C645" t="s">
        <v>45</v>
      </c>
      <c r="D645" t="s">
        <v>31</v>
      </c>
      <c r="E645">
        <v>3.4391999999999999E-2</v>
      </c>
    </row>
    <row r="646" spans="1:5" x14ac:dyDescent="0.3">
      <c r="A646">
        <v>17</v>
      </c>
      <c r="B646">
        <v>185000</v>
      </c>
      <c r="C646" t="s">
        <v>45</v>
      </c>
      <c r="D646" t="s">
        <v>32</v>
      </c>
      <c r="E646">
        <v>3.6001999999999999E-2</v>
      </c>
    </row>
    <row r="647" spans="1:5" x14ac:dyDescent="0.3">
      <c r="A647">
        <v>17</v>
      </c>
      <c r="B647">
        <v>185000</v>
      </c>
      <c r="C647" t="s">
        <v>45</v>
      </c>
      <c r="D647" t="s">
        <v>33</v>
      </c>
      <c r="E647">
        <v>0.14049900000000001</v>
      </c>
    </row>
    <row r="648" spans="1:5" x14ac:dyDescent="0.3">
      <c r="A648">
        <v>17</v>
      </c>
      <c r="B648">
        <v>185000</v>
      </c>
      <c r="C648" t="s">
        <v>45</v>
      </c>
      <c r="D648" t="s">
        <v>34</v>
      </c>
      <c r="E648">
        <v>3.4474999999999999E-2</v>
      </c>
    </row>
    <row r="649" spans="1:5" x14ac:dyDescent="0.3">
      <c r="A649">
        <v>17</v>
      </c>
      <c r="B649">
        <v>185000</v>
      </c>
      <c r="C649" t="s">
        <v>45</v>
      </c>
      <c r="D649" t="s">
        <v>35</v>
      </c>
      <c r="E649">
        <v>43946.216386</v>
      </c>
    </row>
    <row r="650" spans="1:5" x14ac:dyDescent="0.3">
      <c r="A650">
        <v>17</v>
      </c>
      <c r="B650">
        <v>185000</v>
      </c>
      <c r="C650" t="s">
        <v>45</v>
      </c>
      <c r="D650" t="s">
        <v>36</v>
      </c>
      <c r="E650">
        <v>3.2735E-2</v>
      </c>
    </row>
    <row r="651" spans="1:5" x14ac:dyDescent="0.3">
      <c r="A651">
        <v>17</v>
      </c>
      <c r="B651">
        <v>185000</v>
      </c>
      <c r="C651" t="s">
        <v>45</v>
      </c>
      <c r="D651" t="s">
        <v>37</v>
      </c>
      <c r="E651">
        <v>8.3317000000000002E-2</v>
      </c>
    </row>
    <row r="652" spans="1:5" x14ac:dyDescent="0.3">
      <c r="A652">
        <v>17</v>
      </c>
      <c r="B652">
        <v>185000</v>
      </c>
      <c r="C652" t="s">
        <v>45</v>
      </c>
      <c r="D652" t="s">
        <v>38</v>
      </c>
      <c r="E652">
        <v>5.8609000000000001E-2</v>
      </c>
    </row>
    <row r="653" spans="1:5" x14ac:dyDescent="0.3">
      <c r="A653">
        <v>17</v>
      </c>
      <c r="B653">
        <v>185000</v>
      </c>
      <c r="C653" t="s">
        <v>45</v>
      </c>
      <c r="D653" t="s">
        <v>39</v>
      </c>
      <c r="E653">
        <v>6.0718000000000001E-2</v>
      </c>
    </row>
    <row r="654" spans="1:5" x14ac:dyDescent="0.3">
      <c r="A654">
        <v>17</v>
      </c>
      <c r="B654">
        <v>185000</v>
      </c>
      <c r="C654" t="s">
        <v>45</v>
      </c>
      <c r="D654" t="s">
        <v>40</v>
      </c>
      <c r="E654">
        <v>0.154916</v>
      </c>
    </row>
    <row r="655" spans="1:5" x14ac:dyDescent="0.3">
      <c r="A655">
        <v>17</v>
      </c>
      <c r="B655">
        <v>185000</v>
      </c>
      <c r="C655" t="s">
        <v>45</v>
      </c>
      <c r="D655" t="s">
        <v>41</v>
      </c>
      <c r="E655">
        <v>5.7610000000000001E-2</v>
      </c>
    </row>
    <row r="656" spans="1:5" x14ac:dyDescent="0.3">
      <c r="A656">
        <v>17</v>
      </c>
      <c r="B656">
        <v>185000</v>
      </c>
      <c r="C656" t="s">
        <v>45</v>
      </c>
      <c r="D656" t="s">
        <v>42</v>
      </c>
      <c r="E656">
        <v>3.3037999999999998E-2</v>
      </c>
    </row>
    <row r="657" spans="1:5" x14ac:dyDescent="0.3">
      <c r="A657">
        <v>17</v>
      </c>
      <c r="B657">
        <v>185000</v>
      </c>
      <c r="C657" t="s">
        <v>45</v>
      </c>
      <c r="D657" t="s">
        <v>43</v>
      </c>
      <c r="E657">
        <v>2.2107000000000002E-2</v>
      </c>
    </row>
    <row r="658" spans="1:5" x14ac:dyDescent="0.3">
      <c r="A658">
        <v>17</v>
      </c>
      <c r="B658">
        <v>185000</v>
      </c>
      <c r="C658" t="s">
        <v>46</v>
      </c>
      <c r="D658" t="s">
        <v>28</v>
      </c>
      <c r="E658">
        <v>144147.088063</v>
      </c>
    </row>
    <row r="659" spans="1:5" x14ac:dyDescent="0.3">
      <c r="A659">
        <v>17</v>
      </c>
      <c r="B659">
        <v>185000</v>
      </c>
      <c r="C659" t="s">
        <v>46</v>
      </c>
      <c r="D659" t="s">
        <v>29</v>
      </c>
      <c r="E659">
        <v>0.207431</v>
      </c>
    </row>
    <row r="660" spans="1:5" x14ac:dyDescent="0.3">
      <c r="A660">
        <v>17</v>
      </c>
      <c r="B660">
        <v>185000</v>
      </c>
      <c r="C660" t="s">
        <v>46</v>
      </c>
      <c r="D660" t="s">
        <v>30</v>
      </c>
      <c r="E660">
        <v>9.0160000000000004E-2</v>
      </c>
    </row>
    <row r="661" spans="1:5" x14ac:dyDescent="0.3">
      <c r="A661">
        <v>17</v>
      </c>
      <c r="B661">
        <v>185000</v>
      </c>
      <c r="C661" t="s">
        <v>46</v>
      </c>
      <c r="D661" t="s">
        <v>31</v>
      </c>
      <c r="E661">
        <v>6.3551999999999997E-2</v>
      </c>
    </row>
    <row r="662" spans="1:5" x14ac:dyDescent="0.3">
      <c r="A662">
        <v>17</v>
      </c>
      <c r="B662">
        <v>185000</v>
      </c>
      <c r="C662" t="s">
        <v>46</v>
      </c>
      <c r="D662" t="s">
        <v>32</v>
      </c>
      <c r="E662">
        <v>6.6640000000000005E-2</v>
      </c>
    </row>
    <row r="663" spans="1:5" x14ac:dyDescent="0.3">
      <c r="A663">
        <v>17</v>
      </c>
      <c r="B663">
        <v>185000</v>
      </c>
      <c r="C663" t="s">
        <v>46</v>
      </c>
      <c r="D663" t="s">
        <v>33</v>
      </c>
      <c r="E663">
        <v>0.22942000000000001</v>
      </c>
    </row>
    <row r="664" spans="1:5" x14ac:dyDescent="0.3">
      <c r="A664">
        <v>17</v>
      </c>
      <c r="B664">
        <v>185000</v>
      </c>
      <c r="C664" t="s">
        <v>46</v>
      </c>
      <c r="D664" t="s">
        <v>34</v>
      </c>
      <c r="E664">
        <v>7.6246999999999995E-2</v>
      </c>
    </row>
    <row r="665" spans="1:5" x14ac:dyDescent="0.3">
      <c r="A665">
        <v>17</v>
      </c>
      <c r="B665">
        <v>185000</v>
      </c>
      <c r="C665" t="s">
        <v>46</v>
      </c>
      <c r="D665" t="s">
        <v>35</v>
      </c>
      <c r="E665">
        <v>40851.332265999998</v>
      </c>
    </row>
    <row r="666" spans="1:5" x14ac:dyDescent="0.3">
      <c r="A666">
        <v>17</v>
      </c>
      <c r="B666">
        <v>185000</v>
      </c>
      <c r="C666" t="s">
        <v>46</v>
      </c>
      <c r="D666" t="s">
        <v>36</v>
      </c>
      <c r="E666">
        <v>6.2128000000000003E-2</v>
      </c>
    </row>
    <row r="667" spans="1:5" x14ac:dyDescent="0.3">
      <c r="A667">
        <v>17</v>
      </c>
      <c r="B667">
        <v>185000</v>
      </c>
      <c r="C667" t="s">
        <v>46</v>
      </c>
      <c r="D667" t="s">
        <v>37</v>
      </c>
      <c r="E667">
        <v>0.139962</v>
      </c>
    </row>
    <row r="668" spans="1:5" x14ac:dyDescent="0.3">
      <c r="A668">
        <v>17</v>
      </c>
      <c r="B668">
        <v>185000</v>
      </c>
      <c r="C668" t="s">
        <v>46</v>
      </c>
      <c r="D668" t="s">
        <v>38</v>
      </c>
      <c r="E668">
        <v>0.104709</v>
      </c>
    </row>
    <row r="669" spans="1:5" x14ac:dyDescent="0.3">
      <c r="A669">
        <v>17</v>
      </c>
      <c r="B669">
        <v>185000</v>
      </c>
      <c r="C669" t="s">
        <v>46</v>
      </c>
      <c r="D669" t="s">
        <v>39</v>
      </c>
      <c r="E669">
        <v>0.11051</v>
      </c>
    </row>
    <row r="670" spans="1:5" x14ac:dyDescent="0.3">
      <c r="A670">
        <v>17</v>
      </c>
      <c r="B670">
        <v>185000</v>
      </c>
      <c r="C670" t="s">
        <v>46</v>
      </c>
      <c r="D670" t="s">
        <v>40</v>
      </c>
      <c r="E670">
        <v>0.29965000000000003</v>
      </c>
    </row>
    <row r="671" spans="1:5" x14ac:dyDescent="0.3">
      <c r="A671">
        <v>17</v>
      </c>
      <c r="B671">
        <v>185000</v>
      </c>
      <c r="C671" t="s">
        <v>46</v>
      </c>
      <c r="D671" t="s">
        <v>41</v>
      </c>
      <c r="E671">
        <v>0.103391</v>
      </c>
    </row>
    <row r="672" spans="1:5" x14ac:dyDescent="0.3">
      <c r="A672">
        <v>17</v>
      </c>
      <c r="B672">
        <v>185000</v>
      </c>
      <c r="C672" t="s">
        <v>46</v>
      </c>
      <c r="D672" t="s">
        <v>42</v>
      </c>
      <c r="E672">
        <v>6.5305000000000002E-2</v>
      </c>
    </row>
    <row r="673" spans="1:5" x14ac:dyDescent="0.3">
      <c r="A673">
        <v>17</v>
      </c>
      <c r="B673">
        <v>185000</v>
      </c>
      <c r="C673" t="s">
        <v>46</v>
      </c>
      <c r="D673" t="s">
        <v>43</v>
      </c>
      <c r="E673">
        <v>4.5339999999999998E-2</v>
      </c>
    </row>
    <row r="674" spans="1:5" x14ac:dyDescent="0.3">
      <c r="A674">
        <v>17</v>
      </c>
      <c r="B674">
        <v>185000</v>
      </c>
      <c r="C674" t="s">
        <v>47</v>
      </c>
      <c r="D674" t="s">
        <v>28</v>
      </c>
      <c r="E674">
        <v>141176.45368599999</v>
      </c>
    </row>
    <row r="675" spans="1:5" x14ac:dyDescent="0.3">
      <c r="A675">
        <v>17</v>
      </c>
      <c r="B675">
        <v>185000</v>
      </c>
      <c r="C675" t="s">
        <v>47</v>
      </c>
      <c r="D675" t="s">
        <v>29</v>
      </c>
      <c r="E675">
        <v>1.3431E-2</v>
      </c>
    </row>
    <row r="676" spans="1:5" x14ac:dyDescent="0.3">
      <c r="A676">
        <v>17</v>
      </c>
      <c r="B676">
        <v>185000</v>
      </c>
      <c r="C676" t="s">
        <v>47</v>
      </c>
      <c r="D676" t="s">
        <v>30</v>
      </c>
      <c r="E676">
        <v>5.0889999999999998E-3</v>
      </c>
    </row>
    <row r="677" spans="1:5" x14ac:dyDescent="0.3">
      <c r="A677">
        <v>17</v>
      </c>
      <c r="B677">
        <v>185000</v>
      </c>
      <c r="C677" t="s">
        <v>47</v>
      </c>
      <c r="D677" t="s">
        <v>31</v>
      </c>
      <c r="E677">
        <v>4.8419999999999999E-3</v>
      </c>
    </row>
    <row r="678" spans="1:5" x14ac:dyDescent="0.3">
      <c r="A678">
        <v>17</v>
      </c>
      <c r="B678">
        <v>185000</v>
      </c>
      <c r="C678" t="s">
        <v>47</v>
      </c>
      <c r="D678" t="s">
        <v>32</v>
      </c>
      <c r="E678">
        <v>5.006E-3</v>
      </c>
    </row>
    <row r="679" spans="1:5" x14ac:dyDescent="0.3">
      <c r="A679">
        <v>17</v>
      </c>
      <c r="B679">
        <v>185000</v>
      </c>
      <c r="C679" t="s">
        <v>47</v>
      </c>
      <c r="D679" t="s">
        <v>33</v>
      </c>
      <c r="E679">
        <v>1.409E-2</v>
      </c>
    </row>
    <row r="680" spans="1:5" x14ac:dyDescent="0.3">
      <c r="A680">
        <v>17</v>
      </c>
      <c r="B680">
        <v>185000</v>
      </c>
      <c r="C680" t="s">
        <v>47</v>
      </c>
      <c r="D680" t="s">
        <v>34</v>
      </c>
      <c r="E680">
        <v>7.5440000000000004E-3</v>
      </c>
    </row>
    <row r="681" spans="1:5" x14ac:dyDescent="0.3">
      <c r="A681">
        <v>17</v>
      </c>
      <c r="B681">
        <v>185000</v>
      </c>
      <c r="C681" t="s">
        <v>47</v>
      </c>
      <c r="D681" t="s">
        <v>35</v>
      </c>
      <c r="E681">
        <v>43823.434350000003</v>
      </c>
    </row>
    <row r="682" spans="1:5" x14ac:dyDescent="0.3">
      <c r="A682">
        <v>17</v>
      </c>
      <c r="B682">
        <v>185000</v>
      </c>
      <c r="C682" t="s">
        <v>47</v>
      </c>
      <c r="D682" t="s">
        <v>36</v>
      </c>
      <c r="E682">
        <v>4.9820000000000003E-3</v>
      </c>
    </row>
    <row r="683" spans="1:5" x14ac:dyDescent="0.3">
      <c r="A683">
        <v>17</v>
      </c>
      <c r="B683">
        <v>185000</v>
      </c>
      <c r="C683" t="s">
        <v>47</v>
      </c>
      <c r="D683" t="s">
        <v>37</v>
      </c>
      <c r="E683">
        <v>8.7170000000000008E-3</v>
      </c>
    </row>
    <row r="684" spans="1:5" x14ac:dyDescent="0.3">
      <c r="A684">
        <v>17</v>
      </c>
      <c r="B684">
        <v>185000</v>
      </c>
      <c r="C684" t="s">
        <v>47</v>
      </c>
      <c r="D684" t="s">
        <v>38</v>
      </c>
      <c r="E684">
        <v>7.1279999999999998E-3</v>
      </c>
    </row>
    <row r="685" spans="1:5" x14ac:dyDescent="0.3">
      <c r="A685">
        <v>17</v>
      </c>
      <c r="B685">
        <v>185000</v>
      </c>
      <c r="C685" t="s">
        <v>47</v>
      </c>
      <c r="D685" t="s">
        <v>39</v>
      </c>
      <c r="E685">
        <v>7.9410000000000001E-3</v>
      </c>
    </row>
    <row r="686" spans="1:5" x14ac:dyDescent="0.3">
      <c r="A686">
        <v>17</v>
      </c>
      <c r="B686">
        <v>185000</v>
      </c>
      <c r="C686" t="s">
        <v>47</v>
      </c>
      <c r="D686" t="s">
        <v>40</v>
      </c>
      <c r="E686">
        <v>2.2235000000000001E-2</v>
      </c>
    </row>
    <row r="687" spans="1:5" x14ac:dyDescent="0.3">
      <c r="A687">
        <v>17</v>
      </c>
      <c r="B687">
        <v>185000</v>
      </c>
      <c r="C687" t="s">
        <v>47</v>
      </c>
      <c r="D687" t="s">
        <v>41</v>
      </c>
      <c r="E687">
        <v>7.5440000000000004E-3</v>
      </c>
    </row>
    <row r="688" spans="1:5" x14ac:dyDescent="0.3">
      <c r="A688">
        <v>17</v>
      </c>
      <c r="B688">
        <v>185000</v>
      </c>
      <c r="C688" t="s">
        <v>47</v>
      </c>
      <c r="D688" t="s">
        <v>42</v>
      </c>
      <c r="E688">
        <v>5.476E-3</v>
      </c>
    </row>
    <row r="689" spans="1:5" x14ac:dyDescent="0.3">
      <c r="A689">
        <v>17</v>
      </c>
      <c r="B689">
        <v>185000</v>
      </c>
      <c r="C689" t="s">
        <v>47</v>
      </c>
      <c r="D689" t="s">
        <v>43</v>
      </c>
      <c r="E689">
        <v>4.3280000000000002E-3</v>
      </c>
    </row>
    <row r="690" spans="1:5" x14ac:dyDescent="0.3">
      <c r="A690">
        <v>18</v>
      </c>
      <c r="B690">
        <v>190000</v>
      </c>
      <c r="C690" t="s">
        <v>45</v>
      </c>
      <c r="D690" t="s">
        <v>28</v>
      </c>
      <c r="E690">
        <v>143285.15805500001</v>
      </c>
    </row>
    <row r="691" spans="1:5" x14ac:dyDescent="0.3">
      <c r="A691">
        <v>18</v>
      </c>
      <c r="B691">
        <v>190000</v>
      </c>
      <c r="C691" t="s">
        <v>45</v>
      </c>
      <c r="D691" t="s">
        <v>29</v>
      </c>
      <c r="E691">
        <v>0.24693899999999999</v>
      </c>
    </row>
    <row r="692" spans="1:5" x14ac:dyDescent="0.3">
      <c r="A692">
        <v>18</v>
      </c>
      <c r="B692">
        <v>190000</v>
      </c>
      <c r="C692" t="s">
        <v>45</v>
      </c>
      <c r="D692" t="s">
        <v>30</v>
      </c>
      <c r="E692">
        <v>8.5049E-2</v>
      </c>
    </row>
    <row r="693" spans="1:5" x14ac:dyDescent="0.3">
      <c r="A693">
        <v>18</v>
      </c>
      <c r="B693">
        <v>190000</v>
      </c>
      <c r="C693" t="s">
        <v>45</v>
      </c>
      <c r="D693" t="s">
        <v>31</v>
      </c>
      <c r="E693">
        <v>6.1892999999999997E-2</v>
      </c>
    </row>
    <row r="694" spans="1:5" x14ac:dyDescent="0.3">
      <c r="A694">
        <v>18</v>
      </c>
      <c r="B694">
        <v>190000</v>
      </c>
      <c r="C694" t="s">
        <v>45</v>
      </c>
      <c r="D694" t="s">
        <v>32</v>
      </c>
      <c r="E694">
        <v>6.5471000000000001E-2</v>
      </c>
    </row>
    <row r="695" spans="1:5" x14ac:dyDescent="0.3">
      <c r="A695">
        <v>18</v>
      </c>
      <c r="B695">
        <v>190000</v>
      </c>
      <c r="C695" t="s">
        <v>45</v>
      </c>
      <c r="D695" t="s">
        <v>33</v>
      </c>
      <c r="E695">
        <v>0.33361299999999999</v>
      </c>
    </row>
    <row r="696" spans="1:5" x14ac:dyDescent="0.3">
      <c r="A696">
        <v>18</v>
      </c>
      <c r="B696">
        <v>190000</v>
      </c>
      <c r="C696" t="s">
        <v>45</v>
      </c>
      <c r="D696" t="s">
        <v>34</v>
      </c>
      <c r="E696">
        <v>6.0323000000000002E-2</v>
      </c>
    </row>
    <row r="697" spans="1:5" x14ac:dyDescent="0.3">
      <c r="A697">
        <v>18</v>
      </c>
      <c r="B697">
        <v>190000</v>
      </c>
      <c r="C697" t="s">
        <v>45</v>
      </c>
      <c r="D697" t="s">
        <v>35</v>
      </c>
      <c r="E697">
        <v>46713.101759999998</v>
      </c>
    </row>
    <row r="698" spans="1:5" x14ac:dyDescent="0.3">
      <c r="A698">
        <v>18</v>
      </c>
      <c r="B698">
        <v>190000</v>
      </c>
      <c r="C698" t="s">
        <v>45</v>
      </c>
      <c r="D698" t="s">
        <v>36</v>
      </c>
      <c r="E698">
        <v>5.9200999999999997E-2</v>
      </c>
    </row>
    <row r="699" spans="1:5" x14ac:dyDescent="0.3">
      <c r="A699">
        <v>18</v>
      </c>
      <c r="B699">
        <v>190000</v>
      </c>
      <c r="C699" t="s">
        <v>45</v>
      </c>
      <c r="D699" t="s">
        <v>37</v>
      </c>
      <c r="E699">
        <v>0.16052</v>
      </c>
    </row>
    <row r="700" spans="1:5" x14ac:dyDescent="0.3">
      <c r="A700">
        <v>18</v>
      </c>
      <c r="B700">
        <v>190000</v>
      </c>
      <c r="C700" t="s">
        <v>45</v>
      </c>
      <c r="D700" t="s">
        <v>38</v>
      </c>
      <c r="E700">
        <v>0.11185</v>
      </c>
    </row>
    <row r="701" spans="1:5" x14ac:dyDescent="0.3">
      <c r="A701">
        <v>18</v>
      </c>
      <c r="B701">
        <v>190000</v>
      </c>
      <c r="C701" t="s">
        <v>45</v>
      </c>
      <c r="D701" t="s">
        <v>39</v>
      </c>
      <c r="E701">
        <v>0.11533499999999999</v>
      </c>
    </row>
    <row r="702" spans="1:5" x14ac:dyDescent="0.3">
      <c r="A702">
        <v>18</v>
      </c>
      <c r="B702">
        <v>190000</v>
      </c>
      <c r="C702" t="s">
        <v>45</v>
      </c>
      <c r="D702" t="s">
        <v>40</v>
      </c>
      <c r="E702">
        <v>0.29177199999999998</v>
      </c>
    </row>
    <row r="703" spans="1:5" x14ac:dyDescent="0.3">
      <c r="A703">
        <v>18</v>
      </c>
      <c r="B703">
        <v>190000</v>
      </c>
      <c r="C703" t="s">
        <v>45</v>
      </c>
      <c r="D703" t="s">
        <v>41</v>
      </c>
      <c r="E703">
        <v>0.109531</v>
      </c>
    </row>
    <row r="704" spans="1:5" x14ac:dyDescent="0.3">
      <c r="A704">
        <v>18</v>
      </c>
      <c r="B704">
        <v>190000</v>
      </c>
      <c r="C704" t="s">
        <v>45</v>
      </c>
      <c r="D704" t="s">
        <v>42</v>
      </c>
      <c r="E704">
        <v>5.9445999999999999E-2</v>
      </c>
    </row>
    <row r="705" spans="1:5" x14ac:dyDescent="0.3">
      <c r="A705">
        <v>18</v>
      </c>
      <c r="B705">
        <v>190000</v>
      </c>
      <c r="C705" t="s">
        <v>45</v>
      </c>
      <c r="D705" t="s">
        <v>43</v>
      </c>
      <c r="E705">
        <v>4.0247999999999999E-2</v>
      </c>
    </row>
    <row r="706" spans="1:5" x14ac:dyDescent="0.3">
      <c r="A706">
        <v>18</v>
      </c>
      <c r="B706">
        <v>190000</v>
      </c>
      <c r="C706" t="s">
        <v>46</v>
      </c>
      <c r="D706" t="s">
        <v>28</v>
      </c>
      <c r="E706">
        <v>144233.773487</v>
      </c>
    </row>
    <row r="707" spans="1:5" x14ac:dyDescent="0.3">
      <c r="A707">
        <v>18</v>
      </c>
      <c r="B707">
        <v>190000</v>
      </c>
      <c r="C707" t="s">
        <v>46</v>
      </c>
      <c r="D707" t="s">
        <v>29</v>
      </c>
      <c r="E707">
        <v>3.7767000000000002E-2</v>
      </c>
    </row>
    <row r="708" spans="1:5" x14ac:dyDescent="0.3">
      <c r="A708">
        <v>18</v>
      </c>
      <c r="B708">
        <v>190000</v>
      </c>
      <c r="C708" t="s">
        <v>46</v>
      </c>
      <c r="D708" t="s">
        <v>30</v>
      </c>
      <c r="E708">
        <v>1.8384000000000001E-2</v>
      </c>
    </row>
    <row r="709" spans="1:5" x14ac:dyDescent="0.3">
      <c r="A709">
        <v>18</v>
      </c>
      <c r="B709">
        <v>190000</v>
      </c>
      <c r="C709" t="s">
        <v>46</v>
      </c>
      <c r="D709" t="s">
        <v>31</v>
      </c>
      <c r="E709">
        <v>1.1553000000000001E-2</v>
      </c>
    </row>
    <row r="710" spans="1:5" x14ac:dyDescent="0.3">
      <c r="A710">
        <v>18</v>
      </c>
      <c r="B710">
        <v>190000</v>
      </c>
      <c r="C710" t="s">
        <v>46</v>
      </c>
      <c r="D710" t="s">
        <v>32</v>
      </c>
      <c r="E710">
        <v>1.1998E-2</v>
      </c>
    </row>
    <row r="711" spans="1:5" x14ac:dyDescent="0.3">
      <c r="A711">
        <v>18</v>
      </c>
      <c r="B711">
        <v>190000</v>
      </c>
      <c r="C711" t="s">
        <v>46</v>
      </c>
      <c r="D711" t="s">
        <v>33</v>
      </c>
      <c r="E711">
        <v>4.2230999999999998E-2</v>
      </c>
    </row>
    <row r="712" spans="1:5" x14ac:dyDescent="0.3">
      <c r="A712">
        <v>18</v>
      </c>
      <c r="B712">
        <v>190000</v>
      </c>
      <c r="C712" t="s">
        <v>46</v>
      </c>
      <c r="D712" t="s">
        <v>34</v>
      </c>
      <c r="E712">
        <v>1.4076999999999999E-2</v>
      </c>
    </row>
    <row r="713" spans="1:5" x14ac:dyDescent="0.3">
      <c r="A713">
        <v>18</v>
      </c>
      <c r="B713">
        <v>190000</v>
      </c>
      <c r="C713" t="s">
        <v>46</v>
      </c>
      <c r="D713" t="s">
        <v>35</v>
      </c>
      <c r="E713">
        <v>45765.956032000002</v>
      </c>
    </row>
    <row r="714" spans="1:5" x14ac:dyDescent="0.3">
      <c r="A714">
        <v>18</v>
      </c>
      <c r="B714">
        <v>190000</v>
      </c>
      <c r="C714" t="s">
        <v>46</v>
      </c>
      <c r="D714" t="s">
        <v>36</v>
      </c>
      <c r="E714">
        <v>1.1301E-2</v>
      </c>
    </row>
    <row r="715" spans="1:5" x14ac:dyDescent="0.3">
      <c r="A715">
        <v>18</v>
      </c>
      <c r="B715">
        <v>190000</v>
      </c>
      <c r="C715" t="s">
        <v>46</v>
      </c>
      <c r="D715" t="s">
        <v>37</v>
      </c>
      <c r="E715">
        <v>2.5031000000000001E-2</v>
      </c>
    </row>
    <row r="716" spans="1:5" x14ac:dyDescent="0.3">
      <c r="A716">
        <v>18</v>
      </c>
      <c r="B716">
        <v>190000</v>
      </c>
      <c r="C716" t="s">
        <v>46</v>
      </c>
      <c r="D716" t="s">
        <v>38</v>
      </c>
      <c r="E716">
        <v>1.8873999999999998E-2</v>
      </c>
    </row>
    <row r="717" spans="1:5" x14ac:dyDescent="0.3">
      <c r="A717">
        <v>18</v>
      </c>
      <c r="B717">
        <v>190000</v>
      </c>
      <c r="C717" t="s">
        <v>46</v>
      </c>
      <c r="D717" t="s">
        <v>39</v>
      </c>
      <c r="E717">
        <v>1.9421000000000001E-2</v>
      </c>
    </row>
    <row r="718" spans="1:5" x14ac:dyDescent="0.3">
      <c r="A718">
        <v>18</v>
      </c>
      <c r="B718">
        <v>190000</v>
      </c>
      <c r="C718" t="s">
        <v>46</v>
      </c>
      <c r="D718" t="s">
        <v>40</v>
      </c>
      <c r="E718">
        <v>5.2641E-2</v>
      </c>
    </row>
    <row r="719" spans="1:5" x14ac:dyDescent="0.3">
      <c r="A719">
        <v>18</v>
      </c>
      <c r="B719">
        <v>190000</v>
      </c>
      <c r="C719" t="s">
        <v>46</v>
      </c>
      <c r="D719" t="s">
        <v>41</v>
      </c>
      <c r="E719">
        <v>1.8697999999999999E-2</v>
      </c>
    </row>
    <row r="720" spans="1:5" x14ac:dyDescent="0.3">
      <c r="A720">
        <v>18</v>
      </c>
      <c r="B720">
        <v>190000</v>
      </c>
      <c r="C720" t="s">
        <v>46</v>
      </c>
      <c r="D720" t="s">
        <v>42</v>
      </c>
      <c r="E720">
        <v>1.166E-2</v>
      </c>
    </row>
    <row r="721" spans="1:5" x14ac:dyDescent="0.3">
      <c r="A721">
        <v>18</v>
      </c>
      <c r="B721">
        <v>190000</v>
      </c>
      <c r="C721" t="s">
        <v>46</v>
      </c>
      <c r="D721" t="s">
        <v>43</v>
      </c>
      <c r="E721">
        <v>8.3689999999999997E-3</v>
      </c>
    </row>
    <row r="722" spans="1:5" x14ac:dyDescent="0.3">
      <c r="A722">
        <v>18</v>
      </c>
      <c r="B722">
        <v>190000</v>
      </c>
      <c r="C722" t="s">
        <v>47</v>
      </c>
      <c r="D722" t="s">
        <v>28</v>
      </c>
      <c r="E722">
        <v>141421.921459</v>
      </c>
    </row>
    <row r="723" spans="1:5" x14ac:dyDescent="0.3">
      <c r="A723">
        <v>18</v>
      </c>
      <c r="B723">
        <v>190000</v>
      </c>
      <c r="C723" t="s">
        <v>47</v>
      </c>
      <c r="D723" t="s">
        <v>29</v>
      </c>
      <c r="E723">
        <v>7.4102000000000001E-2</v>
      </c>
    </row>
    <row r="724" spans="1:5" x14ac:dyDescent="0.3">
      <c r="A724">
        <v>18</v>
      </c>
      <c r="B724">
        <v>190000</v>
      </c>
      <c r="C724" t="s">
        <v>47</v>
      </c>
      <c r="D724" t="s">
        <v>30</v>
      </c>
      <c r="E724">
        <v>2.0067000000000002E-2</v>
      </c>
    </row>
    <row r="725" spans="1:5" x14ac:dyDescent="0.3">
      <c r="A725">
        <v>18</v>
      </c>
      <c r="B725">
        <v>190000</v>
      </c>
      <c r="C725" t="s">
        <v>47</v>
      </c>
      <c r="D725" t="s">
        <v>31</v>
      </c>
      <c r="E725">
        <v>1.5755999999999999E-2</v>
      </c>
    </row>
    <row r="726" spans="1:5" x14ac:dyDescent="0.3">
      <c r="A726">
        <v>18</v>
      </c>
      <c r="B726">
        <v>190000</v>
      </c>
      <c r="C726" t="s">
        <v>47</v>
      </c>
      <c r="D726" t="s">
        <v>32</v>
      </c>
      <c r="E726">
        <v>1.704E-2</v>
      </c>
    </row>
    <row r="727" spans="1:5" x14ac:dyDescent="0.3">
      <c r="A727">
        <v>18</v>
      </c>
      <c r="B727">
        <v>190000</v>
      </c>
      <c r="C727" t="s">
        <v>47</v>
      </c>
      <c r="D727" t="s">
        <v>33</v>
      </c>
      <c r="E727">
        <v>304.24055900000002</v>
      </c>
    </row>
    <row r="728" spans="1:5" x14ac:dyDescent="0.3">
      <c r="A728">
        <v>18</v>
      </c>
      <c r="B728">
        <v>190000</v>
      </c>
      <c r="C728" t="s">
        <v>47</v>
      </c>
      <c r="D728" t="s">
        <v>34</v>
      </c>
      <c r="E728">
        <v>1.826085</v>
      </c>
    </row>
    <row r="729" spans="1:5" x14ac:dyDescent="0.3">
      <c r="A729">
        <v>18</v>
      </c>
      <c r="B729">
        <v>190000</v>
      </c>
      <c r="C729" t="s">
        <v>47</v>
      </c>
      <c r="D729" t="s">
        <v>35</v>
      </c>
      <c r="E729">
        <v>48271.619915000003</v>
      </c>
    </row>
    <row r="730" spans="1:5" x14ac:dyDescent="0.3">
      <c r="A730">
        <v>18</v>
      </c>
      <c r="B730">
        <v>190000</v>
      </c>
      <c r="C730" t="s">
        <v>47</v>
      </c>
      <c r="D730" t="s">
        <v>36</v>
      </c>
      <c r="E730">
        <v>1.5395000000000001E-2</v>
      </c>
    </row>
    <row r="731" spans="1:5" x14ac:dyDescent="0.3">
      <c r="A731">
        <v>18</v>
      </c>
      <c r="B731">
        <v>190000</v>
      </c>
      <c r="C731" t="s">
        <v>47</v>
      </c>
      <c r="D731" t="s">
        <v>37</v>
      </c>
      <c r="E731">
        <v>6.0573000000000002E-2</v>
      </c>
    </row>
    <row r="732" spans="1:5" x14ac:dyDescent="0.3">
      <c r="A732">
        <v>18</v>
      </c>
      <c r="B732">
        <v>190000</v>
      </c>
      <c r="C732" t="s">
        <v>47</v>
      </c>
      <c r="D732" t="s">
        <v>38</v>
      </c>
      <c r="E732">
        <v>3.4362999999999998E-2</v>
      </c>
    </row>
    <row r="733" spans="1:5" x14ac:dyDescent="0.3">
      <c r="A733">
        <v>18</v>
      </c>
      <c r="B733">
        <v>190000</v>
      </c>
      <c r="C733" t="s">
        <v>47</v>
      </c>
      <c r="D733" t="s">
        <v>39</v>
      </c>
      <c r="E733">
        <v>3.4196999999999998E-2</v>
      </c>
    </row>
    <row r="734" spans="1:5" x14ac:dyDescent="0.3">
      <c r="A734">
        <v>18</v>
      </c>
      <c r="B734">
        <v>190000</v>
      </c>
      <c r="C734" t="s">
        <v>47</v>
      </c>
      <c r="D734" t="s">
        <v>40</v>
      </c>
      <c r="E734">
        <v>7.0461999999999997E-2</v>
      </c>
    </row>
    <row r="735" spans="1:5" x14ac:dyDescent="0.3">
      <c r="A735">
        <v>18</v>
      </c>
      <c r="B735">
        <v>190000</v>
      </c>
      <c r="C735" t="s">
        <v>47</v>
      </c>
      <c r="D735" t="s">
        <v>41</v>
      </c>
      <c r="E735">
        <v>3.2691999999999999E-2</v>
      </c>
    </row>
    <row r="736" spans="1:5" x14ac:dyDescent="0.3">
      <c r="A736">
        <v>18</v>
      </c>
      <c r="B736">
        <v>190000</v>
      </c>
      <c r="C736" t="s">
        <v>47</v>
      </c>
      <c r="D736" t="s">
        <v>42</v>
      </c>
      <c r="E736">
        <v>2.1779E-2</v>
      </c>
    </row>
    <row r="737" spans="1:5" x14ac:dyDescent="0.3">
      <c r="A737">
        <v>18</v>
      </c>
      <c r="B737">
        <v>190000</v>
      </c>
      <c r="C737" t="s">
        <v>47</v>
      </c>
      <c r="D737" t="s">
        <v>43</v>
      </c>
      <c r="E737">
        <v>9.7890000000000008E-3</v>
      </c>
    </row>
    <row r="738" spans="1:5" x14ac:dyDescent="0.3">
      <c r="A738">
        <v>19</v>
      </c>
      <c r="B738">
        <v>195000</v>
      </c>
      <c r="C738" t="s">
        <v>45</v>
      </c>
      <c r="D738" t="s">
        <v>28</v>
      </c>
      <c r="E738">
        <v>145703.864925</v>
      </c>
    </row>
    <row r="739" spans="1:5" x14ac:dyDescent="0.3">
      <c r="A739">
        <v>19</v>
      </c>
      <c r="B739">
        <v>195000</v>
      </c>
      <c r="C739" t="s">
        <v>45</v>
      </c>
      <c r="D739" t="s">
        <v>29</v>
      </c>
      <c r="E739">
        <v>0.13081000000000001</v>
      </c>
    </row>
    <row r="740" spans="1:5" x14ac:dyDescent="0.3">
      <c r="A740">
        <v>19</v>
      </c>
      <c r="B740">
        <v>195000</v>
      </c>
      <c r="C740" t="s">
        <v>45</v>
      </c>
      <c r="D740" t="s">
        <v>30</v>
      </c>
      <c r="E740">
        <v>2.9707999999999998E-2</v>
      </c>
    </row>
    <row r="741" spans="1:5" x14ac:dyDescent="0.3">
      <c r="A741">
        <v>19</v>
      </c>
      <c r="B741">
        <v>195000</v>
      </c>
      <c r="C741" t="s">
        <v>45</v>
      </c>
      <c r="D741" t="s">
        <v>31</v>
      </c>
      <c r="E741">
        <v>2.4539999999999999E-2</v>
      </c>
    </row>
    <row r="742" spans="1:5" x14ac:dyDescent="0.3">
      <c r="A742">
        <v>19</v>
      </c>
      <c r="B742">
        <v>195000</v>
      </c>
      <c r="C742" t="s">
        <v>45</v>
      </c>
      <c r="D742" t="s">
        <v>32</v>
      </c>
      <c r="E742">
        <v>2.5402999999999998E-2</v>
      </c>
    </row>
    <row r="743" spans="1:5" x14ac:dyDescent="0.3">
      <c r="A743">
        <v>19</v>
      </c>
      <c r="B743">
        <v>195000</v>
      </c>
      <c r="C743" t="s">
        <v>45</v>
      </c>
      <c r="D743" t="s">
        <v>33</v>
      </c>
      <c r="E743">
        <v>1024.1693029999999</v>
      </c>
    </row>
    <row r="744" spans="1:5" x14ac:dyDescent="0.3">
      <c r="A744">
        <v>19</v>
      </c>
      <c r="B744">
        <v>195000</v>
      </c>
      <c r="C744" t="s">
        <v>45</v>
      </c>
      <c r="D744" t="s">
        <v>34</v>
      </c>
      <c r="E744">
        <v>1.8887000000000001E-2</v>
      </c>
    </row>
    <row r="745" spans="1:5" x14ac:dyDescent="0.3">
      <c r="A745">
        <v>19</v>
      </c>
      <c r="B745">
        <v>195000</v>
      </c>
      <c r="C745" t="s">
        <v>45</v>
      </c>
      <c r="D745" t="s">
        <v>35</v>
      </c>
      <c r="E745">
        <v>48271.356785999997</v>
      </c>
    </row>
    <row r="746" spans="1:5" x14ac:dyDescent="0.3">
      <c r="A746">
        <v>19</v>
      </c>
      <c r="B746">
        <v>195000</v>
      </c>
      <c r="C746" t="s">
        <v>45</v>
      </c>
      <c r="D746" t="s">
        <v>36</v>
      </c>
      <c r="E746">
        <v>2.0215E-2</v>
      </c>
    </row>
    <row r="747" spans="1:5" x14ac:dyDescent="0.3">
      <c r="A747">
        <v>19</v>
      </c>
      <c r="B747">
        <v>195000</v>
      </c>
      <c r="C747" t="s">
        <v>45</v>
      </c>
      <c r="D747" t="s">
        <v>37</v>
      </c>
      <c r="E747">
        <v>9.1658000000000003E-2</v>
      </c>
    </row>
    <row r="748" spans="1:5" x14ac:dyDescent="0.3">
      <c r="A748">
        <v>19</v>
      </c>
      <c r="B748">
        <v>195000</v>
      </c>
      <c r="C748" t="s">
        <v>45</v>
      </c>
      <c r="D748" t="s">
        <v>38</v>
      </c>
      <c r="E748">
        <v>4.9695000000000003E-2</v>
      </c>
    </row>
    <row r="749" spans="1:5" x14ac:dyDescent="0.3">
      <c r="A749">
        <v>19</v>
      </c>
      <c r="B749">
        <v>195000</v>
      </c>
      <c r="C749" t="s">
        <v>45</v>
      </c>
      <c r="D749" t="s">
        <v>39</v>
      </c>
      <c r="E749">
        <v>4.5608000000000003E-2</v>
      </c>
    </row>
    <row r="750" spans="1:5" x14ac:dyDescent="0.3">
      <c r="A750">
        <v>19</v>
      </c>
      <c r="B750">
        <v>195000</v>
      </c>
      <c r="C750" t="s">
        <v>45</v>
      </c>
      <c r="D750" t="s">
        <v>40</v>
      </c>
      <c r="E750">
        <v>0.11133999999999999</v>
      </c>
    </row>
    <row r="751" spans="1:5" x14ac:dyDescent="0.3">
      <c r="A751">
        <v>19</v>
      </c>
      <c r="B751">
        <v>195000</v>
      </c>
      <c r="C751" t="s">
        <v>45</v>
      </c>
      <c r="D751" t="s">
        <v>41</v>
      </c>
      <c r="E751">
        <v>4.8627999999999998E-2</v>
      </c>
    </row>
    <row r="752" spans="1:5" x14ac:dyDescent="0.3">
      <c r="A752">
        <v>19</v>
      </c>
      <c r="B752">
        <v>195000</v>
      </c>
      <c r="C752" t="s">
        <v>45</v>
      </c>
      <c r="D752" t="s">
        <v>42</v>
      </c>
      <c r="E752">
        <v>2.0464E-2</v>
      </c>
    </row>
    <row r="753" spans="1:5" x14ac:dyDescent="0.3">
      <c r="A753">
        <v>19</v>
      </c>
      <c r="B753">
        <v>195000</v>
      </c>
      <c r="C753" t="s">
        <v>45</v>
      </c>
      <c r="D753" t="s">
        <v>43</v>
      </c>
      <c r="E753">
        <v>1.3839000000000001E-2</v>
      </c>
    </row>
    <row r="754" spans="1:5" x14ac:dyDescent="0.3">
      <c r="A754">
        <v>19</v>
      </c>
      <c r="B754">
        <v>195000</v>
      </c>
      <c r="C754" t="s">
        <v>46</v>
      </c>
      <c r="D754" t="s">
        <v>28</v>
      </c>
      <c r="E754">
        <v>144325.72261</v>
      </c>
    </row>
    <row r="755" spans="1:5" x14ac:dyDescent="0.3">
      <c r="A755">
        <v>19</v>
      </c>
      <c r="B755">
        <v>195000</v>
      </c>
      <c r="C755" t="s">
        <v>46</v>
      </c>
      <c r="D755" t="s">
        <v>29</v>
      </c>
      <c r="E755">
        <v>0.26630900000000002</v>
      </c>
    </row>
    <row r="756" spans="1:5" x14ac:dyDescent="0.3">
      <c r="A756">
        <v>19</v>
      </c>
      <c r="B756">
        <v>195000</v>
      </c>
      <c r="C756" t="s">
        <v>46</v>
      </c>
      <c r="D756" t="s">
        <v>30</v>
      </c>
      <c r="E756">
        <v>7.5269000000000003E-2</v>
      </c>
    </row>
    <row r="757" spans="1:5" x14ac:dyDescent="0.3">
      <c r="A757">
        <v>19</v>
      </c>
      <c r="B757">
        <v>195000</v>
      </c>
      <c r="C757" t="s">
        <v>46</v>
      </c>
      <c r="D757" t="s">
        <v>31</v>
      </c>
      <c r="E757">
        <v>5.8646999999999998E-2</v>
      </c>
    </row>
    <row r="758" spans="1:5" x14ac:dyDescent="0.3">
      <c r="A758">
        <v>19</v>
      </c>
      <c r="B758">
        <v>195000</v>
      </c>
      <c r="C758" t="s">
        <v>46</v>
      </c>
      <c r="D758" t="s">
        <v>32</v>
      </c>
      <c r="E758">
        <v>6.0994E-2</v>
      </c>
    </row>
    <row r="759" spans="1:5" x14ac:dyDescent="0.3">
      <c r="A759">
        <v>19</v>
      </c>
      <c r="B759">
        <v>195000</v>
      </c>
      <c r="C759" t="s">
        <v>46</v>
      </c>
      <c r="D759" t="s">
        <v>33</v>
      </c>
      <c r="E759">
        <v>2401.6247229999999</v>
      </c>
    </row>
    <row r="760" spans="1:5" x14ac:dyDescent="0.3">
      <c r="A760">
        <v>19</v>
      </c>
      <c r="B760">
        <v>195000</v>
      </c>
      <c r="C760" t="s">
        <v>46</v>
      </c>
      <c r="D760" t="s">
        <v>34</v>
      </c>
      <c r="E760">
        <v>7.2775000000000006E-2</v>
      </c>
    </row>
    <row r="761" spans="1:5" x14ac:dyDescent="0.3">
      <c r="A761">
        <v>19</v>
      </c>
      <c r="B761">
        <v>195000</v>
      </c>
      <c r="C761" t="s">
        <v>46</v>
      </c>
      <c r="D761" t="s">
        <v>35</v>
      </c>
      <c r="E761">
        <v>48271.213989000003</v>
      </c>
    </row>
    <row r="762" spans="1:5" x14ac:dyDescent="0.3">
      <c r="A762">
        <v>19</v>
      </c>
      <c r="B762">
        <v>195000</v>
      </c>
      <c r="C762" t="s">
        <v>46</v>
      </c>
      <c r="D762" t="s">
        <v>36</v>
      </c>
      <c r="E762">
        <v>5.6937000000000001E-2</v>
      </c>
    </row>
    <row r="763" spans="1:5" x14ac:dyDescent="0.3">
      <c r="A763">
        <v>19</v>
      </c>
      <c r="B763">
        <v>195000</v>
      </c>
      <c r="C763" t="s">
        <v>46</v>
      </c>
      <c r="D763" t="s">
        <v>37</v>
      </c>
      <c r="E763">
        <v>0.21239</v>
      </c>
    </row>
    <row r="764" spans="1:5" x14ac:dyDescent="0.3">
      <c r="A764">
        <v>19</v>
      </c>
      <c r="B764">
        <v>195000</v>
      </c>
      <c r="C764" t="s">
        <v>46</v>
      </c>
      <c r="D764" t="s">
        <v>38</v>
      </c>
      <c r="E764">
        <v>0.11649900000000001</v>
      </c>
    </row>
    <row r="765" spans="1:5" x14ac:dyDescent="0.3">
      <c r="A765">
        <v>19</v>
      </c>
      <c r="B765">
        <v>195000</v>
      </c>
      <c r="C765" t="s">
        <v>46</v>
      </c>
      <c r="D765" t="s">
        <v>39</v>
      </c>
      <c r="E765">
        <v>0.10616</v>
      </c>
    </row>
    <row r="766" spans="1:5" x14ac:dyDescent="0.3">
      <c r="A766">
        <v>19</v>
      </c>
      <c r="B766">
        <v>195000</v>
      </c>
      <c r="C766" t="s">
        <v>46</v>
      </c>
      <c r="D766" t="s">
        <v>40</v>
      </c>
      <c r="E766">
        <v>0.26264799999999999</v>
      </c>
    </row>
    <row r="767" spans="1:5" x14ac:dyDescent="0.3">
      <c r="A767">
        <v>19</v>
      </c>
      <c r="B767">
        <v>195000</v>
      </c>
      <c r="C767" t="s">
        <v>46</v>
      </c>
      <c r="D767" t="s">
        <v>41</v>
      </c>
      <c r="E767">
        <v>0.118141</v>
      </c>
    </row>
    <row r="768" spans="1:5" x14ac:dyDescent="0.3">
      <c r="A768">
        <v>19</v>
      </c>
      <c r="B768">
        <v>195000</v>
      </c>
      <c r="C768" t="s">
        <v>46</v>
      </c>
      <c r="D768" t="s">
        <v>42</v>
      </c>
      <c r="E768">
        <v>5.7869999999999998E-2</v>
      </c>
    </row>
    <row r="769" spans="1:5" x14ac:dyDescent="0.3">
      <c r="A769">
        <v>19</v>
      </c>
      <c r="B769">
        <v>195000</v>
      </c>
      <c r="C769" t="s">
        <v>46</v>
      </c>
      <c r="D769" t="s">
        <v>43</v>
      </c>
      <c r="E769">
        <v>3.5257999999999998E-2</v>
      </c>
    </row>
    <row r="770" spans="1:5" x14ac:dyDescent="0.3">
      <c r="A770">
        <v>19</v>
      </c>
      <c r="B770">
        <v>195000</v>
      </c>
      <c r="C770" t="s">
        <v>47</v>
      </c>
      <c r="D770" t="s">
        <v>28</v>
      </c>
      <c r="E770">
        <v>142271.544929</v>
      </c>
    </row>
    <row r="771" spans="1:5" x14ac:dyDescent="0.3">
      <c r="A771">
        <v>19</v>
      </c>
      <c r="B771">
        <v>195000</v>
      </c>
      <c r="C771" t="s">
        <v>47</v>
      </c>
      <c r="D771" t="s">
        <v>29</v>
      </c>
      <c r="E771">
        <v>0.23608699999999999</v>
      </c>
    </row>
    <row r="772" spans="1:5" x14ac:dyDescent="0.3">
      <c r="A772">
        <v>19</v>
      </c>
      <c r="B772">
        <v>195000</v>
      </c>
      <c r="C772" t="s">
        <v>47</v>
      </c>
      <c r="D772" t="s">
        <v>30</v>
      </c>
      <c r="E772">
        <v>6.6447000000000006E-2</v>
      </c>
    </row>
    <row r="773" spans="1:5" x14ac:dyDescent="0.3">
      <c r="A773">
        <v>19</v>
      </c>
      <c r="B773">
        <v>195000</v>
      </c>
      <c r="C773" t="s">
        <v>47</v>
      </c>
      <c r="D773" t="s">
        <v>31</v>
      </c>
      <c r="E773">
        <v>4.9632999999999997E-2</v>
      </c>
    </row>
    <row r="774" spans="1:5" x14ac:dyDescent="0.3">
      <c r="A774">
        <v>19</v>
      </c>
      <c r="B774">
        <v>195000</v>
      </c>
      <c r="C774" t="s">
        <v>47</v>
      </c>
      <c r="D774" t="s">
        <v>32</v>
      </c>
      <c r="E774">
        <v>5.3293E-2</v>
      </c>
    </row>
    <row r="775" spans="1:5" x14ac:dyDescent="0.3">
      <c r="A775">
        <v>19</v>
      </c>
      <c r="B775">
        <v>195000</v>
      </c>
      <c r="C775" t="s">
        <v>47</v>
      </c>
      <c r="D775" t="s">
        <v>33</v>
      </c>
      <c r="E775">
        <v>2918.7647139999999</v>
      </c>
    </row>
    <row r="776" spans="1:5" x14ac:dyDescent="0.3">
      <c r="A776">
        <v>19</v>
      </c>
      <c r="B776">
        <v>195000</v>
      </c>
      <c r="C776" t="s">
        <v>47</v>
      </c>
      <c r="D776" t="s">
        <v>34</v>
      </c>
      <c r="E776">
        <v>1536.8614439999999</v>
      </c>
    </row>
    <row r="777" spans="1:5" x14ac:dyDescent="0.3">
      <c r="A777">
        <v>19</v>
      </c>
      <c r="B777">
        <v>195000</v>
      </c>
      <c r="C777" t="s">
        <v>47</v>
      </c>
      <c r="D777" t="s">
        <v>35</v>
      </c>
      <c r="E777">
        <v>48271.580394999997</v>
      </c>
    </row>
    <row r="778" spans="1:5" x14ac:dyDescent="0.3">
      <c r="A778">
        <v>19</v>
      </c>
      <c r="B778">
        <v>195000</v>
      </c>
      <c r="C778" t="s">
        <v>47</v>
      </c>
      <c r="D778" t="s">
        <v>36</v>
      </c>
      <c r="E778">
        <v>4.7418000000000002E-2</v>
      </c>
    </row>
    <row r="779" spans="1:5" x14ac:dyDescent="0.3">
      <c r="A779">
        <v>19</v>
      </c>
      <c r="B779">
        <v>195000</v>
      </c>
      <c r="C779" t="s">
        <v>47</v>
      </c>
      <c r="D779" t="s">
        <v>37</v>
      </c>
      <c r="E779">
        <v>0.19881299999999999</v>
      </c>
    </row>
    <row r="780" spans="1:5" x14ac:dyDescent="0.3">
      <c r="A780">
        <v>19</v>
      </c>
      <c r="B780">
        <v>195000</v>
      </c>
      <c r="C780" t="s">
        <v>47</v>
      </c>
      <c r="D780" t="s">
        <v>38</v>
      </c>
      <c r="E780">
        <v>0.105958</v>
      </c>
    </row>
    <row r="781" spans="1:5" x14ac:dyDescent="0.3">
      <c r="A781">
        <v>19</v>
      </c>
      <c r="B781">
        <v>195000</v>
      </c>
      <c r="C781" t="s">
        <v>47</v>
      </c>
      <c r="D781" t="s">
        <v>39</v>
      </c>
      <c r="E781">
        <v>0.10864</v>
      </c>
    </row>
    <row r="782" spans="1:5" x14ac:dyDescent="0.3">
      <c r="A782">
        <v>19</v>
      </c>
      <c r="B782">
        <v>195000</v>
      </c>
      <c r="C782" t="s">
        <v>47</v>
      </c>
      <c r="D782" t="s">
        <v>40</v>
      </c>
      <c r="E782">
        <v>0.22883500000000001</v>
      </c>
    </row>
    <row r="783" spans="1:5" x14ac:dyDescent="0.3">
      <c r="A783">
        <v>19</v>
      </c>
      <c r="B783">
        <v>195000</v>
      </c>
      <c r="C783" t="s">
        <v>47</v>
      </c>
      <c r="D783" t="s">
        <v>41</v>
      </c>
      <c r="E783">
        <v>0.100675</v>
      </c>
    </row>
    <row r="784" spans="1:5" x14ac:dyDescent="0.3">
      <c r="A784">
        <v>19</v>
      </c>
      <c r="B784">
        <v>195000</v>
      </c>
      <c r="C784" t="s">
        <v>47</v>
      </c>
      <c r="D784" t="s">
        <v>42</v>
      </c>
      <c r="E784">
        <v>6.6267999999999994E-2</v>
      </c>
    </row>
    <row r="785" spans="1:5" x14ac:dyDescent="0.3">
      <c r="A785">
        <v>19</v>
      </c>
      <c r="B785">
        <v>195000</v>
      </c>
      <c r="C785" t="s">
        <v>47</v>
      </c>
      <c r="D785" t="s">
        <v>43</v>
      </c>
      <c r="E785">
        <v>2.8875999999999999E-2</v>
      </c>
    </row>
    <row r="786" spans="1:5" x14ac:dyDescent="0.3">
      <c r="A786">
        <v>20</v>
      </c>
      <c r="B786">
        <v>200000</v>
      </c>
      <c r="C786" t="s">
        <v>45</v>
      </c>
      <c r="D786" t="s">
        <v>28</v>
      </c>
      <c r="E786">
        <v>145932.97836400001</v>
      </c>
    </row>
    <row r="787" spans="1:5" x14ac:dyDescent="0.3">
      <c r="A787">
        <v>20</v>
      </c>
      <c r="B787">
        <v>200000</v>
      </c>
      <c r="C787" t="s">
        <v>45</v>
      </c>
      <c r="D787" t="s">
        <v>29</v>
      </c>
      <c r="E787">
        <v>0.14738499999999999</v>
      </c>
    </row>
    <row r="788" spans="1:5" x14ac:dyDescent="0.3">
      <c r="A788">
        <v>20</v>
      </c>
      <c r="B788">
        <v>200000</v>
      </c>
      <c r="C788" t="s">
        <v>45</v>
      </c>
      <c r="D788" t="s">
        <v>30</v>
      </c>
      <c r="E788">
        <v>3.6096000000000003E-2</v>
      </c>
    </row>
    <row r="789" spans="1:5" x14ac:dyDescent="0.3">
      <c r="A789">
        <v>20</v>
      </c>
      <c r="B789">
        <v>200000</v>
      </c>
      <c r="C789" t="s">
        <v>45</v>
      </c>
      <c r="D789" t="s">
        <v>31</v>
      </c>
      <c r="E789">
        <v>3.0353000000000002E-2</v>
      </c>
    </row>
    <row r="790" spans="1:5" x14ac:dyDescent="0.3">
      <c r="A790">
        <v>20</v>
      </c>
      <c r="B790">
        <v>200000</v>
      </c>
      <c r="C790" t="s">
        <v>45</v>
      </c>
      <c r="D790" t="s">
        <v>32</v>
      </c>
      <c r="E790">
        <v>3.1885999999999998E-2</v>
      </c>
    </row>
    <row r="791" spans="1:5" x14ac:dyDescent="0.3">
      <c r="A791">
        <v>20</v>
      </c>
      <c r="B791">
        <v>200000</v>
      </c>
      <c r="C791" t="s">
        <v>45</v>
      </c>
      <c r="D791" t="s">
        <v>33</v>
      </c>
      <c r="E791">
        <v>5794.9409729999998</v>
      </c>
    </row>
    <row r="792" spans="1:5" x14ac:dyDescent="0.3">
      <c r="A792">
        <v>20</v>
      </c>
      <c r="B792">
        <v>200000</v>
      </c>
      <c r="C792" t="s">
        <v>45</v>
      </c>
      <c r="D792" t="s">
        <v>34</v>
      </c>
      <c r="E792">
        <v>3.0084E-2</v>
      </c>
    </row>
    <row r="793" spans="1:5" x14ac:dyDescent="0.3">
      <c r="A793">
        <v>20</v>
      </c>
      <c r="B793">
        <v>200000</v>
      </c>
      <c r="C793" t="s">
        <v>45</v>
      </c>
      <c r="D793" t="s">
        <v>35</v>
      </c>
      <c r="E793">
        <v>48271.32228</v>
      </c>
    </row>
    <row r="794" spans="1:5" x14ac:dyDescent="0.3">
      <c r="A794">
        <v>20</v>
      </c>
      <c r="B794">
        <v>200000</v>
      </c>
      <c r="C794" t="s">
        <v>45</v>
      </c>
      <c r="D794" t="s">
        <v>36</v>
      </c>
      <c r="E794">
        <v>2.9565000000000001E-2</v>
      </c>
    </row>
    <row r="795" spans="1:5" x14ac:dyDescent="0.3">
      <c r="A795">
        <v>20</v>
      </c>
      <c r="B795">
        <v>200000</v>
      </c>
      <c r="C795" t="s">
        <v>45</v>
      </c>
      <c r="D795" t="s">
        <v>37</v>
      </c>
      <c r="E795">
        <v>0.113025</v>
      </c>
    </row>
    <row r="796" spans="1:5" x14ac:dyDescent="0.3">
      <c r="A796">
        <v>20</v>
      </c>
      <c r="B796">
        <v>200000</v>
      </c>
      <c r="C796" t="s">
        <v>45</v>
      </c>
      <c r="D796" t="s">
        <v>38</v>
      </c>
      <c r="E796">
        <v>6.2168000000000001E-2</v>
      </c>
    </row>
    <row r="797" spans="1:5" x14ac:dyDescent="0.3">
      <c r="A797">
        <v>20</v>
      </c>
      <c r="B797">
        <v>200000</v>
      </c>
      <c r="C797" t="s">
        <v>45</v>
      </c>
      <c r="D797" t="s">
        <v>39</v>
      </c>
      <c r="E797">
        <v>5.6592999999999997E-2</v>
      </c>
    </row>
    <row r="798" spans="1:5" x14ac:dyDescent="0.3">
      <c r="A798">
        <v>20</v>
      </c>
      <c r="B798">
        <v>200000</v>
      </c>
      <c r="C798" t="s">
        <v>45</v>
      </c>
      <c r="D798" t="s">
        <v>40</v>
      </c>
      <c r="E798">
        <v>0.136069</v>
      </c>
    </row>
    <row r="799" spans="1:5" x14ac:dyDescent="0.3">
      <c r="A799">
        <v>20</v>
      </c>
      <c r="B799">
        <v>200000</v>
      </c>
      <c r="C799" t="s">
        <v>45</v>
      </c>
      <c r="D799" t="s">
        <v>41</v>
      </c>
      <c r="E799">
        <v>6.5314999999999998E-2</v>
      </c>
    </row>
    <row r="800" spans="1:5" x14ac:dyDescent="0.3">
      <c r="A800">
        <v>20</v>
      </c>
      <c r="B800">
        <v>200000</v>
      </c>
      <c r="C800" t="s">
        <v>45</v>
      </c>
      <c r="D800" t="s">
        <v>42</v>
      </c>
      <c r="E800">
        <v>2.8709999999999999E-2</v>
      </c>
    </row>
    <row r="801" spans="1:5" x14ac:dyDescent="0.3">
      <c r="A801">
        <v>20</v>
      </c>
      <c r="B801">
        <v>200000</v>
      </c>
      <c r="C801" t="s">
        <v>45</v>
      </c>
      <c r="D801" t="s">
        <v>43</v>
      </c>
      <c r="E801">
        <v>1.8273999999999999E-2</v>
      </c>
    </row>
    <row r="802" spans="1:5" x14ac:dyDescent="0.3">
      <c r="A802">
        <v>20</v>
      </c>
      <c r="B802">
        <v>200000</v>
      </c>
      <c r="C802" t="s">
        <v>46</v>
      </c>
      <c r="D802" t="s">
        <v>28</v>
      </c>
      <c r="E802">
        <v>144418.098268</v>
      </c>
    </row>
    <row r="803" spans="1:5" x14ac:dyDescent="0.3">
      <c r="A803">
        <v>20</v>
      </c>
      <c r="B803">
        <v>200000</v>
      </c>
      <c r="C803" t="s">
        <v>46</v>
      </c>
      <c r="D803" t="s">
        <v>29</v>
      </c>
      <c r="E803">
        <v>0.43149500000000002</v>
      </c>
    </row>
    <row r="804" spans="1:5" x14ac:dyDescent="0.3">
      <c r="A804">
        <v>20</v>
      </c>
      <c r="B804">
        <v>200000</v>
      </c>
      <c r="C804" t="s">
        <v>46</v>
      </c>
      <c r="D804" t="s">
        <v>30</v>
      </c>
      <c r="E804">
        <v>0.11011799999999999</v>
      </c>
    </row>
    <row r="805" spans="1:5" x14ac:dyDescent="0.3">
      <c r="A805">
        <v>20</v>
      </c>
      <c r="B805">
        <v>200000</v>
      </c>
      <c r="C805" t="s">
        <v>46</v>
      </c>
      <c r="D805" t="s">
        <v>31</v>
      </c>
      <c r="E805">
        <v>7.9959000000000002E-2</v>
      </c>
    </row>
    <row r="806" spans="1:5" x14ac:dyDescent="0.3">
      <c r="A806">
        <v>20</v>
      </c>
      <c r="B806">
        <v>200000</v>
      </c>
      <c r="C806" t="s">
        <v>46</v>
      </c>
      <c r="D806" t="s">
        <v>32</v>
      </c>
      <c r="E806">
        <v>8.4477999999999998E-2</v>
      </c>
    </row>
    <row r="807" spans="1:5" x14ac:dyDescent="0.3">
      <c r="A807">
        <v>20</v>
      </c>
      <c r="B807">
        <v>200000</v>
      </c>
      <c r="C807" t="s">
        <v>46</v>
      </c>
      <c r="D807" t="s">
        <v>33</v>
      </c>
      <c r="E807">
        <v>7308.4074220000002</v>
      </c>
    </row>
    <row r="808" spans="1:5" x14ac:dyDescent="0.3">
      <c r="A808">
        <v>20</v>
      </c>
      <c r="B808">
        <v>200000</v>
      </c>
      <c r="C808" t="s">
        <v>46</v>
      </c>
      <c r="D808" t="s">
        <v>34</v>
      </c>
      <c r="E808">
        <v>9.2897999999999994E-2</v>
      </c>
    </row>
    <row r="809" spans="1:5" x14ac:dyDescent="0.3">
      <c r="A809">
        <v>20</v>
      </c>
      <c r="B809">
        <v>200000</v>
      </c>
      <c r="C809" t="s">
        <v>46</v>
      </c>
      <c r="D809" t="s">
        <v>35</v>
      </c>
      <c r="E809">
        <v>48271.331393</v>
      </c>
    </row>
    <row r="810" spans="1:5" x14ac:dyDescent="0.3">
      <c r="A810">
        <v>20</v>
      </c>
      <c r="B810">
        <v>200000</v>
      </c>
      <c r="C810" t="s">
        <v>46</v>
      </c>
      <c r="D810" t="s">
        <v>36</v>
      </c>
      <c r="E810">
        <v>7.8756999999999994E-2</v>
      </c>
    </row>
    <row r="811" spans="1:5" x14ac:dyDescent="0.3">
      <c r="A811">
        <v>20</v>
      </c>
      <c r="B811">
        <v>200000</v>
      </c>
      <c r="C811" t="s">
        <v>46</v>
      </c>
      <c r="D811" t="s">
        <v>37</v>
      </c>
      <c r="E811">
        <v>0.34431499999999998</v>
      </c>
    </row>
    <row r="812" spans="1:5" x14ac:dyDescent="0.3">
      <c r="A812">
        <v>20</v>
      </c>
      <c r="B812">
        <v>200000</v>
      </c>
      <c r="C812" t="s">
        <v>46</v>
      </c>
      <c r="D812" t="s">
        <v>38</v>
      </c>
      <c r="E812">
        <v>0.172679</v>
      </c>
    </row>
    <row r="813" spans="1:5" x14ac:dyDescent="0.3">
      <c r="A813">
        <v>20</v>
      </c>
      <c r="B813">
        <v>200000</v>
      </c>
      <c r="C813" t="s">
        <v>46</v>
      </c>
      <c r="D813" t="s">
        <v>39</v>
      </c>
      <c r="E813">
        <v>0.15515499999999999</v>
      </c>
    </row>
    <row r="814" spans="1:5" x14ac:dyDescent="0.3">
      <c r="A814">
        <v>20</v>
      </c>
      <c r="B814">
        <v>200000</v>
      </c>
      <c r="C814" t="s">
        <v>46</v>
      </c>
      <c r="D814" t="s">
        <v>40</v>
      </c>
      <c r="E814">
        <v>0.357325</v>
      </c>
    </row>
    <row r="815" spans="1:5" x14ac:dyDescent="0.3">
      <c r="A815">
        <v>20</v>
      </c>
      <c r="B815">
        <v>200000</v>
      </c>
      <c r="C815" t="s">
        <v>46</v>
      </c>
      <c r="D815" t="s">
        <v>41</v>
      </c>
      <c r="E815">
        <v>0.17953</v>
      </c>
    </row>
    <row r="816" spans="1:5" x14ac:dyDescent="0.3">
      <c r="A816">
        <v>20</v>
      </c>
      <c r="B816">
        <v>200000</v>
      </c>
      <c r="C816" t="s">
        <v>46</v>
      </c>
      <c r="D816" t="s">
        <v>42</v>
      </c>
      <c r="E816">
        <v>8.0213000000000007E-2</v>
      </c>
    </row>
    <row r="817" spans="1:5" x14ac:dyDescent="0.3">
      <c r="A817">
        <v>20</v>
      </c>
      <c r="B817">
        <v>200000</v>
      </c>
      <c r="C817" t="s">
        <v>46</v>
      </c>
      <c r="D817" t="s">
        <v>43</v>
      </c>
      <c r="E817">
        <v>4.8141999999999997E-2</v>
      </c>
    </row>
    <row r="818" spans="1:5" x14ac:dyDescent="0.3">
      <c r="A818">
        <v>20</v>
      </c>
      <c r="B818">
        <v>200000</v>
      </c>
      <c r="C818" t="s">
        <v>47</v>
      </c>
      <c r="D818" t="s">
        <v>28</v>
      </c>
      <c r="E818">
        <v>143092.37257899999</v>
      </c>
    </row>
    <row r="819" spans="1:5" x14ac:dyDescent="0.3">
      <c r="A819">
        <v>20</v>
      </c>
      <c r="B819">
        <v>200000</v>
      </c>
      <c r="C819" t="s">
        <v>47</v>
      </c>
      <c r="D819" t="s">
        <v>29</v>
      </c>
      <c r="E819">
        <v>0.123949</v>
      </c>
    </row>
    <row r="820" spans="1:5" x14ac:dyDescent="0.3">
      <c r="A820">
        <v>20</v>
      </c>
      <c r="B820">
        <v>200000</v>
      </c>
      <c r="C820" t="s">
        <v>47</v>
      </c>
      <c r="D820" t="s">
        <v>30</v>
      </c>
      <c r="E820">
        <v>3.1366999999999999E-2</v>
      </c>
    </row>
    <row r="821" spans="1:5" x14ac:dyDescent="0.3">
      <c r="A821">
        <v>20</v>
      </c>
      <c r="B821">
        <v>200000</v>
      </c>
      <c r="C821" t="s">
        <v>47</v>
      </c>
      <c r="D821" t="s">
        <v>31</v>
      </c>
      <c r="E821">
        <v>2.5555000000000001E-2</v>
      </c>
    </row>
    <row r="822" spans="1:5" x14ac:dyDescent="0.3">
      <c r="A822">
        <v>20</v>
      </c>
      <c r="B822">
        <v>200000</v>
      </c>
      <c r="C822" t="s">
        <v>47</v>
      </c>
      <c r="D822" t="s">
        <v>32</v>
      </c>
      <c r="E822">
        <v>2.7722E-2</v>
      </c>
    </row>
    <row r="823" spans="1:5" x14ac:dyDescent="0.3">
      <c r="A823">
        <v>20</v>
      </c>
      <c r="B823">
        <v>200000</v>
      </c>
      <c r="C823" t="s">
        <v>47</v>
      </c>
      <c r="D823" t="s">
        <v>33</v>
      </c>
      <c r="E823">
        <v>6354.1890380000004</v>
      </c>
    </row>
    <row r="824" spans="1:5" x14ac:dyDescent="0.3">
      <c r="A824">
        <v>20</v>
      </c>
      <c r="B824">
        <v>200000</v>
      </c>
      <c r="C824" t="s">
        <v>47</v>
      </c>
      <c r="D824" t="s">
        <v>34</v>
      </c>
      <c r="E824">
        <v>2281.1656809999999</v>
      </c>
    </row>
    <row r="825" spans="1:5" x14ac:dyDescent="0.3">
      <c r="A825">
        <v>20</v>
      </c>
      <c r="B825">
        <v>200000</v>
      </c>
      <c r="C825" t="s">
        <v>47</v>
      </c>
      <c r="D825" t="s">
        <v>35</v>
      </c>
      <c r="E825">
        <v>48271.621321999999</v>
      </c>
    </row>
    <row r="826" spans="1:5" x14ac:dyDescent="0.3">
      <c r="A826">
        <v>20</v>
      </c>
      <c r="B826">
        <v>200000</v>
      </c>
      <c r="C826" t="s">
        <v>47</v>
      </c>
      <c r="D826" t="s">
        <v>36</v>
      </c>
      <c r="E826">
        <v>2.5142000000000001E-2</v>
      </c>
    </row>
    <row r="827" spans="1:5" x14ac:dyDescent="0.3">
      <c r="A827">
        <v>20</v>
      </c>
      <c r="B827">
        <v>200000</v>
      </c>
      <c r="C827" t="s">
        <v>47</v>
      </c>
      <c r="D827" t="s">
        <v>37</v>
      </c>
      <c r="E827">
        <v>0.101714</v>
      </c>
    </row>
    <row r="828" spans="1:5" x14ac:dyDescent="0.3">
      <c r="A828">
        <v>20</v>
      </c>
      <c r="B828">
        <v>200000</v>
      </c>
      <c r="C828" t="s">
        <v>47</v>
      </c>
      <c r="D828" t="s">
        <v>38</v>
      </c>
      <c r="E828">
        <v>5.7439999999999998E-2</v>
      </c>
    </row>
    <row r="829" spans="1:5" x14ac:dyDescent="0.3">
      <c r="A829">
        <v>20</v>
      </c>
      <c r="B829">
        <v>200000</v>
      </c>
      <c r="C829" t="s">
        <v>47</v>
      </c>
      <c r="D829" t="s">
        <v>39</v>
      </c>
      <c r="E829">
        <v>5.5648999999999997E-2</v>
      </c>
    </row>
    <row r="830" spans="1:5" x14ac:dyDescent="0.3">
      <c r="A830">
        <v>20</v>
      </c>
      <c r="B830">
        <v>200000</v>
      </c>
      <c r="C830" t="s">
        <v>47</v>
      </c>
      <c r="D830" t="s">
        <v>40</v>
      </c>
      <c r="E830">
        <v>0.11346199999999999</v>
      </c>
    </row>
    <row r="831" spans="1:5" x14ac:dyDescent="0.3">
      <c r="A831">
        <v>20</v>
      </c>
      <c r="B831">
        <v>200000</v>
      </c>
      <c r="C831" t="s">
        <v>47</v>
      </c>
      <c r="D831" t="s">
        <v>41</v>
      </c>
      <c r="E831">
        <v>5.3922999999999999E-2</v>
      </c>
    </row>
    <row r="832" spans="1:5" x14ac:dyDescent="0.3">
      <c r="A832">
        <v>20</v>
      </c>
      <c r="B832">
        <v>200000</v>
      </c>
      <c r="C832" t="s">
        <v>47</v>
      </c>
      <c r="D832" t="s">
        <v>42</v>
      </c>
      <c r="E832">
        <v>3.5800999999999999E-2</v>
      </c>
    </row>
    <row r="833" spans="1:5" x14ac:dyDescent="0.3">
      <c r="A833">
        <v>20</v>
      </c>
      <c r="B833">
        <v>200000</v>
      </c>
      <c r="C833" t="s">
        <v>47</v>
      </c>
      <c r="D833" t="s">
        <v>43</v>
      </c>
      <c r="E833">
        <v>1.6133000000000002E-2</v>
      </c>
    </row>
    <row r="834" spans="1:5" x14ac:dyDescent="0.3">
      <c r="A834">
        <v>21</v>
      </c>
      <c r="B834">
        <v>205000</v>
      </c>
      <c r="C834" t="s">
        <v>45</v>
      </c>
      <c r="D834" t="s">
        <v>28</v>
      </c>
      <c r="E834">
        <v>146175.25013500001</v>
      </c>
    </row>
    <row r="835" spans="1:5" x14ac:dyDescent="0.3">
      <c r="A835">
        <v>21</v>
      </c>
      <c r="B835">
        <v>205000</v>
      </c>
      <c r="C835" t="s">
        <v>45</v>
      </c>
      <c r="D835" t="s">
        <v>29</v>
      </c>
      <c r="E835">
        <v>4.4831000000000003E-2</v>
      </c>
    </row>
    <row r="836" spans="1:5" x14ac:dyDescent="0.3">
      <c r="A836">
        <v>21</v>
      </c>
      <c r="B836">
        <v>205000</v>
      </c>
      <c r="C836" t="s">
        <v>45</v>
      </c>
      <c r="D836" t="s">
        <v>30</v>
      </c>
      <c r="E836">
        <v>9.7169999999999999E-3</v>
      </c>
    </row>
    <row r="837" spans="1:5" x14ac:dyDescent="0.3">
      <c r="A837">
        <v>21</v>
      </c>
      <c r="B837">
        <v>205000</v>
      </c>
      <c r="C837" t="s">
        <v>45</v>
      </c>
      <c r="D837" t="s">
        <v>31</v>
      </c>
      <c r="E837">
        <v>7.8279999999999999E-3</v>
      </c>
    </row>
    <row r="838" spans="1:5" x14ac:dyDescent="0.3">
      <c r="A838">
        <v>21</v>
      </c>
      <c r="B838">
        <v>205000</v>
      </c>
      <c r="C838" t="s">
        <v>45</v>
      </c>
      <c r="D838" t="s">
        <v>32</v>
      </c>
      <c r="E838">
        <v>8.2249999999999997E-3</v>
      </c>
    </row>
    <row r="839" spans="1:5" x14ac:dyDescent="0.3">
      <c r="A839">
        <v>21</v>
      </c>
      <c r="B839">
        <v>205000</v>
      </c>
      <c r="C839" t="s">
        <v>45</v>
      </c>
      <c r="D839" t="s">
        <v>33</v>
      </c>
      <c r="E839">
        <v>10552.966436000001</v>
      </c>
    </row>
    <row r="840" spans="1:5" x14ac:dyDescent="0.3">
      <c r="A840">
        <v>21</v>
      </c>
      <c r="B840">
        <v>205000</v>
      </c>
      <c r="C840" t="s">
        <v>45</v>
      </c>
      <c r="D840" t="s">
        <v>34</v>
      </c>
      <c r="E840">
        <v>7.0419999999999996E-3</v>
      </c>
    </row>
    <row r="841" spans="1:5" x14ac:dyDescent="0.3">
      <c r="A841">
        <v>21</v>
      </c>
      <c r="B841">
        <v>205000</v>
      </c>
      <c r="C841" t="s">
        <v>45</v>
      </c>
      <c r="D841" t="s">
        <v>35</v>
      </c>
      <c r="E841">
        <v>48271.572725999999</v>
      </c>
    </row>
    <row r="842" spans="1:5" x14ac:dyDescent="0.3">
      <c r="A842">
        <v>21</v>
      </c>
      <c r="B842">
        <v>205000</v>
      </c>
      <c r="C842" t="s">
        <v>45</v>
      </c>
      <c r="D842" t="s">
        <v>36</v>
      </c>
      <c r="E842">
        <v>7.3039999999999997E-3</v>
      </c>
    </row>
    <row r="843" spans="1:5" x14ac:dyDescent="0.3">
      <c r="A843">
        <v>21</v>
      </c>
      <c r="B843">
        <v>205000</v>
      </c>
      <c r="C843" t="s">
        <v>45</v>
      </c>
      <c r="D843" t="s">
        <v>37</v>
      </c>
      <c r="E843">
        <v>3.3790000000000001E-2</v>
      </c>
    </row>
    <row r="844" spans="1:5" x14ac:dyDescent="0.3">
      <c r="A844">
        <v>21</v>
      </c>
      <c r="B844">
        <v>205000</v>
      </c>
      <c r="C844" t="s">
        <v>45</v>
      </c>
      <c r="D844" t="s">
        <v>38</v>
      </c>
      <c r="E844">
        <v>1.7031999999999999E-2</v>
      </c>
    </row>
    <row r="845" spans="1:5" x14ac:dyDescent="0.3">
      <c r="A845">
        <v>21</v>
      </c>
      <c r="B845">
        <v>205000</v>
      </c>
      <c r="C845" t="s">
        <v>45</v>
      </c>
      <c r="D845" t="s">
        <v>39</v>
      </c>
      <c r="E845">
        <v>1.5303000000000001E-2</v>
      </c>
    </row>
    <row r="846" spans="1:5" x14ac:dyDescent="0.3">
      <c r="A846">
        <v>21</v>
      </c>
      <c r="B846">
        <v>205000</v>
      </c>
      <c r="C846" t="s">
        <v>45</v>
      </c>
      <c r="D846" t="s">
        <v>40</v>
      </c>
      <c r="E846">
        <v>3.3203999999999997E-2</v>
      </c>
    </row>
    <row r="847" spans="1:5" x14ac:dyDescent="0.3">
      <c r="A847">
        <v>21</v>
      </c>
      <c r="B847">
        <v>205000</v>
      </c>
      <c r="C847" t="s">
        <v>45</v>
      </c>
      <c r="D847" t="s">
        <v>41</v>
      </c>
      <c r="E847">
        <v>1.7326000000000001E-2</v>
      </c>
    </row>
    <row r="848" spans="1:5" x14ac:dyDescent="0.3">
      <c r="A848">
        <v>21</v>
      </c>
      <c r="B848">
        <v>205000</v>
      </c>
      <c r="C848" t="s">
        <v>45</v>
      </c>
      <c r="D848" t="s">
        <v>42</v>
      </c>
      <c r="E848">
        <v>7.0590000000000002E-3</v>
      </c>
    </row>
    <row r="849" spans="1:5" x14ac:dyDescent="0.3">
      <c r="A849">
        <v>21</v>
      </c>
      <c r="B849">
        <v>205000</v>
      </c>
      <c r="C849" t="s">
        <v>45</v>
      </c>
      <c r="D849" t="s">
        <v>43</v>
      </c>
      <c r="E849">
        <v>4.1609999999999998E-3</v>
      </c>
    </row>
    <row r="850" spans="1:5" x14ac:dyDescent="0.3">
      <c r="A850">
        <v>21</v>
      </c>
      <c r="B850">
        <v>205000</v>
      </c>
      <c r="C850" t="s">
        <v>46</v>
      </c>
      <c r="D850" t="s">
        <v>28</v>
      </c>
      <c r="E850">
        <v>144514.06690199999</v>
      </c>
    </row>
    <row r="851" spans="1:5" x14ac:dyDescent="0.3">
      <c r="A851">
        <v>21</v>
      </c>
      <c r="B851">
        <v>205000</v>
      </c>
      <c r="C851" t="s">
        <v>46</v>
      </c>
      <c r="D851" t="s">
        <v>29</v>
      </c>
      <c r="E851">
        <v>0.190944</v>
      </c>
    </row>
    <row r="852" spans="1:5" x14ac:dyDescent="0.3">
      <c r="A852">
        <v>21</v>
      </c>
      <c r="B852">
        <v>205000</v>
      </c>
      <c r="C852" t="s">
        <v>46</v>
      </c>
      <c r="D852" t="s">
        <v>30</v>
      </c>
      <c r="E852">
        <v>5.0358E-2</v>
      </c>
    </row>
    <row r="853" spans="1:5" x14ac:dyDescent="0.3">
      <c r="A853">
        <v>21</v>
      </c>
      <c r="B853">
        <v>205000</v>
      </c>
      <c r="C853" t="s">
        <v>46</v>
      </c>
      <c r="D853" t="s">
        <v>31</v>
      </c>
      <c r="E853">
        <v>3.8725000000000002E-2</v>
      </c>
    </row>
    <row r="854" spans="1:5" x14ac:dyDescent="0.3">
      <c r="A854">
        <v>21</v>
      </c>
      <c r="B854">
        <v>205000</v>
      </c>
      <c r="C854" t="s">
        <v>46</v>
      </c>
      <c r="D854" t="s">
        <v>32</v>
      </c>
      <c r="E854">
        <v>4.0533E-2</v>
      </c>
    </row>
    <row r="855" spans="1:5" x14ac:dyDescent="0.3">
      <c r="A855">
        <v>21</v>
      </c>
      <c r="B855">
        <v>205000</v>
      </c>
      <c r="C855" t="s">
        <v>46</v>
      </c>
      <c r="D855" t="s">
        <v>33</v>
      </c>
      <c r="E855">
        <v>12213.500518000001</v>
      </c>
    </row>
    <row r="856" spans="1:5" x14ac:dyDescent="0.3">
      <c r="A856">
        <v>21</v>
      </c>
      <c r="B856">
        <v>205000</v>
      </c>
      <c r="C856" t="s">
        <v>46</v>
      </c>
      <c r="D856" t="s">
        <v>34</v>
      </c>
      <c r="E856">
        <v>4.6748999999999999E-2</v>
      </c>
    </row>
    <row r="857" spans="1:5" x14ac:dyDescent="0.3">
      <c r="A857">
        <v>21</v>
      </c>
      <c r="B857">
        <v>205000</v>
      </c>
      <c r="C857" t="s">
        <v>46</v>
      </c>
      <c r="D857" t="s">
        <v>35</v>
      </c>
      <c r="E857">
        <v>48271.455191000001</v>
      </c>
    </row>
    <row r="858" spans="1:5" x14ac:dyDescent="0.3">
      <c r="A858">
        <v>21</v>
      </c>
      <c r="B858">
        <v>205000</v>
      </c>
      <c r="C858" t="s">
        <v>46</v>
      </c>
      <c r="D858" t="s">
        <v>36</v>
      </c>
      <c r="E858">
        <v>3.7708999999999999E-2</v>
      </c>
    </row>
    <row r="859" spans="1:5" x14ac:dyDescent="0.3">
      <c r="A859">
        <v>21</v>
      </c>
      <c r="B859">
        <v>205000</v>
      </c>
      <c r="C859" t="s">
        <v>46</v>
      </c>
      <c r="D859" t="s">
        <v>37</v>
      </c>
      <c r="E859">
        <v>0.152694</v>
      </c>
    </row>
    <row r="860" spans="1:5" x14ac:dyDescent="0.3">
      <c r="A860">
        <v>21</v>
      </c>
      <c r="B860">
        <v>205000</v>
      </c>
      <c r="C860" t="s">
        <v>46</v>
      </c>
      <c r="D860" t="s">
        <v>38</v>
      </c>
      <c r="E860">
        <v>8.3296999999999996E-2</v>
      </c>
    </row>
    <row r="861" spans="1:5" x14ac:dyDescent="0.3">
      <c r="A861">
        <v>21</v>
      </c>
      <c r="B861">
        <v>205000</v>
      </c>
      <c r="C861" t="s">
        <v>46</v>
      </c>
      <c r="D861" t="s">
        <v>39</v>
      </c>
      <c r="E861">
        <v>7.2040000000000007E-2</v>
      </c>
    </row>
    <row r="862" spans="1:5" x14ac:dyDescent="0.3">
      <c r="A862">
        <v>21</v>
      </c>
      <c r="B862">
        <v>205000</v>
      </c>
      <c r="C862" t="s">
        <v>46</v>
      </c>
      <c r="D862" t="s">
        <v>40</v>
      </c>
      <c r="E862">
        <v>0.16978399999999999</v>
      </c>
    </row>
    <row r="863" spans="1:5" x14ac:dyDescent="0.3">
      <c r="A863">
        <v>21</v>
      </c>
      <c r="B863">
        <v>205000</v>
      </c>
      <c r="C863" t="s">
        <v>46</v>
      </c>
      <c r="D863" t="s">
        <v>41</v>
      </c>
      <c r="E863">
        <v>8.2277000000000003E-2</v>
      </c>
    </row>
    <row r="864" spans="1:5" x14ac:dyDescent="0.3">
      <c r="A864">
        <v>21</v>
      </c>
      <c r="B864">
        <v>205000</v>
      </c>
      <c r="C864" t="s">
        <v>46</v>
      </c>
      <c r="D864" t="s">
        <v>42</v>
      </c>
      <c r="E864">
        <v>3.8108000000000003E-2</v>
      </c>
    </row>
    <row r="865" spans="1:5" x14ac:dyDescent="0.3">
      <c r="A865">
        <v>21</v>
      </c>
      <c r="B865">
        <v>205000</v>
      </c>
      <c r="C865" t="s">
        <v>46</v>
      </c>
      <c r="D865" t="s">
        <v>43</v>
      </c>
      <c r="E865">
        <v>2.3272000000000001E-2</v>
      </c>
    </row>
    <row r="866" spans="1:5" x14ac:dyDescent="0.3">
      <c r="A866">
        <v>21</v>
      </c>
      <c r="B866">
        <v>205000</v>
      </c>
      <c r="C866" t="s">
        <v>47</v>
      </c>
      <c r="D866" t="s">
        <v>28</v>
      </c>
      <c r="E866">
        <v>143897.42177399999</v>
      </c>
    </row>
    <row r="867" spans="1:5" x14ac:dyDescent="0.3">
      <c r="A867">
        <v>21</v>
      </c>
      <c r="B867">
        <v>205000</v>
      </c>
      <c r="C867" t="s">
        <v>47</v>
      </c>
      <c r="D867" t="s">
        <v>29</v>
      </c>
      <c r="E867">
        <v>0.297039</v>
      </c>
    </row>
    <row r="868" spans="1:5" x14ac:dyDescent="0.3">
      <c r="A868">
        <v>21</v>
      </c>
      <c r="B868">
        <v>205000</v>
      </c>
      <c r="C868" t="s">
        <v>47</v>
      </c>
      <c r="D868" t="s">
        <v>30</v>
      </c>
      <c r="E868">
        <v>7.596E-2</v>
      </c>
    </row>
    <row r="869" spans="1:5" x14ac:dyDescent="0.3">
      <c r="A869">
        <v>21</v>
      </c>
      <c r="B869">
        <v>205000</v>
      </c>
      <c r="C869" t="s">
        <v>47</v>
      </c>
      <c r="D869" t="s">
        <v>31</v>
      </c>
      <c r="E869">
        <v>6.1395999999999999E-2</v>
      </c>
    </row>
    <row r="870" spans="1:5" x14ac:dyDescent="0.3">
      <c r="A870">
        <v>21</v>
      </c>
      <c r="B870">
        <v>205000</v>
      </c>
      <c r="C870" t="s">
        <v>47</v>
      </c>
      <c r="D870" t="s">
        <v>32</v>
      </c>
      <c r="E870">
        <v>6.6306000000000004E-2</v>
      </c>
    </row>
    <row r="871" spans="1:5" x14ac:dyDescent="0.3">
      <c r="A871">
        <v>21</v>
      </c>
      <c r="B871">
        <v>205000</v>
      </c>
      <c r="C871" t="s">
        <v>47</v>
      </c>
      <c r="D871" t="s">
        <v>33</v>
      </c>
      <c r="E871">
        <v>10258.728069999999</v>
      </c>
    </row>
    <row r="872" spans="1:5" x14ac:dyDescent="0.3">
      <c r="A872">
        <v>21</v>
      </c>
      <c r="B872">
        <v>205000</v>
      </c>
      <c r="C872" t="s">
        <v>47</v>
      </c>
      <c r="D872" t="s">
        <v>34</v>
      </c>
      <c r="E872">
        <v>2570.678864</v>
      </c>
    </row>
    <row r="873" spans="1:5" x14ac:dyDescent="0.3">
      <c r="A873">
        <v>21</v>
      </c>
      <c r="B873">
        <v>205000</v>
      </c>
      <c r="C873" t="s">
        <v>47</v>
      </c>
      <c r="D873" t="s">
        <v>35</v>
      </c>
      <c r="E873">
        <v>48271.632140000002</v>
      </c>
    </row>
    <row r="874" spans="1:5" x14ac:dyDescent="0.3">
      <c r="A874">
        <v>21</v>
      </c>
      <c r="B874">
        <v>205000</v>
      </c>
      <c r="C874" t="s">
        <v>47</v>
      </c>
      <c r="D874" t="s">
        <v>36</v>
      </c>
      <c r="E874">
        <v>5.8401000000000002E-2</v>
      </c>
    </row>
    <row r="875" spans="1:5" x14ac:dyDescent="0.3">
      <c r="A875">
        <v>21</v>
      </c>
      <c r="B875">
        <v>205000</v>
      </c>
      <c r="C875" t="s">
        <v>47</v>
      </c>
      <c r="D875" t="s">
        <v>37</v>
      </c>
      <c r="E875">
        <v>0.24942700000000001</v>
      </c>
    </row>
    <row r="876" spans="1:5" x14ac:dyDescent="0.3">
      <c r="A876">
        <v>21</v>
      </c>
      <c r="B876">
        <v>205000</v>
      </c>
      <c r="C876" t="s">
        <v>47</v>
      </c>
      <c r="D876" t="s">
        <v>38</v>
      </c>
      <c r="E876">
        <v>0.13331499999999999</v>
      </c>
    </row>
    <row r="877" spans="1:5" x14ac:dyDescent="0.3">
      <c r="A877">
        <v>21</v>
      </c>
      <c r="B877">
        <v>205000</v>
      </c>
      <c r="C877" t="s">
        <v>47</v>
      </c>
      <c r="D877" t="s">
        <v>39</v>
      </c>
      <c r="E877">
        <v>0.134849</v>
      </c>
    </row>
    <row r="878" spans="1:5" x14ac:dyDescent="0.3">
      <c r="A878">
        <v>21</v>
      </c>
      <c r="B878">
        <v>205000</v>
      </c>
      <c r="C878" t="s">
        <v>47</v>
      </c>
      <c r="D878" t="s">
        <v>40</v>
      </c>
      <c r="E878">
        <v>0.27367000000000002</v>
      </c>
    </row>
    <row r="879" spans="1:5" x14ac:dyDescent="0.3">
      <c r="A879">
        <v>21</v>
      </c>
      <c r="B879">
        <v>205000</v>
      </c>
      <c r="C879" t="s">
        <v>47</v>
      </c>
      <c r="D879" t="s">
        <v>41</v>
      </c>
      <c r="E879">
        <v>0.124984</v>
      </c>
    </row>
    <row r="880" spans="1:5" x14ac:dyDescent="0.3">
      <c r="A880">
        <v>21</v>
      </c>
      <c r="B880">
        <v>205000</v>
      </c>
      <c r="C880" t="s">
        <v>47</v>
      </c>
      <c r="D880" t="s">
        <v>42</v>
      </c>
      <c r="E880">
        <v>8.2769999999999996E-2</v>
      </c>
    </row>
    <row r="881" spans="1:5" x14ac:dyDescent="0.3">
      <c r="A881">
        <v>21</v>
      </c>
      <c r="B881">
        <v>205000</v>
      </c>
      <c r="C881" t="s">
        <v>47</v>
      </c>
      <c r="D881" t="s">
        <v>43</v>
      </c>
      <c r="E881">
        <v>3.5685000000000001E-2</v>
      </c>
    </row>
    <row r="882" spans="1:5" x14ac:dyDescent="0.3">
      <c r="A882">
        <v>22</v>
      </c>
      <c r="B882">
        <v>210000</v>
      </c>
      <c r="C882" t="s">
        <v>45</v>
      </c>
      <c r="D882" t="s">
        <v>28</v>
      </c>
      <c r="E882">
        <v>146403.749125</v>
      </c>
    </row>
    <row r="883" spans="1:5" x14ac:dyDescent="0.3">
      <c r="A883">
        <v>22</v>
      </c>
      <c r="B883">
        <v>210000</v>
      </c>
      <c r="C883" t="s">
        <v>45</v>
      </c>
      <c r="D883" t="s">
        <v>29</v>
      </c>
      <c r="E883">
        <v>0.230685</v>
      </c>
    </row>
    <row r="884" spans="1:5" x14ac:dyDescent="0.3">
      <c r="A884">
        <v>22</v>
      </c>
      <c r="B884">
        <v>210000</v>
      </c>
      <c r="C884" t="s">
        <v>45</v>
      </c>
      <c r="D884" t="s">
        <v>30</v>
      </c>
      <c r="E884">
        <v>5.4387999999999999E-2</v>
      </c>
    </row>
    <row r="885" spans="1:5" x14ac:dyDescent="0.3">
      <c r="A885">
        <v>22</v>
      </c>
      <c r="B885">
        <v>210000</v>
      </c>
      <c r="C885" t="s">
        <v>45</v>
      </c>
      <c r="D885" t="s">
        <v>31</v>
      </c>
      <c r="E885">
        <v>4.7093999999999997E-2</v>
      </c>
    </row>
    <row r="886" spans="1:5" x14ac:dyDescent="0.3">
      <c r="A886">
        <v>22</v>
      </c>
      <c r="B886">
        <v>210000</v>
      </c>
      <c r="C886" t="s">
        <v>45</v>
      </c>
      <c r="D886" t="s">
        <v>32</v>
      </c>
      <c r="E886">
        <v>4.9362000000000003E-2</v>
      </c>
    </row>
    <row r="887" spans="1:5" x14ac:dyDescent="0.3">
      <c r="A887">
        <v>22</v>
      </c>
      <c r="B887">
        <v>210000</v>
      </c>
      <c r="C887" t="s">
        <v>45</v>
      </c>
      <c r="D887" t="s">
        <v>33</v>
      </c>
      <c r="E887">
        <v>15323.741314999999</v>
      </c>
    </row>
    <row r="888" spans="1:5" x14ac:dyDescent="0.3">
      <c r="A888">
        <v>22</v>
      </c>
      <c r="B888">
        <v>210000</v>
      </c>
      <c r="C888" t="s">
        <v>45</v>
      </c>
      <c r="D888" t="s">
        <v>34</v>
      </c>
      <c r="E888">
        <v>5.2089999999999997E-2</v>
      </c>
    </row>
    <row r="889" spans="1:5" x14ac:dyDescent="0.3">
      <c r="A889">
        <v>22</v>
      </c>
      <c r="B889">
        <v>210000</v>
      </c>
      <c r="C889" t="s">
        <v>45</v>
      </c>
      <c r="D889" t="s">
        <v>35</v>
      </c>
      <c r="E889">
        <v>48271.330477000003</v>
      </c>
    </row>
    <row r="890" spans="1:5" x14ac:dyDescent="0.3">
      <c r="A890">
        <v>22</v>
      </c>
      <c r="B890">
        <v>210000</v>
      </c>
      <c r="C890" t="s">
        <v>45</v>
      </c>
      <c r="D890" t="s">
        <v>36</v>
      </c>
      <c r="E890">
        <v>4.5506999999999999E-2</v>
      </c>
    </row>
    <row r="891" spans="1:5" x14ac:dyDescent="0.3">
      <c r="A891">
        <v>22</v>
      </c>
      <c r="B891">
        <v>210000</v>
      </c>
      <c r="C891" t="s">
        <v>45</v>
      </c>
      <c r="D891" t="s">
        <v>37</v>
      </c>
      <c r="E891">
        <v>0.181947</v>
      </c>
    </row>
    <row r="892" spans="1:5" x14ac:dyDescent="0.3">
      <c r="A892">
        <v>22</v>
      </c>
      <c r="B892">
        <v>210000</v>
      </c>
      <c r="C892" t="s">
        <v>45</v>
      </c>
      <c r="D892" t="s">
        <v>38</v>
      </c>
      <c r="E892">
        <v>9.8426E-2</v>
      </c>
    </row>
    <row r="893" spans="1:5" x14ac:dyDescent="0.3">
      <c r="A893">
        <v>22</v>
      </c>
      <c r="B893">
        <v>210000</v>
      </c>
      <c r="C893" t="s">
        <v>45</v>
      </c>
      <c r="D893" t="s">
        <v>39</v>
      </c>
      <c r="E893">
        <v>8.6376999999999995E-2</v>
      </c>
    </row>
    <row r="894" spans="1:5" x14ac:dyDescent="0.3">
      <c r="A894">
        <v>22</v>
      </c>
      <c r="B894">
        <v>210000</v>
      </c>
      <c r="C894" t="s">
        <v>45</v>
      </c>
      <c r="D894" t="s">
        <v>40</v>
      </c>
      <c r="E894">
        <v>0.20669599999999999</v>
      </c>
    </row>
    <row r="895" spans="1:5" x14ac:dyDescent="0.3">
      <c r="A895">
        <v>22</v>
      </c>
      <c r="B895">
        <v>210000</v>
      </c>
      <c r="C895" t="s">
        <v>45</v>
      </c>
      <c r="D895" t="s">
        <v>41</v>
      </c>
      <c r="E895">
        <v>9.9700999999999998E-2</v>
      </c>
    </row>
    <row r="896" spans="1:5" x14ac:dyDescent="0.3">
      <c r="A896">
        <v>22</v>
      </c>
      <c r="B896">
        <v>210000</v>
      </c>
      <c r="C896" t="s">
        <v>45</v>
      </c>
      <c r="D896" t="s">
        <v>42</v>
      </c>
      <c r="E896">
        <v>4.5136999999999997E-2</v>
      </c>
    </row>
    <row r="897" spans="1:5" x14ac:dyDescent="0.3">
      <c r="A897">
        <v>22</v>
      </c>
      <c r="B897">
        <v>210000</v>
      </c>
      <c r="C897" t="s">
        <v>45</v>
      </c>
      <c r="D897" t="s">
        <v>43</v>
      </c>
      <c r="E897">
        <v>2.8080999999999998E-2</v>
      </c>
    </row>
    <row r="898" spans="1:5" x14ac:dyDescent="0.3">
      <c r="A898">
        <v>22</v>
      </c>
      <c r="B898">
        <v>210000</v>
      </c>
      <c r="C898" t="s">
        <v>46</v>
      </c>
      <c r="D898" t="s">
        <v>28</v>
      </c>
      <c r="E898">
        <v>144606.989011</v>
      </c>
    </row>
    <row r="899" spans="1:5" x14ac:dyDescent="0.3">
      <c r="A899">
        <v>22</v>
      </c>
      <c r="B899">
        <v>210000</v>
      </c>
      <c r="C899" t="s">
        <v>46</v>
      </c>
      <c r="D899" t="s">
        <v>29</v>
      </c>
      <c r="E899">
        <v>0.314168</v>
      </c>
    </row>
    <row r="900" spans="1:5" x14ac:dyDescent="0.3">
      <c r="A900">
        <v>22</v>
      </c>
      <c r="B900">
        <v>210000</v>
      </c>
      <c r="C900" t="s">
        <v>46</v>
      </c>
      <c r="D900" t="s">
        <v>30</v>
      </c>
      <c r="E900">
        <v>8.6069000000000007E-2</v>
      </c>
    </row>
    <row r="901" spans="1:5" x14ac:dyDescent="0.3">
      <c r="A901">
        <v>22</v>
      </c>
      <c r="B901">
        <v>210000</v>
      </c>
      <c r="C901" t="s">
        <v>46</v>
      </c>
      <c r="D901" t="s">
        <v>31</v>
      </c>
      <c r="E901">
        <v>6.1903E-2</v>
      </c>
    </row>
    <row r="902" spans="1:5" x14ac:dyDescent="0.3">
      <c r="A902">
        <v>22</v>
      </c>
      <c r="B902">
        <v>210000</v>
      </c>
      <c r="C902" t="s">
        <v>46</v>
      </c>
      <c r="D902" t="s">
        <v>32</v>
      </c>
      <c r="E902">
        <v>6.5796999999999994E-2</v>
      </c>
    </row>
    <row r="903" spans="1:5" x14ac:dyDescent="0.3">
      <c r="A903">
        <v>22</v>
      </c>
      <c r="B903">
        <v>210000</v>
      </c>
      <c r="C903" t="s">
        <v>46</v>
      </c>
      <c r="D903" t="s">
        <v>33</v>
      </c>
      <c r="E903">
        <v>17120.180236</v>
      </c>
    </row>
    <row r="904" spans="1:5" x14ac:dyDescent="0.3">
      <c r="A904">
        <v>22</v>
      </c>
      <c r="B904">
        <v>210000</v>
      </c>
      <c r="C904" t="s">
        <v>46</v>
      </c>
      <c r="D904" t="s">
        <v>34</v>
      </c>
      <c r="E904">
        <v>7.3714000000000002E-2</v>
      </c>
    </row>
    <row r="905" spans="1:5" x14ac:dyDescent="0.3">
      <c r="A905">
        <v>22</v>
      </c>
      <c r="B905">
        <v>210000</v>
      </c>
      <c r="C905" t="s">
        <v>46</v>
      </c>
      <c r="D905" t="s">
        <v>35</v>
      </c>
      <c r="E905">
        <v>48271.213379000001</v>
      </c>
    </row>
    <row r="906" spans="1:5" x14ac:dyDescent="0.3">
      <c r="A906">
        <v>22</v>
      </c>
      <c r="B906">
        <v>210000</v>
      </c>
      <c r="C906" t="s">
        <v>46</v>
      </c>
      <c r="D906" t="s">
        <v>36</v>
      </c>
      <c r="E906">
        <v>5.9787E-2</v>
      </c>
    </row>
    <row r="907" spans="1:5" x14ac:dyDescent="0.3">
      <c r="A907">
        <v>22</v>
      </c>
      <c r="B907">
        <v>210000</v>
      </c>
      <c r="C907" t="s">
        <v>46</v>
      </c>
      <c r="D907" t="s">
        <v>37</v>
      </c>
      <c r="E907">
        <v>0.244869</v>
      </c>
    </row>
    <row r="908" spans="1:5" x14ac:dyDescent="0.3">
      <c r="A908">
        <v>22</v>
      </c>
      <c r="B908">
        <v>210000</v>
      </c>
      <c r="C908" t="s">
        <v>46</v>
      </c>
      <c r="D908" t="s">
        <v>38</v>
      </c>
      <c r="E908">
        <v>0.127717</v>
      </c>
    </row>
    <row r="909" spans="1:5" x14ac:dyDescent="0.3">
      <c r="A909">
        <v>22</v>
      </c>
      <c r="B909">
        <v>210000</v>
      </c>
      <c r="C909" t="s">
        <v>46</v>
      </c>
      <c r="D909" t="s">
        <v>39</v>
      </c>
      <c r="E909">
        <v>0.118923</v>
      </c>
    </row>
    <row r="910" spans="1:5" x14ac:dyDescent="0.3">
      <c r="A910">
        <v>22</v>
      </c>
      <c r="B910">
        <v>210000</v>
      </c>
      <c r="C910" t="s">
        <v>46</v>
      </c>
      <c r="D910" t="s">
        <v>40</v>
      </c>
      <c r="E910">
        <v>0.27476</v>
      </c>
    </row>
    <row r="911" spans="1:5" x14ac:dyDescent="0.3">
      <c r="A911">
        <v>22</v>
      </c>
      <c r="B911">
        <v>210000</v>
      </c>
      <c r="C911" t="s">
        <v>46</v>
      </c>
      <c r="D911" t="s">
        <v>41</v>
      </c>
      <c r="E911">
        <v>0.12833600000000001</v>
      </c>
    </row>
    <row r="912" spans="1:5" x14ac:dyDescent="0.3">
      <c r="A912">
        <v>22</v>
      </c>
      <c r="B912">
        <v>210000</v>
      </c>
      <c r="C912" t="s">
        <v>46</v>
      </c>
      <c r="D912" t="s">
        <v>42</v>
      </c>
      <c r="E912">
        <v>6.2649999999999997E-2</v>
      </c>
    </row>
    <row r="913" spans="1:5" x14ac:dyDescent="0.3">
      <c r="A913">
        <v>22</v>
      </c>
      <c r="B913">
        <v>210000</v>
      </c>
      <c r="C913" t="s">
        <v>46</v>
      </c>
      <c r="D913" t="s">
        <v>43</v>
      </c>
      <c r="E913">
        <v>3.8517999999999997E-2</v>
      </c>
    </row>
    <row r="914" spans="1:5" x14ac:dyDescent="0.3">
      <c r="A914">
        <v>22</v>
      </c>
      <c r="B914">
        <v>210000</v>
      </c>
      <c r="C914" t="s">
        <v>47</v>
      </c>
      <c r="D914" t="s">
        <v>28</v>
      </c>
      <c r="E914">
        <v>144701.40058300001</v>
      </c>
    </row>
    <row r="915" spans="1:5" x14ac:dyDescent="0.3">
      <c r="A915">
        <v>22</v>
      </c>
      <c r="B915">
        <v>210000</v>
      </c>
      <c r="C915" t="s">
        <v>47</v>
      </c>
      <c r="D915" t="s">
        <v>29</v>
      </c>
      <c r="E915">
        <v>6.7086999999999994E-2</v>
      </c>
    </row>
    <row r="916" spans="1:5" x14ac:dyDescent="0.3">
      <c r="A916">
        <v>22</v>
      </c>
      <c r="B916">
        <v>210000</v>
      </c>
      <c r="C916" t="s">
        <v>47</v>
      </c>
      <c r="D916" t="s">
        <v>30</v>
      </c>
      <c r="E916">
        <v>1.8360000000000001E-2</v>
      </c>
    </row>
    <row r="917" spans="1:5" x14ac:dyDescent="0.3">
      <c r="A917">
        <v>22</v>
      </c>
      <c r="B917">
        <v>210000</v>
      </c>
      <c r="C917" t="s">
        <v>47</v>
      </c>
      <c r="D917" t="s">
        <v>31</v>
      </c>
      <c r="E917">
        <v>1.3906E-2</v>
      </c>
    </row>
    <row r="918" spans="1:5" x14ac:dyDescent="0.3">
      <c r="A918">
        <v>22</v>
      </c>
      <c r="B918">
        <v>210000</v>
      </c>
      <c r="C918" t="s">
        <v>47</v>
      </c>
      <c r="D918" t="s">
        <v>32</v>
      </c>
      <c r="E918">
        <v>1.4964999999999999E-2</v>
      </c>
    </row>
    <row r="919" spans="1:5" x14ac:dyDescent="0.3">
      <c r="A919">
        <v>22</v>
      </c>
      <c r="B919">
        <v>210000</v>
      </c>
      <c r="C919" t="s">
        <v>47</v>
      </c>
      <c r="D919" t="s">
        <v>33</v>
      </c>
      <c r="E919">
        <v>14160.218537000001</v>
      </c>
    </row>
    <row r="920" spans="1:5" x14ac:dyDescent="0.3">
      <c r="A920">
        <v>22</v>
      </c>
      <c r="B920">
        <v>210000</v>
      </c>
      <c r="C920" t="s">
        <v>47</v>
      </c>
      <c r="D920" t="s">
        <v>34</v>
      </c>
      <c r="E920">
        <v>2866.374851</v>
      </c>
    </row>
    <row r="921" spans="1:5" x14ac:dyDescent="0.3">
      <c r="A921">
        <v>22</v>
      </c>
      <c r="B921">
        <v>210000</v>
      </c>
      <c r="C921" t="s">
        <v>47</v>
      </c>
      <c r="D921" t="s">
        <v>35</v>
      </c>
      <c r="E921">
        <v>48271.651432999999</v>
      </c>
    </row>
    <row r="922" spans="1:5" x14ac:dyDescent="0.3">
      <c r="A922">
        <v>22</v>
      </c>
      <c r="B922">
        <v>210000</v>
      </c>
      <c r="C922" t="s">
        <v>47</v>
      </c>
      <c r="D922" t="s">
        <v>36</v>
      </c>
      <c r="E922">
        <v>1.338E-2</v>
      </c>
    </row>
    <row r="923" spans="1:5" x14ac:dyDescent="0.3">
      <c r="A923">
        <v>22</v>
      </c>
      <c r="B923">
        <v>210000</v>
      </c>
      <c r="C923" t="s">
        <v>47</v>
      </c>
      <c r="D923" t="s">
        <v>37</v>
      </c>
      <c r="E923">
        <v>5.6836999999999999E-2</v>
      </c>
    </row>
    <row r="924" spans="1:5" x14ac:dyDescent="0.3">
      <c r="A924">
        <v>22</v>
      </c>
      <c r="B924">
        <v>210000</v>
      </c>
      <c r="C924" t="s">
        <v>47</v>
      </c>
      <c r="D924" t="s">
        <v>38</v>
      </c>
      <c r="E924">
        <v>3.0568999999999999E-2</v>
      </c>
    </row>
    <row r="925" spans="1:5" x14ac:dyDescent="0.3">
      <c r="A925">
        <v>22</v>
      </c>
      <c r="B925">
        <v>210000</v>
      </c>
      <c r="C925" t="s">
        <v>47</v>
      </c>
      <c r="D925" t="s">
        <v>39</v>
      </c>
      <c r="E925">
        <v>3.0512999999999998E-2</v>
      </c>
    </row>
    <row r="926" spans="1:5" x14ac:dyDescent="0.3">
      <c r="A926">
        <v>22</v>
      </c>
      <c r="B926">
        <v>210000</v>
      </c>
      <c r="C926" t="s">
        <v>47</v>
      </c>
      <c r="D926" t="s">
        <v>40</v>
      </c>
      <c r="E926">
        <v>6.4294000000000004E-2</v>
      </c>
    </row>
    <row r="927" spans="1:5" x14ac:dyDescent="0.3">
      <c r="A927">
        <v>22</v>
      </c>
      <c r="B927">
        <v>210000</v>
      </c>
      <c r="C927" t="s">
        <v>47</v>
      </c>
      <c r="D927" t="s">
        <v>41</v>
      </c>
      <c r="E927">
        <v>2.8500999999999999E-2</v>
      </c>
    </row>
    <row r="928" spans="1:5" x14ac:dyDescent="0.3">
      <c r="A928">
        <v>22</v>
      </c>
      <c r="B928">
        <v>210000</v>
      </c>
      <c r="C928" t="s">
        <v>47</v>
      </c>
      <c r="D928" t="s">
        <v>42</v>
      </c>
      <c r="E928">
        <v>1.8759999999999999E-2</v>
      </c>
    </row>
    <row r="929" spans="1:5" x14ac:dyDescent="0.3">
      <c r="A929">
        <v>22</v>
      </c>
      <c r="B929">
        <v>210000</v>
      </c>
      <c r="C929" t="s">
        <v>47</v>
      </c>
      <c r="D929" t="s">
        <v>43</v>
      </c>
      <c r="E929">
        <v>8.1799999999999998E-3</v>
      </c>
    </row>
    <row r="930" spans="1:5" x14ac:dyDescent="0.3">
      <c r="A930">
        <v>23</v>
      </c>
      <c r="B930">
        <v>215000</v>
      </c>
      <c r="C930" t="s">
        <v>45</v>
      </c>
      <c r="D930" t="s">
        <v>28</v>
      </c>
      <c r="E930">
        <v>146629.50856700001</v>
      </c>
    </row>
    <row r="931" spans="1:5" x14ac:dyDescent="0.3">
      <c r="A931">
        <v>23</v>
      </c>
      <c r="B931">
        <v>215000</v>
      </c>
      <c r="C931" t="s">
        <v>45</v>
      </c>
      <c r="D931" t="s">
        <v>29</v>
      </c>
      <c r="E931">
        <v>0.161467</v>
      </c>
    </row>
    <row r="932" spans="1:5" x14ac:dyDescent="0.3">
      <c r="A932">
        <v>23</v>
      </c>
      <c r="B932">
        <v>215000</v>
      </c>
      <c r="C932" t="s">
        <v>45</v>
      </c>
      <c r="D932" t="s">
        <v>30</v>
      </c>
      <c r="E932">
        <v>4.0513E-2</v>
      </c>
    </row>
    <row r="933" spans="1:5" x14ac:dyDescent="0.3">
      <c r="A933">
        <v>23</v>
      </c>
      <c r="B933">
        <v>215000</v>
      </c>
      <c r="C933" t="s">
        <v>45</v>
      </c>
      <c r="D933" t="s">
        <v>31</v>
      </c>
      <c r="E933">
        <v>3.2756E-2</v>
      </c>
    </row>
    <row r="934" spans="1:5" x14ac:dyDescent="0.3">
      <c r="A934">
        <v>23</v>
      </c>
      <c r="B934">
        <v>215000</v>
      </c>
      <c r="C934" t="s">
        <v>45</v>
      </c>
      <c r="D934" t="s">
        <v>32</v>
      </c>
      <c r="E934">
        <v>3.4182999999999998E-2</v>
      </c>
    </row>
    <row r="935" spans="1:5" x14ac:dyDescent="0.3">
      <c r="A935">
        <v>23</v>
      </c>
      <c r="B935">
        <v>215000</v>
      </c>
      <c r="C935" t="s">
        <v>45</v>
      </c>
      <c r="D935" t="s">
        <v>33</v>
      </c>
      <c r="E935">
        <v>20098.226267999999</v>
      </c>
    </row>
    <row r="936" spans="1:5" x14ac:dyDescent="0.3">
      <c r="A936">
        <v>23</v>
      </c>
      <c r="B936">
        <v>215000</v>
      </c>
      <c r="C936" t="s">
        <v>45</v>
      </c>
      <c r="D936" t="s">
        <v>34</v>
      </c>
      <c r="E936">
        <v>3.4707000000000002E-2</v>
      </c>
    </row>
    <row r="937" spans="1:5" x14ac:dyDescent="0.3">
      <c r="A937">
        <v>23</v>
      </c>
      <c r="B937">
        <v>215000</v>
      </c>
      <c r="C937" t="s">
        <v>45</v>
      </c>
      <c r="D937" t="s">
        <v>35</v>
      </c>
      <c r="E937">
        <v>48271.433897000003</v>
      </c>
    </row>
    <row r="938" spans="1:5" x14ac:dyDescent="0.3">
      <c r="A938">
        <v>23</v>
      </c>
      <c r="B938">
        <v>215000</v>
      </c>
      <c r="C938" t="s">
        <v>45</v>
      </c>
      <c r="D938" t="s">
        <v>36</v>
      </c>
      <c r="E938">
        <v>3.1280000000000002E-2</v>
      </c>
    </row>
    <row r="939" spans="1:5" x14ac:dyDescent="0.3">
      <c r="A939">
        <v>23</v>
      </c>
      <c r="B939">
        <v>215000</v>
      </c>
      <c r="C939" t="s">
        <v>45</v>
      </c>
      <c r="D939" t="s">
        <v>37</v>
      </c>
      <c r="E939">
        <v>0.12614400000000001</v>
      </c>
    </row>
    <row r="940" spans="1:5" x14ac:dyDescent="0.3">
      <c r="A940">
        <v>23</v>
      </c>
      <c r="B940">
        <v>215000</v>
      </c>
      <c r="C940" t="s">
        <v>45</v>
      </c>
      <c r="D940" t="s">
        <v>38</v>
      </c>
      <c r="E940">
        <v>6.7629999999999996E-2</v>
      </c>
    </row>
    <row r="941" spans="1:5" x14ac:dyDescent="0.3">
      <c r="A941">
        <v>23</v>
      </c>
      <c r="B941">
        <v>215000</v>
      </c>
      <c r="C941" t="s">
        <v>45</v>
      </c>
      <c r="D941" t="s">
        <v>39</v>
      </c>
      <c r="E941">
        <v>6.0780000000000001E-2</v>
      </c>
    </row>
    <row r="942" spans="1:5" x14ac:dyDescent="0.3">
      <c r="A942">
        <v>23</v>
      </c>
      <c r="B942">
        <v>215000</v>
      </c>
      <c r="C942" t="s">
        <v>45</v>
      </c>
      <c r="D942" t="s">
        <v>40</v>
      </c>
      <c r="E942">
        <v>0.146476</v>
      </c>
    </row>
    <row r="943" spans="1:5" x14ac:dyDescent="0.3">
      <c r="A943">
        <v>23</v>
      </c>
      <c r="B943">
        <v>215000</v>
      </c>
      <c r="C943" t="s">
        <v>45</v>
      </c>
      <c r="D943" t="s">
        <v>41</v>
      </c>
      <c r="E943">
        <v>6.7944000000000004E-2</v>
      </c>
    </row>
    <row r="944" spans="1:5" x14ac:dyDescent="0.3">
      <c r="A944">
        <v>23</v>
      </c>
      <c r="B944">
        <v>215000</v>
      </c>
      <c r="C944" t="s">
        <v>45</v>
      </c>
      <c r="D944" t="s">
        <v>42</v>
      </c>
      <c r="E944">
        <v>3.0821999999999999E-2</v>
      </c>
    </row>
    <row r="945" spans="1:5" x14ac:dyDescent="0.3">
      <c r="A945">
        <v>23</v>
      </c>
      <c r="B945">
        <v>215000</v>
      </c>
      <c r="C945" t="s">
        <v>45</v>
      </c>
      <c r="D945" t="s">
        <v>43</v>
      </c>
      <c r="E945">
        <v>1.8822999999999999E-2</v>
      </c>
    </row>
    <row r="946" spans="1:5" x14ac:dyDescent="0.3">
      <c r="A946">
        <v>23</v>
      </c>
      <c r="B946">
        <v>215000</v>
      </c>
      <c r="C946" t="s">
        <v>46</v>
      </c>
      <c r="D946" t="s">
        <v>28</v>
      </c>
      <c r="E946">
        <v>144708.49057600001</v>
      </c>
    </row>
    <row r="947" spans="1:5" x14ac:dyDescent="0.3">
      <c r="A947">
        <v>23</v>
      </c>
      <c r="B947">
        <v>215000</v>
      </c>
      <c r="C947" t="s">
        <v>46</v>
      </c>
      <c r="D947" t="s">
        <v>29</v>
      </c>
      <c r="E947">
        <v>0.277584</v>
      </c>
    </row>
    <row r="948" spans="1:5" x14ac:dyDescent="0.3">
      <c r="A948">
        <v>23</v>
      </c>
      <c r="B948">
        <v>215000</v>
      </c>
      <c r="C948" t="s">
        <v>46</v>
      </c>
      <c r="D948" t="s">
        <v>30</v>
      </c>
      <c r="E948">
        <v>7.4526999999999996E-2</v>
      </c>
    </row>
    <row r="949" spans="1:5" x14ac:dyDescent="0.3">
      <c r="A949">
        <v>23</v>
      </c>
      <c r="B949">
        <v>215000</v>
      </c>
      <c r="C949" t="s">
        <v>46</v>
      </c>
      <c r="D949" t="s">
        <v>31</v>
      </c>
      <c r="E949">
        <v>5.6926999999999998E-2</v>
      </c>
    </row>
    <row r="950" spans="1:5" x14ac:dyDescent="0.3">
      <c r="A950">
        <v>23</v>
      </c>
      <c r="B950">
        <v>215000</v>
      </c>
      <c r="C950" t="s">
        <v>46</v>
      </c>
      <c r="D950" t="s">
        <v>32</v>
      </c>
      <c r="E950">
        <v>5.9205000000000001E-2</v>
      </c>
    </row>
    <row r="951" spans="1:5" x14ac:dyDescent="0.3">
      <c r="A951">
        <v>23</v>
      </c>
      <c r="B951">
        <v>215000</v>
      </c>
      <c r="C951" t="s">
        <v>46</v>
      </c>
      <c r="D951" t="s">
        <v>33</v>
      </c>
      <c r="E951">
        <v>22018.745344999999</v>
      </c>
    </row>
    <row r="952" spans="1:5" x14ac:dyDescent="0.3">
      <c r="A952">
        <v>23</v>
      </c>
      <c r="B952">
        <v>215000</v>
      </c>
      <c r="C952" t="s">
        <v>46</v>
      </c>
      <c r="D952" t="s">
        <v>34</v>
      </c>
      <c r="E952">
        <v>6.5975000000000006E-2</v>
      </c>
    </row>
    <row r="953" spans="1:5" x14ac:dyDescent="0.3">
      <c r="A953">
        <v>23</v>
      </c>
      <c r="B953">
        <v>215000</v>
      </c>
      <c r="C953" t="s">
        <v>46</v>
      </c>
      <c r="D953" t="s">
        <v>35</v>
      </c>
      <c r="E953">
        <v>48271.339770999999</v>
      </c>
    </row>
    <row r="954" spans="1:5" x14ac:dyDescent="0.3">
      <c r="A954">
        <v>23</v>
      </c>
      <c r="B954">
        <v>215000</v>
      </c>
      <c r="C954" t="s">
        <v>46</v>
      </c>
      <c r="D954" t="s">
        <v>36</v>
      </c>
      <c r="E954">
        <v>5.3580999999999997E-2</v>
      </c>
    </row>
    <row r="955" spans="1:5" x14ac:dyDescent="0.3">
      <c r="A955">
        <v>23</v>
      </c>
      <c r="B955">
        <v>215000</v>
      </c>
      <c r="C955" t="s">
        <v>46</v>
      </c>
      <c r="D955" t="s">
        <v>37</v>
      </c>
      <c r="E955">
        <v>0.22828799999999999</v>
      </c>
    </row>
    <row r="956" spans="1:5" x14ac:dyDescent="0.3">
      <c r="A956">
        <v>23</v>
      </c>
      <c r="B956">
        <v>215000</v>
      </c>
      <c r="C956" t="s">
        <v>46</v>
      </c>
      <c r="D956" t="s">
        <v>38</v>
      </c>
      <c r="E956">
        <v>0.120202</v>
      </c>
    </row>
    <row r="957" spans="1:5" x14ac:dyDescent="0.3">
      <c r="A957">
        <v>23</v>
      </c>
      <c r="B957">
        <v>215000</v>
      </c>
      <c r="C957" t="s">
        <v>46</v>
      </c>
      <c r="D957" t="s">
        <v>39</v>
      </c>
      <c r="E957">
        <v>0.103531</v>
      </c>
    </row>
    <row r="958" spans="1:5" x14ac:dyDescent="0.3">
      <c r="A958">
        <v>23</v>
      </c>
      <c r="B958">
        <v>215000</v>
      </c>
      <c r="C958" t="s">
        <v>46</v>
      </c>
      <c r="D958" t="s">
        <v>40</v>
      </c>
      <c r="E958">
        <v>0.258409</v>
      </c>
    </row>
    <row r="959" spans="1:5" x14ac:dyDescent="0.3">
      <c r="A959">
        <v>23</v>
      </c>
      <c r="B959">
        <v>215000</v>
      </c>
      <c r="C959" t="s">
        <v>46</v>
      </c>
      <c r="D959" t="s">
        <v>41</v>
      </c>
      <c r="E959">
        <v>0.115221</v>
      </c>
    </row>
    <row r="960" spans="1:5" x14ac:dyDescent="0.3">
      <c r="A960">
        <v>23</v>
      </c>
      <c r="B960">
        <v>215000</v>
      </c>
      <c r="C960" t="s">
        <v>46</v>
      </c>
      <c r="D960" t="s">
        <v>42</v>
      </c>
      <c r="E960">
        <v>5.3602999999999998E-2</v>
      </c>
    </row>
    <row r="961" spans="1:5" x14ac:dyDescent="0.3">
      <c r="A961">
        <v>23</v>
      </c>
      <c r="B961">
        <v>215000</v>
      </c>
      <c r="C961" t="s">
        <v>46</v>
      </c>
      <c r="D961" t="s">
        <v>43</v>
      </c>
      <c r="E961">
        <v>3.2189000000000002E-2</v>
      </c>
    </row>
    <row r="962" spans="1:5" x14ac:dyDescent="0.3">
      <c r="A962">
        <v>23</v>
      </c>
      <c r="B962">
        <v>215000</v>
      </c>
      <c r="C962" t="s">
        <v>47</v>
      </c>
      <c r="D962" t="s">
        <v>28</v>
      </c>
      <c r="E962">
        <v>145508.23347800001</v>
      </c>
    </row>
    <row r="963" spans="1:5" x14ac:dyDescent="0.3">
      <c r="A963">
        <v>23</v>
      </c>
      <c r="B963">
        <v>215000</v>
      </c>
      <c r="C963" t="s">
        <v>47</v>
      </c>
      <c r="D963" t="s">
        <v>29</v>
      </c>
      <c r="E963">
        <v>0.31308900000000001</v>
      </c>
    </row>
    <row r="964" spans="1:5" x14ac:dyDescent="0.3">
      <c r="A964">
        <v>23</v>
      </c>
      <c r="B964">
        <v>215000</v>
      </c>
      <c r="C964" t="s">
        <v>47</v>
      </c>
      <c r="D964" t="s">
        <v>30</v>
      </c>
      <c r="E964">
        <v>8.3590999999999999E-2</v>
      </c>
    </row>
    <row r="965" spans="1:5" x14ac:dyDescent="0.3">
      <c r="A965">
        <v>23</v>
      </c>
      <c r="B965">
        <v>215000</v>
      </c>
      <c r="C965" t="s">
        <v>47</v>
      </c>
      <c r="D965" t="s">
        <v>31</v>
      </c>
      <c r="E965">
        <v>6.7532999999999996E-2</v>
      </c>
    </row>
    <row r="966" spans="1:5" x14ac:dyDescent="0.3">
      <c r="A966">
        <v>23</v>
      </c>
      <c r="B966">
        <v>215000</v>
      </c>
      <c r="C966" t="s">
        <v>47</v>
      </c>
      <c r="D966" t="s">
        <v>32</v>
      </c>
      <c r="E966">
        <v>7.2482000000000005E-2</v>
      </c>
    </row>
    <row r="967" spans="1:5" x14ac:dyDescent="0.3">
      <c r="A967">
        <v>23</v>
      </c>
      <c r="B967">
        <v>215000</v>
      </c>
      <c r="C967" t="s">
        <v>47</v>
      </c>
      <c r="D967" t="s">
        <v>33</v>
      </c>
      <c r="E967">
        <v>18067.653460000001</v>
      </c>
    </row>
    <row r="968" spans="1:5" x14ac:dyDescent="0.3">
      <c r="A968">
        <v>23</v>
      </c>
      <c r="B968">
        <v>215000</v>
      </c>
      <c r="C968" t="s">
        <v>47</v>
      </c>
      <c r="D968" t="s">
        <v>34</v>
      </c>
      <c r="E968">
        <v>3150.8352970000001</v>
      </c>
    </row>
    <row r="969" spans="1:5" x14ac:dyDescent="0.3">
      <c r="A969">
        <v>23</v>
      </c>
      <c r="B969">
        <v>215000</v>
      </c>
      <c r="C969" t="s">
        <v>47</v>
      </c>
      <c r="D969" t="s">
        <v>35</v>
      </c>
      <c r="E969">
        <v>48271.597655999998</v>
      </c>
    </row>
    <row r="970" spans="1:5" x14ac:dyDescent="0.3">
      <c r="A970">
        <v>23</v>
      </c>
      <c r="B970">
        <v>215000</v>
      </c>
      <c r="C970" t="s">
        <v>47</v>
      </c>
      <c r="D970" t="s">
        <v>36</v>
      </c>
      <c r="E970">
        <v>6.3856999999999997E-2</v>
      </c>
    </row>
    <row r="971" spans="1:5" x14ac:dyDescent="0.3">
      <c r="A971">
        <v>23</v>
      </c>
      <c r="B971">
        <v>215000</v>
      </c>
      <c r="C971" t="s">
        <v>47</v>
      </c>
      <c r="D971" t="s">
        <v>37</v>
      </c>
      <c r="E971">
        <v>0.26667800000000003</v>
      </c>
    </row>
    <row r="972" spans="1:5" x14ac:dyDescent="0.3">
      <c r="A972">
        <v>23</v>
      </c>
      <c r="B972">
        <v>215000</v>
      </c>
      <c r="C972" t="s">
        <v>47</v>
      </c>
      <c r="D972" t="s">
        <v>38</v>
      </c>
      <c r="E972">
        <v>0.14005899999999999</v>
      </c>
    </row>
    <row r="973" spans="1:5" x14ac:dyDescent="0.3">
      <c r="A973">
        <v>23</v>
      </c>
      <c r="B973">
        <v>215000</v>
      </c>
      <c r="C973" t="s">
        <v>47</v>
      </c>
      <c r="D973" t="s">
        <v>39</v>
      </c>
      <c r="E973">
        <v>0.147119</v>
      </c>
    </row>
    <row r="974" spans="1:5" x14ac:dyDescent="0.3">
      <c r="A974">
        <v>23</v>
      </c>
      <c r="B974">
        <v>215000</v>
      </c>
      <c r="C974" t="s">
        <v>47</v>
      </c>
      <c r="D974" t="s">
        <v>40</v>
      </c>
      <c r="E974">
        <v>0.30723400000000001</v>
      </c>
    </row>
    <row r="975" spans="1:5" x14ac:dyDescent="0.3">
      <c r="A975">
        <v>23</v>
      </c>
      <c r="B975">
        <v>215000</v>
      </c>
      <c r="C975" t="s">
        <v>47</v>
      </c>
      <c r="D975" t="s">
        <v>41</v>
      </c>
      <c r="E975">
        <v>0.130079</v>
      </c>
    </row>
    <row r="976" spans="1:5" x14ac:dyDescent="0.3">
      <c r="A976">
        <v>23</v>
      </c>
      <c r="B976">
        <v>215000</v>
      </c>
      <c r="C976" t="s">
        <v>47</v>
      </c>
      <c r="D976" t="s">
        <v>42</v>
      </c>
      <c r="E976">
        <v>8.9580000000000007E-2</v>
      </c>
    </row>
    <row r="977" spans="1:5" x14ac:dyDescent="0.3">
      <c r="A977">
        <v>23</v>
      </c>
      <c r="B977">
        <v>215000</v>
      </c>
      <c r="C977" t="s">
        <v>47</v>
      </c>
      <c r="D977" t="s">
        <v>43</v>
      </c>
      <c r="E977">
        <v>3.968E-2</v>
      </c>
    </row>
    <row r="978" spans="1:5" x14ac:dyDescent="0.3">
      <c r="A978">
        <v>24</v>
      </c>
      <c r="B978">
        <v>220000</v>
      </c>
      <c r="C978" t="s">
        <v>45</v>
      </c>
      <c r="D978" t="s">
        <v>28</v>
      </c>
      <c r="E978">
        <v>146853.689079</v>
      </c>
    </row>
    <row r="979" spans="1:5" x14ac:dyDescent="0.3">
      <c r="A979">
        <v>24</v>
      </c>
      <c r="B979">
        <v>220000</v>
      </c>
      <c r="C979" t="s">
        <v>45</v>
      </c>
      <c r="D979" t="s">
        <v>29</v>
      </c>
      <c r="E979">
        <v>9.5066999999999999E-2</v>
      </c>
    </row>
    <row r="980" spans="1:5" x14ac:dyDescent="0.3">
      <c r="A980">
        <v>24</v>
      </c>
      <c r="B980">
        <v>220000</v>
      </c>
      <c r="C980" t="s">
        <v>45</v>
      </c>
      <c r="D980" t="s">
        <v>30</v>
      </c>
      <c r="E980">
        <v>2.222E-2</v>
      </c>
    </row>
    <row r="981" spans="1:5" x14ac:dyDescent="0.3">
      <c r="A981">
        <v>24</v>
      </c>
      <c r="B981">
        <v>220000</v>
      </c>
      <c r="C981" t="s">
        <v>45</v>
      </c>
      <c r="D981" t="s">
        <v>31</v>
      </c>
      <c r="E981">
        <v>1.7888000000000001E-2</v>
      </c>
    </row>
    <row r="982" spans="1:5" x14ac:dyDescent="0.3">
      <c r="A982">
        <v>24</v>
      </c>
      <c r="B982">
        <v>220000</v>
      </c>
      <c r="C982" t="s">
        <v>45</v>
      </c>
      <c r="D982" t="s">
        <v>32</v>
      </c>
      <c r="E982">
        <v>1.8950000000000002E-2</v>
      </c>
    </row>
    <row r="983" spans="1:5" x14ac:dyDescent="0.3">
      <c r="A983">
        <v>24</v>
      </c>
      <c r="B983">
        <v>220000</v>
      </c>
      <c r="C983" t="s">
        <v>45</v>
      </c>
      <c r="D983" t="s">
        <v>33</v>
      </c>
      <c r="E983">
        <v>24874.311261999999</v>
      </c>
    </row>
    <row r="984" spans="1:5" x14ac:dyDescent="0.3">
      <c r="A984">
        <v>24</v>
      </c>
      <c r="B984">
        <v>220000</v>
      </c>
      <c r="C984" t="s">
        <v>45</v>
      </c>
      <c r="D984" t="s">
        <v>34</v>
      </c>
      <c r="E984">
        <v>1.9376000000000001E-2</v>
      </c>
    </row>
    <row r="985" spans="1:5" x14ac:dyDescent="0.3">
      <c r="A985">
        <v>24</v>
      </c>
      <c r="B985">
        <v>220000</v>
      </c>
      <c r="C985" t="s">
        <v>45</v>
      </c>
      <c r="D985" t="s">
        <v>35</v>
      </c>
      <c r="E985">
        <v>48271.528959000003</v>
      </c>
    </row>
    <row r="986" spans="1:5" x14ac:dyDescent="0.3">
      <c r="A986">
        <v>24</v>
      </c>
      <c r="B986">
        <v>220000</v>
      </c>
      <c r="C986" t="s">
        <v>45</v>
      </c>
      <c r="D986" t="s">
        <v>36</v>
      </c>
      <c r="E986">
        <v>1.6854000000000001E-2</v>
      </c>
    </row>
    <row r="987" spans="1:5" x14ac:dyDescent="0.3">
      <c r="A987">
        <v>24</v>
      </c>
      <c r="B987">
        <v>220000</v>
      </c>
      <c r="C987" t="s">
        <v>45</v>
      </c>
      <c r="D987" t="s">
        <v>37</v>
      </c>
      <c r="E987">
        <v>7.4186000000000002E-2</v>
      </c>
    </row>
    <row r="988" spans="1:5" x14ac:dyDescent="0.3">
      <c r="A988">
        <v>24</v>
      </c>
      <c r="B988">
        <v>220000</v>
      </c>
      <c r="C988" t="s">
        <v>45</v>
      </c>
      <c r="D988" t="s">
        <v>38</v>
      </c>
      <c r="E988">
        <v>3.8346999999999999E-2</v>
      </c>
    </row>
    <row r="989" spans="1:5" x14ac:dyDescent="0.3">
      <c r="A989">
        <v>24</v>
      </c>
      <c r="B989">
        <v>220000</v>
      </c>
      <c r="C989" t="s">
        <v>45</v>
      </c>
      <c r="D989" t="s">
        <v>39</v>
      </c>
      <c r="E989">
        <v>3.4974999999999999E-2</v>
      </c>
    </row>
    <row r="990" spans="1:5" x14ac:dyDescent="0.3">
      <c r="A990">
        <v>24</v>
      </c>
      <c r="B990">
        <v>220000</v>
      </c>
      <c r="C990" t="s">
        <v>45</v>
      </c>
      <c r="D990" t="s">
        <v>40</v>
      </c>
      <c r="E990">
        <v>7.9701999999999995E-2</v>
      </c>
    </row>
    <row r="991" spans="1:5" x14ac:dyDescent="0.3">
      <c r="A991">
        <v>24</v>
      </c>
      <c r="B991">
        <v>220000</v>
      </c>
      <c r="C991" t="s">
        <v>45</v>
      </c>
      <c r="D991" t="s">
        <v>41</v>
      </c>
      <c r="E991">
        <v>3.8237E-2</v>
      </c>
    </row>
    <row r="992" spans="1:5" x14ac:dyDescent="0.3">
      <c r="A992">
        <v>24</v>
      </c>
      <c r="B992">
        <v>220000</v>
      </c>
      <c r="C992" t="s">
        <v>45</v>
      </c>
      <c r="D992" t="s">
        <v>42</v>
      </c>
      <c r="E992">
        <v>1.7278999999999999E-2</v>
      </c>
    </row>
    <row r="993" spans="1:5" x14ac:dyDescent="0.3">
      <c r="A993">
        <v>24</v>
      </c>
      <c r="B993">
        <v>220000</v>
      </c>
      <c r="C993" t="s">
        <v>45</v>
      </c>
      <c r="D993" t="s">
        <v>43</v>
      </c>
      <c r="E993">
        <v>1.0222999999999999E-2</v>
      </c>
    </row>
    <row r="994" spans="1:5" x14ac:dyDescent="0.3">
      <c r="A994">
        <v>24</v>
      </c>
      <c r="B994">
        <v>220000</v>
      </c>
      <c r="C994" t="s">
        <v>46</v>
      </c>
      <c r="D994" t="s">
        <v>28</v>
      </c>
      <c r="E994">
        <v>144803.61349399999</v>
      </c>
    </row>
    <row r="995" spans="1:5" x14ac:dyDescent="0.3">
      <c r="A995">
        <v>24</v>
      </c>
      <c r="B995">
        <v>220000</v>
      </c>
      <c r="C995" t="s">
        <v>46</v>
      </c>
      <c r="D995" t="s">
        <v>29</v>
      </c>
      <c r="E995">
        <v>0.34909099999999998</v>
      </c>
    </row>
    <row r="996" spans="1:5" x14ac:dyDescent="0.3">
      <c r="A996">
        <v>24</v>
      </c>
      <c r="B996">
        <v>220000</v>
      </c>
      <c r="C996" t="s">
        <v>46</v>
      </c>
      <c r="D996" t="s">
        <v>30</v>
      </c>
      <c r="E996">
        <v>9.2530000000000001E-2</v>
      </c>
    </row>
    <row r="997" spans="1:5" x14ac:dyDescent="0.3">
      <c r="A997">
        <v>24</v>
      </c>
      <c r="B997">
        <v>220000</v>
      </c>
      <c r="C997" t="s">
        <v>46</v>
      </c>
      <c r="D997" t="s">
        <v>31</v>
      </c>
      <c r="E997">
        <v>7.5454999999999994E-2</v>
      </c>
    </row>
    <row r="998" spans="1:5" x14ac:dyDescent="0.3">
      <c r="A998">
        <v>24</v>
      </c>
      <c r="B998">
        <v>220000</v>
      </c>
      <c r="C998" t="s">
        <v>46</v>
      </c>
      <c r="D998" t="s">
        <v>32</v>
      </c>
      <c r="E998">
        <v>7.8839999999999993E-2</v>
      </c>
    </row>
    <row r="999" spans="1:5" x14ac:dyDescent="0.3">
      <c r="A999">
        <v>24</v>
      </c>
      <c r="B999">
        <v>220000</v>
      </c>
      <c r="C999" t="s">
        <v>46</v>
      </c>
      <c r="D999" t="s">
        <v>33</v>
      </c>
      <c r="E999">
        <v>26923.322269</v>
      </c>
    </row>
    <row r="1000" spans="1:5" x14ac:dyDescent="0.3">
      <c r="A1000">
        <v>24</v>
      </c>
      <c r="B1000">
        <v>220000</v>
      </c>
      <c r="C1000" t="s">
        <v>46</v>
      </c>
      <c r="D1000" t="s">
        <v>34</v>
      </c>
      <c r="E1000">
        <v>9.8202999999999999E-2</v>
      </c>
    </row>
    <row r="1001" spans="1:5" x14ac:dyDescent="0.3">
      <c r="A1001">
        <v>24</v>
      </c>
      <c r="B1001">
        <v>220000</v>
      </c>
      <c r="C1001" t="s">
        <v>46</v>
      </c>
      <c r="D1001" t="s">
        <v>35</v>
      </c>
      <c r="E1001">
        <v>48271.192862000004</v>
      </c>
    </row>
    <row r="1002" spans="1:5" x14ac:dyDescent="0.3">
      <c r="A1002">
        <v>24</v>
      </c>
      <c r="B1002">
        <v>220000</v>
      </c>
      <c r="C1002" t="s">
        <v>46</v>
      </c>
      <c r="D1002" t="s">
        <v>36</v>
      </c>
      <c r="E1002">
        <v>7.2274000000000005E-2</v>
      </c>
    </row>
    <row r="1003" spans="1:5" x14ac:dyDescent="0.3">
      <c r="A1003">
        <v>24</v>
      </c>
      <c r="B1003">
        <v>220000</v>
      </c>
      <c r="C1003" t="s">
        <v>46</v>
      </c>
      <c r="D1003" t="s">
        <v>37</v>
      </c>
      <c r="E1003">
        <v>0.27675899999999998</v>
      </c>
    </row>
    <row r="1004" spans="1:5" x14ac:dyDescent="0.3">
      <c r="A1004">
        <v>24</v>
      </c>
      <c r="B1004">
        <v>220000</v>
      </c>
      <c r="C1004" t="s">
        <v>46</v>
      </c>
      <c r="D1004" t="s">
        <v>38</v>
      </c>
      <c r="E1004">
        <v>0.15191399999999999</v>
      </c>
    </row>
    <row r="1005" spans="1:5" x14ac:dyDescent="0.3">
      <c r="A1005">
        <v>24</v>
      </c>
      <c r="B1005">
        <v>220000</v>
      </c>
      <c r="C1005" t="s">
        <v>46</v>
      </c>
      <c r="D1005" t="s">
        <v>39</v>
      </c>
      <c r="E1005">
        <v>0.13717099999999999</v>
      </c>
    </row>
    <row r="1006" spans="1:5" x14ac:dyDescent="0.3">
      <c r="A1006">
        <v>24</v>
      </c>
      <c r="B1006">
        <v>220000</v>
      </c>
      <c r="C1006" t="s">
        <v>46</v>
      </c>
      <c r="D1006" t="s">
        <v>40</v>
      </c>
      <c r="E1006">
        <v>0.33593600000000001</v>
      </c>
    </row>
    <row r="1007" spans="1:5" x14ac:dyDescent="0.3">
      <c r="A1007">
        <v>24</v>
      </c>
      <c r="B1007">
        <v>220000</v>
      </c>
      <c r="C1007" t="s">
        <v>46</v>
      </c>
      <c r="D1007" t="s">
        <v>41</v>
      </c>
      <c r="E1007">
        <v>0.146865</v>
      </c>
    </row>
    <row r="1008" spans="1:5" x14ac:dyDescent="0.3">
      <c r="A1008">
        <v>24</v>
      </c>
      <c r="B1008">
        <v>220000</v>
      </c>
      <c r="C1008" t="s">
        <v>46</v>
      </c>
      <c r="D1008" t="s">
        <v>42</v>
      </c>
      <c r="E1008">
        <v>7.5119000000000005E-2</v>
      </c>
    </row>
    <row r="1009" spans="1:5" x14ac:dyDescent="0.3">
      <c r="A1009">
        <v>24</v>
      </c>
      <c r="B1009">
        <v>220000</v>
      </c>
      <c r="C1009" t="s">
        <v>46</v>
      </c>
      <c r="D1009" t="s">
        <v>43</v>
      </c>
      <c r="E1009">
        <v>4.5784999999999999E-2</v>
      </c>
    </row>
    <row r="1010" spans="1:5" x14ac:dyDescent="0.3">
      <c r="A1010">
        <v>24</v>
      </c>
      <c r="B1010">
        <v>220000</v>
      </c>
      <c r="C1010" t="s">
        <v>47</v>
      </c>
      <c r="D1010" t="s">
        <v>28</v>
      </c>
      <c r="E1010">
        <v>146316.940183</v>
      </c>
    </row>
    <row r="1011" spans="1:5" x14ac:dyDescent="0.3">
      <c r="A1011">
        <v>24</v>
      </c>
      <c r="B1011">
        <v>220000</v>
      </c>
      <c r="C1011" t="s">
        <v>47</v>
      </c>
      <c r="D1011" t="s">
        <v>29</v>
      </c>
      <c r="E1011">
        <v>0.21842500000000001</v>
      </c>
    </row>
    <row r="1012" spans="1:5" x14ac:dyDescent="0.3">
      <c r="A1012">
        <v>24</v>
      </c>
      <c r="B1012">
        <v>220000</v>
      </c>
      <c r="C1012" t="s">
        <v>47</v>
      </c>
      <c r="D1012" t="s">
        <v>30</v>
      </c>
      <c r="E1012">
        <v>5.3859999999999998E-2</v>
      </c>
    </row>
    <row r="1013" spans="1:5" x14ac:dyDescent="0.3">
      <c r="A1013">
        <v>24</v>
      </c>
      <c r="B1013">
        <v>220000</v>
      </c>
      <c r="C1013" t="s">
        <v>47</v>
      </c>
      <c r="D1013" t="s">
        <v>31</v>
      </c>
      <c r="E1013">
        <v>4.4728999999999998E-2</v>
      </c>
    </row>
    <row r="1014" spans="1:5" x14ac:dyDescent="0.3">
      <c r="A1014">
        <v>24</v>
      </c>
      <c r="B1014">
        <v>220000</v>
      </c>
      <c r="C1014" t="s">
        <v>47</v>
      </c>
      <c r="D1014" t="s">
        <v>32</v>
      </c>
      <c r="E1014">
        <v>4.8122999999999999E-2</v>
      </c>
    </row>
    <row r="1015" spans="1:5" x14ac:dyDescent="0.3">
      <c r="A1015">
        <v>24</v>
      </c>
      <c r="B1015">
        <v>220000</v>
      </c>
      <c r="C1015" t="s">
        <v>47</v>
      </c>
      <c r="D1015" t="s">
        <v>33</v>
      </c>
      <c r="E1015">
        <v>21984.273395</v>
      </c>
    </row>
    <row r="1016" spans="1:5" x14ac:dyDescent="0.3">
      <c r="A1016">
        <v>24</v>
      </c>
      <c r="B1016">
        <v>220000</v>
      </c>
      <c r="C1016" t="s">
        <v>47</v>
      </c>
      <c r="D1016" t="s">
        <v>34</v>
      </c>
      <c r="E1016">
        <v>3426.0160839999999</v>
      </c>
    </row>
    <row r="1017" spans="1:5" x14ac:dyDescent="0.3">
      <c r="A1017">
        <v>24</v>
      </c>
      <c r="B1017">
        <v>220000</v>
      </c>
      <c r="C1017" t="s">
        <v>47</v>
      </c>
      <c r="D1017" t="s">
        <v>35</v>
      </c>
      <c r="E1017">
        <v>48271.637027999997</v>
      </c>
    </row>
    <row r="1018" spans="1:5" x14ac:dyDescent="0.3">
      <c r="A1018">
        <v>24</v>
      </c>
      <c r="B1018">
        <v>220000</v>
      </c>
      <c r="C1018" t="s">
        <v>47</v>
      </c>
      <c r="D1018" t="s">
        <v>36</v>
      </c>
      <c r="E1018">
        <v>4.2755000000000001E-2</v>
      </c>
    </row>
    <row r="1019" spans="1:5" x14ac:dyDescent="0.3">
      <c r="A1019">
        <v>24</v>
      </c>
      <c r="B1019">
        <v>220000</v>
      </c>
      <c r="C1019" t="s">
        <v>47</v>
      </c>
      <c r="D1019" t="s">
        <v>37</v>
      </c>
      <c r="E1019">
        <v>0.18246699999999999</v>
      </c>
    </row>
    <row r="1020" spans="1:5" x14ac:dyDescent="0.3">
      <c r="A1020">
        <v>24</v>
      </c>
      <c r="B1020">
        <v>220000</v>
      </c>
      <c r="C1020" t="s">
        <v>47</v>
      </c>
      <c r="D1020" t="s">
        <v>38</v>
      </c>
      <c r="E1020">
        <v>9.7614000000000006E-2</v>
      </c>
    </row>
    <row r="1021" spans="1:5" x14ac:dyDescent="0.3">
      <c r="A1021">
        <v>24</v>
      </c>
      <c r="B1021">
        <v>220000</v>
      </c>
      <c r="C1021" t="s">
        <v>47</v>
      </c>
      <c r="D1021" t="s">
        <v>39</v>
      </c>
      <c r="E1021">
        <v>9.8789000000000002E-2</v>
      </c>
    </row>
    <row r="1022" spans="1:5" x14ac:dyDescent="0.3">
      <c r="A1022">
        <v>24</v>
      </c>
      <c r="B1022">
        <v>220000</v>
      </c>
      <c r="C1022" t="s">
        <v>47</v>
      </c>
      <c r="D1022" t="s">
        <v>40</v>
      </c>
      <c r="E1022">
        <v>0.198797</v>
      </c>
    </row>
    <row r="1023" spans="1:5" x14ac:dyDescent="0.3">
      <c r="A1023">
        <v>24</v>
      </c>
      <c r="B1023">
        <v>220000</v>
      </c>
      <c r="C1023" t="s">
        <v>47</v>
      </c>
      <c r="D1023" t="s">
        <v>41</v>
      </c>
      <c r="E1023">
        <v>9.2327999999999993E-2</v>
      </c>
    </row>
    <row r="1024" spans="1:5" x14ac:dyDescent="0.3">
      <c r="A1024">
        <v>24</v>
      </c>
      <c r="B1024">
        <v>220000</v>
      </c>
      <c r="C1024" t="s">
        <v>47</v>
      </c>
      <c r="D1024" t="s">
        <v>42</v>
      </c>
      <c r="E1024">
        <v>5.9885000000000001E-2</v>
      </c>
    </row>
    <row r="1025" spans="1:5" x14ac:dyDescent="0.3">
      <c r="A1025">
        <v>24</v>
      </c>
      <c r="B1025">
        <v>220000</v>
      </c>
      <c r="C1025" t="s">
        <v>47</v>
      </c>
      <c r="D1025" t="s">
        <v>43</v>
      </c>
      <c r="E1025">
        <v>2.5735000000000001E-2</v>
      </c>
    </row>
    <row r="1026" spans="1:5" x14ac:dyDescent="0.3">
      <c r="A1026">
        <v>25</v>
      </c>
      <c r="B1026">
        <v>225000</v>
      </c>
      <c r="C1026" t="s">
        <v>45</v>
      </c>
      <c r="D1026" t="s">
        <v>28</v>
      </c>
      <c r="E1026">
        <v>147077.64025999999</v>
      </c>
    </row>
    <row r="1027" spans="1:5" x14ac:dyDescent="0.3">
      <c r="A1027">
        <v>25</v>
      </c>
      <c r="B1027">
        <v>225000</v>
      </c>
      <c r="C1027" t="s">
        <v>45</v>
      </c>
      <c r="D1027" t="s">
        <v>29</v>
      </c>
      <c r="E1027">
        <v>0.111778</v>
      </c>
    </row>
    <row r="1028" spans="1:5" x14ac:dyDescent="0.3">
      <c r="A1028">
        <v>25</v>
      </c>
      <c r="B1028">
        <v>225000</v>
      </c>
      <c r="C1028" t="s">
        <v>45</v>
      </c>
      <c r="D1028" t="s">
        <v>30</v>
      </c>
      <c r="E1028">
        <v>2.6412000000000001E-2</v>
      </c>
    </row>
    <row r="1029" spans="1:5" x14ac:dyDescent="0.3">
      <c r="A1029">
        <v>25</v>
      </c>
      <c r="B1029">
        <v>225000</v>
      </c>
      <c r="C1029" t="s">
        <v>45</v>
      </c>
      <c r="D1029" t="s">
        <v>31</v>
      </c>
      <c r="E1029">
        <v>2.1166999999999998E-2</v>
      </c>
    </row>
    <row r="1030" spans="1:5" x14ac:dyDescent="0.3">
      <c r="A1030">
        <v>25</v>
      </c>
      <c r="B1030">
        <v>225000</v>
      </c>
      <c r="C1030" t="s">
        <v>45</v>
      </c>
      <c r="D1030" t="s">
        <v>32</v>
      </c>
      <c r="E1030">
        <v>2.2210000000000001E-2</v>
      </c>
    </row>
    <row r="1031" spans="1:5" x14ac:dyDescent="0.3">
      <c r="A1031">
        <v>25</v>
      </c>
      <c r="B1031">
        <v>225000</v>
      </c>
      <c r="C1031" t="s">
        <v>45</v>
      </c>
      <c r="D1031" t="s">
        <v>33</v>
      </c>
      <c r="E1031">
        <v>29650.295526000002</v>
      </c>
    </row>
    <row r="1032" spans="1:5" x14ac:dyDescent="0.3">
      <c r="A1032">
        <v>25</v>
      </c>
      <c r="B1032">
        <v>225000</v>
      </c>
      <c r="C1032" t="s">
        <v>45</v>
      </c>
      <c r="D1032" t="s">
        <v>34</v>
      </c>
      <c r="E1032">
        <v>2.1260999999999999E-2</v>
      </c>
    </row>
    <row r="1033" spans="1:5" x14ac:dyDescent="0.3">
      <c r="A1033">
        <v>25</v>
      </c>
      <c r="B1033">
        <v>225000</v>
      </c>
      <c r="C1033" t="s">
        <v>45</v>
      </c>
      <c r="D1033" t="s">
        <v>35</v>
      </c>
      <c r="E1033">
        <v>48271.501196999998</v>
      </c>
    </row>
    <row r="1034" spans="1:5" x14ac:dyDescent="0.3">
      <c r="A1034">
        <v>25</v>
      </c>
      <c r="B1034">
        <v>225000</v>
      </c>
      <c r="C1034" t="s">
        <v>45</v>
      </c>
      <c r="D1034" t="s">
        <v>36</v>
      </c>
      <c r="E1034">
        <v>1.9602000000000001E-2</v>
      </c>
    </row>
    <row r="1035" spans="1:5" x14ac:dyDescent="0.3">
      <c r="A1035">
        <v>25</v>
      </c>
      <c r="B1035">
        <v>225000</v>
      </c>
      <c r="C1035" t="s">
        <v>45</v>
      </c>
      <c r="D1035" t="s">
        <v>37</v>
      </c>
      <c r="E1035">
        <v>9.2793E-2</v>
      </c>
    </row>
    <row r="1036" spans="1:5" x14ac:dyDescent="0.3">
      <c r="A1036">
        <v>25</v>
      </c>
      <c r="B1036">
        <v>225000</v>
      </c>
      <c r="C1036" t="s">
        <v>45</v>
      </c>
      <c r="D1036" t="s">
        <v>38</v>
      </c>
      <c r="E1036">
        <v>4.5907999999999997E-2</v>
      </c>
    </row>
    <row r="1037" spans="1:5" x14ac:dyDescent="0.3">
      <c r="A1037">
        <v>25</v>
      </c>
      <c r="B1037">
        <v>225000</v>
      </c>
      <c r="C1037" t="s">
        <v>45</v>
      </c>
      <c r="D1037" t="s">
        <v>39</v>
      </c>
      <c r="E1037">
        <v>3.9600000000000003E-2</v>
      </c>
    </row>
    <row r="1038" spans="1:5" x14ac:dyDescent="0.3">
      <c r="A1038">
        <v>25</v>
      </c>
      <c r="B1038">
        <v>225000</v>
      </c>
      <c r="C1038" t="s">
        <v>45</v>
      </c>
      <c r="D1038" t="s">
        <v>40</v>
      </c>
      <c r="E1038">
        <v>9.4854999999999995E-2</v>
      </c>
    </row>
    <row r="1039" spans="1:5" x14ac:dyDescent="0.3">
      <c r="A1039">
        <v>25</v>
      </c>
      <c r="B1039">
        <v>225000</v>
      </c>
      <c r="C1039" t="s">
        <v>45</v>
      </c>
      <c r="D1039" t="s">
        <v>41</v>
      </c>
      <c r="E1039">
        <v>4.4155E-2</v>
      </c>
    </row>
    <row r="1040" spans="1:5" x14ac:dyDescent="0.3">
      <c r="A1040">
        <v>25</v>
      </c>
      <c r="B1040">
        <v>225000</v>
      </c>
      <c r="C1040" t="s">
        <v>45</v>
      </c>
      <c r="D1040" t="s">
        <v>42</v>
      </c>
      <c r="E1040">
        <v>1.9387999999999999E-2</v>
      </c>
    </row>
    <row r="1041" spans="1:5" x14ac:dyDescent="0.3">
      <c r="A1041">
        <v>25</v>
      </c>
      <c r="B1041">
        <v>225000</v>
      </c>
      <c r="C1041" t="s">
        <v>45</v>
      </c>
      <c r="D1041" t="s">
        <v>43</v>
      </c>
      <c r="E1041">
        <v>1.1442000000000001E-2</v>
      </c>
    </row>
    <row r="1042" spans="1:5" x14ac:dyDescent="0.3">
      <c r="A1042">
        <v>25</v>
      </c>
      <c r="B1042">
        <v>225000</v>
      </c>
      <c r="C1042" t="s">
        <v>46</v>
      </c>
      <c r="D1042" t="s">
        <v>28</v>
      </c>
      <c r="E1042">
        <v>144911.10588300001</v>
      </c>
    </row>
    <row r="1043" spans="1:5" x14ac:dyDescent="0.3">
      <c r="A1043">
        <v>25</v>
      </c>
      <c r="B1043">
        <v>225000</v>
      </c>
      <c r="C1043" t="s">
        <v>46</v>
      </c>
      <c r="D1043" t="s">
        <v>29</v>
      </c>
      <c r="E1043">
        <v>0.120812</v>
      </c>
    </row>
    <row r="1044" spans="1:5" x14ac:dyDescent="0.3">
      <c r="A1044">
        <v>25</v>
      </c>
      <c r="B1044">
        <v>225000</v>
      </c>
      <c r="C1044" t="s">
        <v>46</v>
      </c>
      <c r="D1044" t="s">
        <v>30</v>
      </c>
      <c r="E1044">
        <v>3.2418000000000002E-2</v>
      </c>
    </row>
    <row r="1045" spans="1:5" x14ac:dyDescent="0.3">
      <c r="A1045">
        <v>25</v>
      </c>
      <c r="B1045">
        <v>225000</v>
      </c>
      <c r="C1045" t="s">
        <v>46</v>
      </c>
      <c r="D1045" t="s">
        <v>31</v>
      </c>
      <c r="E1045">
        <v>2.5347999999999999E-2</v>
      </c>
    </row>
    <row r="1046" spans="1:5" x14ac:dyDescent="0.3">
      <c r="A1046">
        <v>25</v>
      </c>
      <c r="B1046">
        <v>225000</v>
      </c>
      <c r="C1046" t="s">
        <v>46</v>
      </c>
      <c r="D1046" t="s">
        <v>32</v>
      </c>
      <c r="E1046">
        <v>2.6575999999999999E-2</v>
      </c>
    </row>
    <row r="1047" spans="1:5" x14ac:dyDescent="0.3">
      <c r="A1047">
        <v>25</v>
      </c>
      <c r="B1047">
        <v>225000</v>
      </c>
      <c r="C1047" t="s">
        <v>46</v>
      </c>
      <c r="D1047" t="s">
        <v>33</v>
      </c>
      <c r="E1047">
        <v>31816.756657000002</v>
      </c>
    </row>
    <row r="1048" spans="1:5" x14ac:dyDescent="0.3">
      <c r="A1048">
        <v>25</v>
      </c>
      <c r="B1048">
        <v>225000</v>
      </c>
      <c r="C1048" t="s">
        <v>46</v>
      </c>
      <c r="D1048" t="s">
        <v>34</v>
      </c>
      <c r="E1048">
        <v>2.9326000000000001E-2</v>
      </c>
    </row>
    <row r="1049" spans="1:5" x14ac:dyDescent="0.3">
      <c r="A1049">
        <v>25</v>
      </c>
      <c r="B1049">
        <v>225000</v>
      </c>
      <c r="C1049" t="s">
        <v>46</v>
      </c>
      <c r="D1049" t="s">
        <v>35</v>
      </c>
      <c r="E1049">
        <v>48271.510388000002</v>
      </c>
    </row>
    <row r="1050" spans="1:5" x14ac:dyDescent="0.3">
      <c r="A1050">
        <v>25</v>
      </c>
      <c r="B1050">
        <v>225000</v>
      </c>
      <c r="C1050" t="s">
        <v>46</v>
      </c>
      <c r="D1050" t="s">
        <v>36</v>
      </c>
      <c r="E1050">
        <v>2.4063000000000001E-2</v>
      </c>
    </row>
    <row r="1051" spans="1:5" x14ac:dyDescent="0.3">
      <c r="A1051">
        <v>25</v>
      </c>
      <c r="B1051">
        <v>225000</v>
      </c>
      <c r="C1051" t="s">
        <v>46</v>
      </c>
      <c r="D1051" t="s">
        <v>37</v>
      </c>
      <c r="E1051">
        <v>9.7921999999999995E-2</v>
      </c>
    </row>
    <row r="1052" spans="1:5" x14ac:dyDescent="0.3">
      <c r="A1052">
        <v>25</v>
      </c>
      <c r="B1052">
        <v>225000</v>
      </c>
      <c r="C1052" t="s">
        <v>46</v>
      </c>
      <c r="D1052" t="s">
        <v>38</v>
      </c>
      <c r="E1052">
        <v>5.2603999999999998E-2</v>
      </c>
    </row>
    <row r="1053" spans="1:5" x14ac:dyDescent="0.3">
      <c r="A1053">
        <v>25</v>
      </c>
      <c r="B1053">
        <v>225000</v>
      </c>
      <c r="C1053" t="s">
        <v>46</v>
      </c>
      <c r="D1053" t="s">
        <v>39</v>
      </c>
      <c r="E1053">
        <v>4.6450999999999999E-2</v>
      </c>
    </row>
    <row r="1054" spans="1:5" x14ac:dyDescent="0.3">
      <c r="A1054">
        <v>25</v>
      </c>
      <c r="B1054">
        <v>225000</v>
      </c>
      <c r="C1054" t="s">
        <v>46</v>
      </c>
      <c r="D1054" t="s">
        <v>40</v>
      </c>
      <c r="E1054">
        <v>0.115716</v>
      </c>
    </row>
    <row r="1055" spans="1:5" x14ac:dyDescent="0.3">
      <c r="A1055">
        <v>25</v>
      </c>
      <c r="B1055">
        <v>225000</v>
      </c>
      <c r="C1055" t="s">
        <v>46</v>
      </c>
      <c r="D1055" t="s">
        <v>41</v>
      </c>
      <c r="E1055">
        <v>5.0506000000000002E-2</v>
      </c>
    </row>
    <row r="1056" spans="1:5" x14ac:dyDescent="0.3">
      <c r="A1056">
        <v>25</v>
      </c>
      <c r="B1056">
        <v>225000</v>
      </c>
      <c r="C1056" t="s">
        <v>46</v>
      </c>
      <c r="D1056" t="s">
        <v>42</v>
      </c>
      <c r="E1056">
        <v>2.4406000000000001E-2</v>
      </c>
    </row>
    <row r="1057" spans="1:5" x14ac:dyDescent="0.3">
      <c r="A1057">
        <v>25</v>
      </c>
      <c r="B1057">
        <v>225000</v>
      </c>
      <c r="C1057" t="s">
        <v>46</v>
      </c>
      <c r="D1057" t="s">
        <v>43</v>
      </c>
      <c r="E1057">
        <v>1.4824E-2</v>
      </c>
    </row>
    <row r="1058" spans="1:5" x14ac:dyDescent="0.3">
      <c r="A1058">
        <v>25</v>
      </c>
      <c r="B1058">
        <v>225000</v>
      </c>
      <c r="C1058" t="s">
        <v>47</v>
      </c>
      <c r="D1058" t="s">
        <v>28</v>
      </c>
      <c r="E1058">
        <v>147125.74341699999</v>
      </c>
    </row>
    <row r="1059" spans="1:5" x14ac:dyDescent="0.3">
      <c r="A1059">
        <v>25</v>
      </c>
      <c r="B1059">
        <v>225000</v>
      </c>
      <c r="C1059" t="s">
        <v>47</v>
      </c>
      <c r="D1059" t="s">
        <v>29</v>
      </c>
      <c r="E1059">
        <v>0.437863</v>
      </c>
    </row>
    <row r="1060" spans="1:5" x14ac:dyDescent="0.3">
      <c r="A1060">
        <v>25</v>
      </c>
      <c r="B1060">
        <v>225000</v>
      </c>
      <c r="C1060" t="s">
        <v>47</v>
      </c>
      <c r="D1060" t="s">
        <v>30</v>
      </c>
      <c r="E1060">
        <v>0.10753</v>
      </c>
    </row>
    <row r="1061" spans="1:5" x14ac:dyDescent="0.3">
      <c r="A1061">
        <v>25</v>
      </c>
      <c r="B1061">
        <v>225000</v>
      </c>
      <c r="C1061" t="s">
        <v>47</v>
      </c>
      <c r="D1061" t="s">
        <v>31</v>
      </c>
      <c r="E1061">
        <v>8.2949999999999996E-2</v>
      </c>
    </row>
    <row r="1062" spans="1:5" x14ac:dyDescent="0.3">
      <c r="A1062">
        <v>25</v>
      </c>
      <c r="B1062">
        <v>225000</v>
      </c>
      <c r="C1062" t="s">
        <v>47</v>
      </c>
      <c r="D1062" t="s">
        <v>32</v>
      </c>
      <c r="E1062">
        <v>8.9088000000000001E-2</v>
      </c>
    </row>
    <row r="1063" spans="1:5" x14ac:dyDescent="0.3">
      <c r="A1063">
        <v>25</v>
      </c>
      <c r="B1063">
        <v>225000</v>
      </c>
      <c r="C1063" t="s">
        <v>47</v>
      </c>
      <c r="D1063" t="s">
        <v>33</v>
      </c>
      <c r="E1063">
        <v>25898.875411000001</v>
      </c>
    </row>
    <row r="1064" spans="1:5" x14ac:dyDescent="0.3">
      <c r="A1064">
        <v>25</v>
      </c>
      <c r="B1064">
        <v>225000</v>
      </c>
      <c r="C1064" t="s">
        <v>47</v>
      </c>
      <c r="D1064" t="s">
        <v>34</v>
      </c>
      <c r="E1064">
        <v>3701.4866339999999</v>
      </c>
    </row>
    <row r="1065" spans="1:5" x14ac:dyDescent="0.3">
      <c r="A1065">
        <v>25</v>
      </c>
      <c r="B1065">
        <v>225000</v>
      </c>
      <c r="C1065" t="s">
        <v>47</v>
      </c>
      <c r="D1065" t="s">
        <v>35</v>
      </c>
      <c r="E1065">
        <v>48271.711582999997</v>
      </c>
    </row>
    <row r="1066" spans="1:5" x14ac:dyDescent="0.3">
      <c r="A1066">
        <v>25</v>
      </c>
      <c r="B1066">
        <v>225000</v>
      </c>
      <c r="C1066" t="s">
        <v>47</v>
      </c>
      <c r="D1066" t="s">
        <v>36</v>
      </c>
      <c r="E1066">
        <v>7.5454999999999994E-2</v>
      </c>
    </row>
    <row r="1067" spans="1:5" x14ac:dyDescent="0.3">
      <c r="A1067">
        <v>25</v>
      </c>
      <c r="B1067">
        <v>225000</v>
      </c>
      <c r="C1067" t="s">
        <v>47</v>
      </c>
      <c r="D1067" t="s">
        <v>37</v>
      </c>
      <c r="E1067">
        <v>0.37616699999999997</v>
      </c>
    </row>
    <row r="1068" spans="1:5" x14ac:dyDescent="0.3">
      <c r="A1068">
        <v>25</v>
      </c>
      <c r="B1068">
        <v>225000</v>
      </c>
      <c r="C1068" t="s">
        <v>47</v>
      </c>
      <c r="D1068" t="s">
        <v>38</v>
      </c>
      <c r="E1068">
        <v>0.17976600000000001</v>
      </c>
    </row>
    <row r="1069" spans="1:5" x14ac:dyDescent="0.3">
      <c r="A1069">
        <v>25</v>
      </c>
      <c r="B1069">
        <v>225000</v>
      </c>
      <c r="C1069" t="s">
        <v>47</v>
      </c>
      <c r="D1069" t="s">
        <v>39</v>
      </c>
      <c r="E1069">
        <v>0.19321199999999999</v>
      </c>
    </row>
    <row r="1070" spans="1:5" x14ac:dyDescent="0.3">
      <c r="A1070">
        <v>25</v>
      </c>
      <c r="B1070">
        <v>225000</v>
      </c>
      <c r="C1070" t="s">
        <v>47</v>
      </c>
      <c r="D1070" t="s">
        <v>40</v>
      </c>
      <c r="E1070">
        <v>0.37549399999999999</v>
      </c>
    </row>
    <row r="1071" spans="1:5" x14ac:dyDescent="0.3">
      <c r="A1071">
        <v>25</v>
      </c>
      <c r="B1071">
        <v>225000</v>
      </c>
      <c r="C1071" t="s">
        <v>47</v>
      </c>
      <c r="D1071" t="s">
        <v>41</v>
      </c>
      <c r="E1071">
        <v>0.16672500000000001</v>
      </c>
    </row>
    <row r="1072" spans="1:5" x14ac:dyDescent="0.3">
      <c r="A1072">
        <v>25</v>
      </c>
      <c r="B1072">
        <v>225000</v>
      </c>
      <c r="C1072" t="s">
        <v>47</v>
      </c>
      <c r="D1072" t="s">
        <v>42</v>
      </c>
      <c r="E1072">
        <v>0.105168</v>
      </c>
    </row>
    <row r="1073" spans="1:5" x14ac:dyDescent="0.3">
      <c r="A1073">
        <v>25</v>
      </c>
      <c r="B1073">
        <v>225000</v>
      </c>
      <c r="C1073" t="s">
        <v>47</v>
      </c>
      <c r="D1073" t="s">
        <v>43</v>
      </c>
      <c r="E1073">
        <v>4.0646000000000002E-2</v>
      </c>
    </row>
    <row r="1074" spans="1:5" x14ac:dyDescent="0.3">
      <c r="A1074">
        <v>26</v>
      </c>
      <c r="B1074">
        <v>230000</v>
      </c>
      <c r="C1074" t="s">
        <v>45</v>
      </c>
      <c r="D1074" t="s">
        <v>28</v>
      </c>
      <c r="E1074">
        <v>147304.88121799999</v>
      </c>
    </row>
    <row r="1075" spans="1:5" x14ac:dyDescent="0.3">
      <c r="A1075">
        <v>26</v>
      </c>
      <c r="B1075">
        <v>230000</v>
      </c>
      <c r="C1075" t="s">
        <v>45</v>
      </c>
      <c r="D1075" t="s">
        <v>29</v>
      </c>
      <c r="E1075">
        <v>0.11165</v>
      </c>
    </row>
    <row r="1076" spans="1:5" x14ac:dyDescent="0.3">
      <c r="A1076">
        <v>26</v>
      </c>
      <c r="B1076">
        <v>230000</v>
      </c>
      <c r="C1076" t="s">
        <v>45</v>
      </c>
      <c r="D1076" t="s">
        <v>30</v>
      </c>
      <c r="E1076">
        <v>3.1546999999999999E-2</v>
      </c>
    </row>
    <row r="1077" spans="1:5" x14ac:dyDescent="0.3">
      <c r="A1077">
        <v>26</v>
      </c>
      <c r="B1077">
        <v>230000</v>
      </c>
      <c r="C1077" t="s">
        <v>45</v>
      </c>
      <c r="D1077" t="s">
        <v>31</v>
      </c>
      <c r="E1077">
        <v>2.1118999999999999E-2</v>
      </c>
    </row>
    <row r="1078" spans="1:5" x14ac:dyDescent="0.3">
      <c r="A1078">
        <v>26</v>
      </c>
      <c r="B1078">
        <v>230000</v>
      </c>
      <c r="C1078" t="s">
        <v>45</v>
      </c>
      <c r="D1078" t="s">
        <v>32</v>
      </c>
      <c r="E1078">
        <v>2.2331E-2</v>
      </c>
    </row>
    <row r="1079" spans="1:5" x14ac:dyDescent="0.3">
      <c r="A1079">
        <v>26</v>
      </c>
      <c r="B1079">
        <v>230000</v>
      </c>
      <c r="C1079" t="s">
        <v>45</v>
      </c>
      <c r="D1079" t="s">
        <v>33</v>
      </c>
      <c r="E1079">
        <v>34423.026217999999</v>
      </c>
    </row>
    <row r="1080" spans="1:5" x14ac:dyDescent="0.3">
      <c r="A1080">
        <v>26</v>
      </c>
      <c r="B1080">
        <v>230000</v>
      </c>
      <c r="C1080" t="s">
        <v>45</v>
      </c>
      <c r="D1080" t="s">
        <v>34</v>
      </c>
      <c r="E1080">
        <v>2.4445999999999999E-2</v>
      </c>
    </row>
    <row r="1081" spans="1:5" x14ac:dyDescent="0.3">
      <c r="A1081">
        <v>26</v>
      </c>
      <c r="B1081">
        <v>230000</v>
      </c>
      <c r="C1081" t="s">
        <v>45</v>
      </c>
      <c r="D1081" t="s">
        <v>35</v>
      </c>
      <c r="E1081">
        <v>48271.524445000003</v>
      </c>
    </row>
    <row r="1082" spans="1:5" x14ac:dyDescent="0.3">
      <c r="A1082">
        <v>26</v>
      </c>
      <c r="B1082">
        <v>230000</v>
      </c>
      <c r="C1082" t="s">
        <v>45</v>
      </c>
      <c r="D1082" t="s">
        <v>36</v>
      </c>
      <c r="E1082">
        <v>1.9816E-2</v>
      </c>
    </row>
    <row r="1083" spans="1:5" x14ac:dyDescent="0.3">
      <c r="A1083">
        <v>26</v>
      </c>
      <c r="B1083">
        <v>230000</v>
      </c>
      <c r="C1083" t="s">
        <v>45</v>
      </c>
      <c r="D1083" t="s">
        <v>37</v>
      </c>
      <c r="E1083">
        <v>9.2352000000000004E-2</v>
      </c>
    </row>
    <row r="1084" spans="1:5" x14ac:dyDescent="0.3">
      <c r="A1084">
        <v>26</v>
      </c>
      <c r="B1084">
        <v>230000</v>
      </c>
      <c r="C1084" t="s">
        <v>45</v>
      </c>
      <c r="D1084" t="s">
        <v>38</v>
      </c>
      <c r="E1084">
        <v>4.5192000000000003E-2</v>
      </c>
    </row>
    <row r="1085" spans="1:5" x14ac:dyDescent="0.3">
      <c r="A1085">
        <v>26</v>
      </c>
      <c r="B1085">
        <v>230000</v>
      </c>
      <c r="C1085" t="s">
        <v>45</v>
      </c>
      <c r="D1085" t="s">
        <v>39</v>
      </c>
      <c r="E1085">
        <v>3.9856000000000003E-2</v>
      </c>
    </row>
    <row r="1086" spans="1:5" x14ac:dyDescent="0.3">
      <c r="A1086">
        <v>26</v>
      </c>
      <c r="B1086">
        <v>230000</v>
      </c>
      <c r="C1086" t="s">
        <v>45</v>
      </c>
      <c r="D1086" t="s">
        <v>40</v>
      </c>
      <c r="E1086">
        <v>9.6657999999999994E-2</v>
      </c>
    </row>
    <row r="1087" spans="1:5" x14ac:dyDescent="0.3">
      <c r="A1087">
        <v>26</v>
      </c>
      <c r="B1087">
        <v>230000</v>
      </c>
      <c r="C1087" t="s">
        <v>45</v>
      </c>
      <c r="D1087" t="s">
        <v>41</v>
      </c>
      <c r="E1087">
        <v>4.3944999999999998E-2</v>
      </c>
    </row>
    <row r="1088" spans="1:5" x14ac:dyDescent="0.3">
      <c r="A1088">
        <v>26</v>
      </c>
      <c r="B1088">
        <v>230000</v>
      </c>
      <c r="C1088" t="s">
        <v>45</v>
      </c>
      <c r="D1088" t="s">
        <v>42</v>
      </c>
      <c r="E1088">
        <v>1.9831000000000001E-2</v>
      </c>
    </row>
    <row r="1089" spans="1:5" x14ac:dyDescent="0.3">
      <c r="A1089">
        <v>26</v>
      </c>
      <c r="B1089">
        <v>230000</v>
      </c>
      <c r="C1089" t="s">
        <v>45</v>
      </c>
      <c r="D1089" t="s">
        <v>43</v>
      </c>
      <c r="E1089">
        <v>1.1811E-2</v>
      </c>
    </row>
    <row r="1090" spans="1:5" x14ac:dyDescent="0.3">
      <c r="A1090">
        <v>26</v>
      </c>
      <c r="B1090">
        <v>230000</v>
      </c>
      <c r="C1090" t="s">
        <v>46</v>
      </c>
      <c r="D1090" t="s">
        <v>28</v>
      </c>
      <c r="E1090">
        <v>145004.84427</v>
      </c>
    </row>
    <row r="1091" spans="1:5" x14ac:dyDescent="0.3">
      <c r="A1091">
        <v>26</v>
      </c>
      <c r="B1091">
        <v>230000</v>
      </c>
      <c r="C1091" t="s">
        <v>46</v>
      </c>
      <c r="D1091" t="s">
        <v>29</v>
      </c>
      <c r="E1091">
        <v>0.44324400000000003</v>
      </c>
    </row>
    <row r="1092" spans="1:5" x14ac:dyDescent="0.3">
      <c r="A1092">
        <v>26</v>
      </c>
      <c r="B1092">
        <v>230000</v>
      </c>
      <c r="C1092" t="s">
        <v>46</v>
      </c>
      <c r="D1092" t="s">
        <v>30</v>
      </c>
      <c r="E1092">
        <v>0.114742</v>
      </c>
    </row>
    <row r="1093" spans="1:5" x14ac:dyDescent="0.3">
      <c r="A1093">
        <v>26</v>
      </c>
      <c r="B1093">
        <v>230000</v>
      </c>
      <c r="C1093" t="s">
        <v>46</v>
      </c>
      <c r="D1093" t="s">
        <v>31</v>
      </c>
      <c r="E1093">
        <v>8.6973999999999996E-2</v>
      </c>
    </row>
    <row r="1094" spans="1:5" x14ac:dyDescent="0.3">
      <c r="A1094">
        <v>26</v>
      </c>
      <c r="B1094">
        <v>230000</v>
      </c>
      <c r="C1094" t="s">
        <v>46</v>
      </c>
      <c r="D1094" t="s">
        <v>32</v>
      </c>
      <c r="E1094">
        <v>9.1162999999999994E-2</v>
      </c>
    </row>
    <row r="1095" spans="1:5" x14ac:dyDescent="0.3">
      <c r="A1095">
        <v>26</v>
      </c>
      <c r="B1095">
        <v>230000</v>
      </c>
      <c r="C1095" t="s">
        <v>46</v>
      </c>
      <c r="D1095" t="s">
        <v>33</v>
      </c>
      <c r="E1095">
        <v>36721.980431999997</v>
      </c>
    </row>
    <row r="1096" spans="1:5" x14ac:dyDescent="0.3">
      <c r="A1096">
        <v>26</v>
      </c>
      <c r="B1096">
        <v>230000</v>
      </c>
      <c r="C1096" t="s">
        <v>46</v>
      </c>
      <c r="D1096" t="s">
        <v>34</v>
      </c>
      <c r="E1096">
        <v>0.10856399999999999</v>
      </c>
    </row>
    <row r="1097" spans="1:5" x14ac:dyDescent="0.3">
      <c r="A1097">
        <v>26</v>
      </c>
      <c r="B1097">
        <v>230000</v>
      </c>
      <c r="C1097" t="s">
        <v>46</v>
      </c>
      <c r="D1097" t="s">
        <v>35</v>
      </c>
      <c r="E1097">
        <v>48270.893004999998</v>
      </c>
    </row>
    <row r="1098" spans="1:5" x14ac:dyDescent="0.3">
      <c r="A1098">
        <v>26</v>
      </c>
      <c r="B1098">
        <v>230000</v>
      </c>
      <c r="C1098" t="s">
        <v>46</v>
      </c>
      <c r="D1098" t="s">
        <v>36</v>
      </c>
      <c r="E1098">
        <v>8.1491999999999995E-2</v>
      </c>
    </row>
    <row r="1099" spans="1:5" x14ac:dyDescent="0.3">
      <c r="A1099">
        <v>26</v>
      </c>
      <c r="B1099">
        <v>230000</v>
      </c>
      <c r="C1099" t="s">
        <v>46</v>
      </c>
      <c r="D1099" t="s">
        <v>37</v>
      </c>
      <c r="E1099">
        <v>0.36465900000000001</v>
      </c>
    </row>
    <row r="1100" spans="1:5" x14ac:dyDescent="0.3">
      <c r="A1100">
        <v>26</v>
      </c>
      <c r="B1100">
        <v>230000</v>
      </c>
      <c r="C1100" t="s">
        <v>46</v>
      </c>
      <c r="D1100" t="s">
        <v>38</v>
      </c>
      <c r="E1100">
        <v>0.18113000000000001</v>
      </c>
    </row>
    <row r="1101" spans="1:5" x14ac:dyDescent="0.3">
      <c r="A1101">
        <v>26</v>
      </c>
      <c r="B1101">
        <v>230000</v>
      </c>
      <c r="C1101" t="s">
        <v>46</v>
      </c>
      <c r="D1101" t="s">
        <v>39</v>
      </c>
      <c r="E1101">
        <v>0.164109</v>
      </c>
    </row>
    <row r="1102" spans="1:5" x14ac:dyDescent="0.3">
      <c r="A1102">
        <v>26</v>
      </c>
      <c r="B1102">
        <v>230000</v>
      </c>
      <c r="C1102" t="s">
        <v>46</v>
      </c>
      <c r="D1102" t="s">
        <v>40</v>
      </c>
      <c r="E1102">
        <v>0.38104100000000002</v>
      </c>
    </row>
    <row r="1103" spans="1:5" x14ac:dyDescent="0.3">
      <c r="A1103">
        <v>26</v>
      </c>
      <c r="B1103">
        <v>230000</v>
      </c>
      <c r="C1103" t="s">
        <v>46</v>
      </c>
      <c r="D1103" t="s">
        <v>41</v>
      </c>
      <c r="E1103">
        <v>0.17391599999999999</v>
      </c>
    </row>
    <row r="1104" spans="1:5" x14ac:dyDescent="0.3">
      <c r="A1104">
        <v>26</v>
      </c>
      <c r="B1104">
        <v>230000</v>
      </c>
      <c r="C1104" t="s">
        <v>46</v>
      </c>
      <c r="D1104" t="s">
        <v>42</v>
      </c>
      <c r="E1104">
        <v>8.3959000000000006E-2</v>
      </c>
    </row>
    <row r="1105" spans="1:5" x14ac:dyDescent="0.3">
      <c r="A1105">
        <v>26</v>
      </c>
      <c r="B1105">
        <v>230000</v>
      </c>
      <c r="C1105" t="s">
        <v>46</v>
      </c>
      <c r="D1105" t="s">
        <v>43</v>
      </c>
      <c r="E1105">
        <v>4.8647999999999997E-2</v>
      </c>
    </row>
    <row r="1106" spans="1:5" x14ac:dyDescent="0.3">
      <c r="A1106">
        <v>27</v>
      </c>
      <c r="B1106">
        <v>235000</v>
      </c>
      <c r="C1106" t="s">
        <v>45</v>
      </c>
      <c r="D1106" t="s">
        <v>28</v>
      </c>
      <c r="E1106">
        <v>147508.55742900001</v>
      </c>
    </row>
    <row r="1107" spans="1:5" x14ac:dyDescent="0.3">
      <c r="A1107">
        <v>27</v>
      </c>
      <c r="B1107">
        <v>235000</v>
      </c>
      <c r="C1107" t="s">
        <v>45</v>
      </c>
      <c r="D1107" t="s">
        <v>29</v>
      </c>
      <c r="E1107">
        <v>8.9593999999999993E-2</v>
      </c>
    </row>
    <row r="1108" spans="1:5" x14ac:dyDescent="0.3">
      <c r="A1108">
        <v>27</v>
      </c>
      <c r="B1108">
        <v>235000</v>
      </c>
      <c r="C1108" t="s">
        <v>45</v>
      </c>
      <c r="D1108" t="s">
        <v>30</v>
      </c>
      <c r="E1108">
        <v>2.0841999999999999E-2</v>
      </c>
    </row>
    <row r="1109" spans="1:5" x14ac:dyDescent="0.3">
      <c r="A1109">
        <v>27</v>
      </c>
      <c r="B1109">
        <v>235000</v>
      </c>
      <c r="C1109" t="s">
        <v>45</v>
      </c>
      <c r="D1109" t="s">
        <v>31</v>
      </c>
      <c r="E1109">
        <v>1.7926000000000001E-2</v>
      </c>
    </row>
    <row r="1110" spans="1:5" x14ac:dyDescent="0.3">
      <c r="A1110">
        <v>27</v>
      </c>
      <c r="B1110">
        <v>235000</v>
      </c>
      <c r="C1110" t="s">
        <v>45</v>
      </c>
      <c r="D1110" t="s">
        <v>32</v>
      </c>
      <c r="E1110">
        <v>1.865E-2</v>
      </c>
    </row>
    <row r="1111" spans="1:5" x14ac:dyDescent="0.3">
      <c r="A1111">
        <v>27</v>
      </c>
      <c r="B1111">
        <v>235000</v>
      </c>
      <c r="C1111" t="s">
        <v>45</v>
      </c>
      <c r="D1111" t="s">
        <v>33</v>
      </c>
      <c r="E1111">
        <v>39219.451863000002</v>
      </c>
    </row>
    <row r="1112" spans="1:5" x14ac:dyDescent="0.3">
      <c r="A1112">
        <v>27</v>
      </c>
      <c r="B1112">
        <v>235000</v>
      </c>
      <c r="C1112" t="s">
        <v>45</v>
      </c>
      <c r="D1112" t="s">
        <v>34</v>
      </c>
      <c r="E1112">
        <v>1.8144E-2</v>
      </c>
    </row>
    <row r="1113" spans="1:5" x14ac:dyDescent="0.3">
      <c r="A1113">
        <v>27</v>
      </c>
      <c r="B1113">
        <v>235000</v>
      </c>
      <c r="C1113" t="s">
        <v>45</v>
      </c>
      <c r="D1113" t="s">
        <v>35</v>
      </c>
      <c r="E1113">
        <v>48271.534093000002</v>
      </c>
    </row>
    <row r="1114" spans="1:5" x14ac:dyDescent="0.3">
      <c r="A1114">
        <v>27</v>
      </c>
      <c r="B1114">
        <v>235000</v>
      </c>
      <c r="C1114" t="s">
        <v>45</v>
      </c>
      <c r="D1114" t="s">
        <v>36</v>
      </c>
      <c r="E1114">
        <v>1.6454E-2</v>
      </c>
    </row>
    <row r="1115" spans="1:5" x14ac:dyDescent="0.3">
      <c r="A1115">
        <v>27</v>
      </c>
      <c r="B1115">
        <v>235000</v>
      </c>
      <c r="C1115" t="s">
        <v>45</v>
      </c>
      <c r="D1115" t="s">
        <v>37</v>
      </c>
      <c r="E1115">
        <v>7.3417999999999997E-2</v>
      </c>
    </row>
    <row r="1116" spans="1:5" x14ac:dyDescent="0.3">
      <c r="A1116">
        <v>27</v>
      </c>
      <c r="B1116">
        <v>235000</v>
      </c>
      <c r="C1116" t="s">
        <v>45</v>
      </c>
      <c r="D1116" t="s">
        <v>38</v>
      </c>
      <c r="E1116">
        <v>3.7361999999999999E-2</v>
      </c>
    </row>
    <row r="1117" spans="1:5" x14ac:dyDescent="0.3">
      <c r="A1117">
        <v>27</v>
      </c>
      <c r="B1117">
        <v>235000</v>
      </c>
      <c r="C1117" t="s">
        <v>45</v>
      </c>
      <c r="D1117" t="s">
        <v>39</v>
      </c>
      <c r="E1117">
        <v>3.2952000000000002E-2</v>
      </c>
    </row>
    <row r="1118" spans="1:5" x14ac:dyDescent="0.3">
      <c r="A1118">
        <v>27</v>
      </c>
      <c r="B1118">
        <v>235000</v>
      </c>
      <c r="C1118" t="s">
        <v>45</v>
      </c>
      <c r="D1118" t="s">
        <v>40</v>
      </c>
      <c r="E1118">
        <v>7.6262999999999997E-2</v>
      </c>
    </row>
    <row r="1119" spans="1:5" x14ac:dyDescent="0.3">
      <c r="A1119">
        <v>27</v>
      </c>
      <c r="B1119">
        <v>235000</v>
      </c>
      <c r="C1119" t="s">
        <v>45</v>
      </c>
      <c r="D1119" t="s">
        <v>41</v>
      </c>
      <c r="E1119">
        <v>3.5982E-2</v>
      </c>
    </row>
    <row r="1120" spans="1:5" x14ac:dyDescent="0.3">
      <c r="A1120">
        <v>27</v>
      </c>
      <c r="B1120">
        <v>235000</v>
      </c>
      <c r="C1120" t="s">
        <v>45</v>
      </c>
      <c r="D1120" t="s">
        <v>42</v>
      </c>
      <c r="E1120">
        <v>1.6115000000000001E-2</v>
      </c>
    </row>
    <row r="1121" spans="1:5" x14ac:dyDescent="0.3">
      <c r="A1121">
        <v>27</v>
      </c>
      <c r="B1121">
        <v>235000</v>
      </c>
      <c r="C1121" t="s">
        <v>45</v>
      </c>
      <c r="D1121" t="s">
        <v>43</v>
      </c>
      <c r="E1121">
        <v>9.5449999999999997E-3</v>
      </c>
    </row>
    <row r="1122" spans="1:5" x14ac:dyDescent="0.3">
      <c r="A1122">
        <v>27</v>
      </c>
      <c r="B1122">
        <v>235000</v>
      </c>
      <c r="C1122" t="s">
        <v>46</v>
      </c>
      <c r="D1122" t="s">
        <v>28</v>
      </c>
      <c r="E1122">
        <v>145092.58261700001</v>
      </c>
    </row>
    <row r="1123" spans="1:5" x14ac:dyDescent="0.3">
      <c r="A1123">
        <v>27</v>
      </c>
      <c r="B1123">
        <v>235000</v>
      </c>
      <c r="C1123" t="s">
        <v>46</v>
      </c>
      <c r="D1123" t="s">
        <v>29</v>
      </c>
      <c r="E1123">
        <v>0.30974600000000002</v>
      </c>
    </row>
    <row r="1124" spans="1:5" x14ac:dyDescent="0.3">
      <c r="A1124">
        <v>27</v>
      </c>
      <c r="B1124">
        <v>235000</v>
      </c>
      <c r="C1124" t="s">
        <v>46</v>
      </c>
      <c r="D1124" t="s">
        <v>30</v>
      </c>
      <c r="E1124">
        <v>8.1309000000000006E-2</v>
      </c>
    </row>
    <row r="1125" spans="1:5" x14ac:dyDescent="0.3">
      <c r="A1125">
        <v>27</v>
      </c>
      <c r="B1125">
        <v>235000</v>
      </c>
      <c r="C1125" t="s">
        <v>46</v>
      </c>
      <c r="D1125" t="s">
        <v>31</v>
      </c>
      <c r="E1125">
        <v>6.1162000000000001E-2</v>
      </c>
    </row>
    <row r="1126" spans="1:5" x14ac:dyDescent="0.3">
      <c r="A1126">
        <v>27</v>
      </c>
      <c r="B1126">
        <v>235000</v>
      </c>
      <c r="C1126" t="s">
        <v>46</v>
      </c>
      <c r="D1126" t="s">
        <v>32</v>
      </c>
      <c r="E1126">
        <v>6.4087000000000005E-2</v>
      </c>
    </row>
    <row r="1127" spans="1:5" x14ac:dyDescent="0.3">
      <c r="A1127">
        <v>27</v>
      </c>
      <c r="B1127">
        <v>235000</v>
      </c>
      <c r="C1127" t="s">
        <v>46</v>
      </c>
      <c r="D1127" t="s">
        <v>33</v>
      </c>
      <c r="E1127">
        <v>41634.565078</v>
      </c>
    </row>
    <row r="1128" spans="1:5" x14ac:dyDescent="0.3">
      <c r="A1128">
        <v>27</v>
      </c>
      <c r="B1128">
        <v>235000</v>
      </c>
      <c r="C1128" t="s">
        <v>46</v>
      </c>
      <c r="D1128" t="s">
        <v>34</v>
      </c>
      <c r="E1128">
        <v>7.6887999999999998E-2</v>
      </c>
    </row>
    <row r="1129" spans="1:5" x14ac:dyDescent="0.3">
      <c r="A1129">
        <v>27</v>
      </c>
      <c r="B1129">
        <v>235000</v>
      </c>
      <c r="C1129" t="s">
        <v>46</v>
      </c>
      <c r="D1129" t="s">
        <v>35</v>
      </c>
      <c r="E1129">
        <v>48271.270697</v>
      </c>
    </row>
    <row r="1130" spans="1:5" x14ac:dyDescent="0.3">
      <c r="A1130">
        <v>27</v>
      </c>
      <c r="B1130">
        <v>235000</v>
      </c>
      <c r="C1130" t="s">
        <v>46</v>
      </c>
      <c r="D1130" t="s">
        <v>36</v>
      </c>
      <c r="E1130">
        <v>5.7135999999999999E-2</v>
      </c>
    </row>
    <row r="1131" spans="1:5" x14ac:dyDescent="0.3">
      <c r="A1131">
        <v>27</v>
      </c>
      <c r="B1131">
        <v>235000</v>
      </c>
      <c r="C1131" t="s">
        <v>46</v>
      </c>
      <c r="D1131" t="s">
        <v>37</v>
      </c>
      <c r="E1131">
        <v>0.256299</v>
      </c>
    </row>
    <row r="1132" spans="1:5" x14ac:dyDescent="0.3">
      <c r="A1132">
        <v>27</v>
      </c>
      <c r="B1132">
        <v>235000</v>
      </c>
      <c r="C1132" t="s">
        <v>46</v>
      </c>
      <c r="D1132" t="s">
        <v>38</v>
      </c>
      <c r="E1132">
        <v>0.131525</v>
      </c>
    </row>
    <row r="1133" spans="1:5" x14ac:dyDescent="0.3">
      <c r="A1133">
        <v>27</v>
      </c>
      <c r="B1133">
        <v>235000</v>
      </c>
      <c r="C1133" t="s">
        <v>46</v>
      </c>
      <c r="D1133" t="s">
        <v>39</v>
      </c>
      <c r="E1133">
        <v>0.113508</v>
      </c>
    </row>
    <row r="1134" spans="1:5" x14ac:dyDescent="0.3">
      <c r="A1134">
        <v>27</v>
      </c>
      <c r="B1134">
        <v>235000</v>
      </c>
      <c r="C1134" t="s">
        <v>46</v>
      </c>
      <c r="D1134" t="s">
        <v>40</v>
      </c>
      <c r="E1134">
        <v>0.26617299999999999</v>
      </c>
    </row>
    <row r="1135" spans="1:5" x14ac:dyDescent="0.3">
      <c r="A1135">
        <v>27</v>
      </c>
      <c r="B1135">
        <v>235000</v>
      </c>
      <c r="C1135" t="s">
        <v>46</v>
      </c>
      <c r="D1135" t="s">
        <v>41</v>
      </c>
      <c r="E1135">
        <v>0.12196700000000001</v>
      </c>
    </row>
    <row r="1136" spans="1:5" x14ac:dyDescent="0.3">
      <c r="A1136">
        <v>27</v>
      </c>
      <c r="B1136">
        <v>235000</v>
      </c>
      <c r="C1136" t="s">
        <v>46</v>
      </c>
      <c r="D1136" t="s">
        <v>42</v>
      </c>
      <c r="E1136">
        <v>5.8665000000000002E-2</v>
      </c>
    </row>
    <row r="1137" spans="1:5" x14ac:dyDescent="0.3">
      <c r="A1137">
        <v>27</v>
      </c>
      <c r="B1137">
        <v>235000</v>
      </c>
      <c r="C1137" t="s">
        <v>46</v>
      </c>
      <c r="D1137" t="s">
        <v>43</v>
      </c>
      <c r="E1137">
        <v>3.4840000000000003E-2</v>
      </c>
    </row>
    <row r="1138" spans="1:5" x14ac:dyDescent="0.3">
      <c r="A1138">
        <v>28</v>
      </c>
      <c r="B1138">
        <v>240000</v>
      </c>
      <c r="C1138" t="s">
        <v>45</v>
      </c>
      <c r="D1138" t="s">
        <v>28</v>
      </c>
      <c r="E1138">
        <v>147670.952311</v>
      </c>
    </row>
    <row r="1139" spans="1:5" x14ac:dyDescent="0.3">
      <c r="A1139">
        <v>28</v>
      </c>
      <c r="B1139">
        <v>240000</v>
      </c>
      <c r="C1139" t="s">
        <v>45</v>
      </c>
      <c r="D1139" t="s">
        <v>29</v>
      </c>
      <c r="E1139">
        <v>0.18882099999999999</v>
      </c>
    </row>
    <row r="1140" spans="1:5" x14ac:dyDescent="0.3">
      <c r="A1140">
        <v>28</v>
      </c>
      <c r="B1140">
        <v>240000</v>
      </c>
      <c r="C1140" t="s">
        <v>45</v>
      </c>
      <c r="D1140" t="s">
        <v>30</v>
      </c>
      <c r="E1140">
        <v>5.0798000000000003E-2</v>
      </c>
    </row>
    <row r="1141" spans="1:5" x14ac:dyDescent="0.3">
      <c r="A1141">
        <v>28</v>
      </c>
      <c r="B1141">
        <v>240000</v>
      </c>
      <c r="C1141" t="s">
        <v>45</v>
      </c>
      <c r="D1141" t="s">
        <v>31</v>
      </c>
      <c r="E1141">
        <v>3.9130999999999999E-2</v>
      </c>
    </row>
    <row r="1142" spans="1:5" x14ac:dyDescent="0.3">
      <c r="A1142">
        <v>28</v>
      </c>
      <c r="B1142">
        <v>240000</v>
      </c>
      <c r="C1142" t="s">
        <v>45</v>
      </c>
      <c r="D1142" t="s">
        <v>32</v>
      </c>
      <c r="E1142">
        <v>4.0663999999999999E-2</v>
      </c>
    </row>
    <row r="1143" spans="1:5" x14ac:dyDescent="0.3">
      <c r="A1143">
        <v>28</v>
      </c>
      <c r="B1143">
        <v>240000</v>
      </c>
      <c r="C1143" t="s">
        <v>45</v>
      </c>
      <c r="D1143" t="s">
        <v>33</v>
      </c>
      <c r="E1143">
        <v>44056.700919000003</v>
      </c>
    </row>
    <row r="1144" spans="1:5" x14ac:dyDescent="0.3">
      <c r="A1144">
        <v>28</v>
      </c>
      <c r="B1144">
        <v>240000</v>
      </c>
      <c r="C1144" t="s">
        <v>45</v>
      </c>
      <c r="D1144" t="s">
        <v>34</v>
      </c>
      <c r="E1144">
        <v>3.9217000000000002E-2</v>
      </c>
    </row>
    <row r="1145" spans="1:5" x14ac:dyDescent="0.3">
      <c r="A1145">
        <v>28</v>
      </c>
      <c r="B1145">
        <v>240000</v>
      </c>
      <c r="C1145" t="s">
        <v>45</v>
      </c>
      <c r="D1145" t="s">
        <v>35</v>
      </c>
      <c r="E1145">
        <v>48271.373889000002</v>
      </c>
    </row>
    <row r="1146" spans="1:5" x14ac:dyDescent="0.3">
      <c r="A1146">
        <v>28</v>
      </c>
      <c r="B1146">
        <v>240000</v>
      </c>
      <c r="C1146" t="s">
        <v>45</v>
      </c>
      <c r="D1146" t="s">
        <v>36</v>
      </c>
      <c r="E1146">
        <v>3.5820999999999999E-2</v>
      </c>
    </row>
    <row r="1147" spans="1:5" x14ac:dyDescent="0.3">
      <c r="A1147">
        <v>28</v>
      </c>
      <c r="B1147">
        <v>240000</v>
      </c>
      <c r="C1147" t="s">
        <v>45</v>
      </c>
      <c r="D1147" t="s">
        <v>37</v>
      </c>
      <c r="E1147">
        <v>0.15202099999999999</v>
      </c>
    </row>
    <row r="1148" spans="1:5" x14ac:dyDescent="0.3">
      <c r="A1148">
        <v>28</v>
      </c>
      <c r="B1148">
        <v>240000</v>
      </c>
      <c r="C1148" t="s">
        <v>45</v>
      </c>
      <c r="D1148" t="s">
        <v>38</v>
      </c>
      <c r="E1148">
        <v>7.9021999999999995E-2</v>
      </c>
    </row>
    <row r="1149" spans="1:5" x14ac:dyDescent="0.3">
      <c r="A1149">
        <v>28</v>
      </c>
      <c r="B1149">
        <v>240000</v>
      </c>
      <c r="C1149" t="s">
        <v>45</v>
      </c>
      <c r="D1149" t="s">
        <v>39</v>
      </c>
      <c r="E1149">
        <v>7.1593000000000004E-2</v>
      </c>
    </row>
    <row r="1150" spans="1:5" x14ac:dyDescent="0.3">
      <c r="A1150">
        <v>28</v>
      </c>
      <c r="B1150">
        <v>240000</v>
      </c>
      <c r="C1150" t="s">
        <v>45</v>
      </c>
      <c r="D1150" t="s">
        <v>40</v>
      </c>
      <c r="E1150">
        <v>0.17132800000000001</v>
      </c>
    </row>
    <row r="1151" spans="1:5" x14ac:dyDescent="0.3">
      <c r="A1151">
        <v>28</v>
      </c>
      <c r="B1151">
        <v>240000</v>
      </c>
      <c r="C1151" t="s">
        <v>45</v>
      </c>
      <c r="D1151" t="s">
        <v>41</v>
      </c>
      <c r="E1151">
        <v>7.5539999999999996E-2</v>
      </c>
    </row>
    <row r="1152" spans="1:5" x14ac:dyDescent="0.3">
      <c r="A1152">
        <v>28</v>
      </c>
      <c r="B1152">
        <v>240000</v>
      </c>
      <c r="C1152" t="s">
        <v>45</v>
      </c>
      <c r="D1152" t="s">
        <v>42</v>
      </c>
      <c r="E1152">
        <v>3.5055000000000003E-2</v>
      </c>
    </row>
    <row r="1153" spans="1:5" x14ac:dyDescent="0.3">
      <c r="A1153">
        <v>28</v>
      </c>
      <c r="B1153">
        <v>240000</v>
      </c>
      <c r="C1153" t="s">
        <v>45</v>
      </c>
      <c r="D1153" t="s">
        <v>43</v>
      </c>
      <c r="E1153">
        <v>2.0990000000000002E-2</v>
      </c>
    </row>
    <row r="1154" spans="1:5" x14ac:dyDescent="0.3">
      <c r="A1154">
        <v>28</v>
      </c>
      <c r="B1154">
        <v>240000</v>
      </c>
      <c r="C1154" t="s">
        <v>46</v>
      </c>
      <c r="D1154" t="s">
        <v>28</v>
      </c>
      <c r="E1154">
        <v>145186.368949</v>
      </c>
    </row>
    <row r="1155" spans="1:5" x14ac:dyDescent="0.3">
      <c r="A1155">
        <v>28</v>
      </c>
      <c r="B1155">
        <v>240000</v>
      </c>
      <c r="C1155" t="s">
        <v>46</v>
      </c>
      <c r="D1155" t="s">
        <v>29</v>
      </c>
      <c r="E1155">
        <v>0.29530699999999999</v>
      </c>
    </row>
    <row r="1156" spans="1:5" x14ac:dyDescent="0.3">
      <c r="A1156">
        <v>28</v>
      </c>
      <c r="B1156">
        <v>240000</v>
      </c>
      <c r="C1156" t="s">
        <v>46</v>
      </c>
      <c r="D1156" t="s">
        <v>30</v>
      </c>
      <c r="E1156">
        <v>7.8810000000000005E-2</v>
      </c>
    </row>
    <row r="1157" spans="1:5" x14ac:dyDescent="0.3">
      <c r="A1157">
        <v>28</v>
      </c>
      <c r="B1157">
        <v>240000</v>
      </c>
      <c r="C1157" t="s">
        <v>46</v>
      </c>
      <c r="D1157" t="s">
        <v>31</v>
      </c>
      <c r="E1157">
        <v>5.7348999999999997E-2</v>
      </c>
    </row>
    <row r="1158" spans="1:5" x14ac:dyDescent="0.3">
      <c r="A1158">
        <v>28</v>
      </c>
      <c r="B1158">
        <v>240000</v>
      </c>
      <c r="C1158" t="s">
        <v>46</v>
      </c>
      <c r="D1158" t="s">
        <v>32</v>
      </c>
      <c r="E1158">
        <v>6.0689E-2</v>
      </c>
    </row>
    <row r="1159" spans="1:5" x14ac:dyDescent="0.3">
      <c r="A1159">
        <v>28</v>
      </c>
      <c r="B1159">
        <v>240000</v>
      </c>
      <c r="C1159" t="s">
        <v>46</v>
      </c>
      <c r="D1159" t="s">
        <v>33</v>
      </c>
      <c r="E1159">
        <v>46540.795149999998</v>
      </c>
    </row>
    <row r="1160" spans="1:5" x14ac:dyDescent="0.3">
      <c r="A1160">
        <v>28</v>
      </c>
      <c r="B1160">
        <v>240000</v>
      </c>
      <c r="C1160" t="s">
        <v>46</v>
      </c>
      <c r="D1160" t="s">
        <v>34</v>
      </c>
      <c r="E1160">
        <v>6.1284999999999999E-2</v>
      </c>
    </row>
    <row r="1161" spans="1:5" x14ac:dyDescent="0.3">
      <c r="A1161">
        <v>28</v>
      </c>
      <c r="B1161">
        <v>240000</v>
      </c>
      <c r="C1161" t="s">
        <v>46</v>
      </c>
      <c r="D1161" t="s">
        <v>35</v>
      </c>
      <c r="E1161">
        <v>48271.319468000002</v>
      </c>
    </row>
    <row r="1162" spans="1:5" x14ac:dyDescent="0.3">
      <c r="A1162">
        <v>28</v>
      </c>
      <c r="B1162">
        <v>240000</v>
      </c>
      <c r="C1162" t="s">
        <v>46</v>
      </c>
      <c r="D1162" t="s">
        <v>36</v>
      </c>
      <c r="E1162">
        <v>5.2429999999999997E-2</v>
      </c>
    </row>
    <row r="1163" spans="1:5" x14ac:dyDescent="0.3">
      <c r="A1163">
        <v>28</v>
      </c>
      <c r="B1163">
        <v>240000</v>
      </c>
      <c r="C1163" t="s">
        <v>46</v>
      </c>
      <c r="D1163" t="s">
        <v>37</v>
      </c>
      <c r="E1163">
        <v>0.252965</v>
      </c>
    </row>
    <row r="1164" spans="1:5" x14ac:dyDescent="0.3">
      <c r="A1164">
        <v>28</v>
      </c>
      <c r="B1164">
        <v>240000</v>
      </c>
      <c r="C1164" t="s">
        <v>46</v>
      </c>
      <c r="D1164" t="s">
        <v>38</v>
      </c>
      <c r="E1164">
        <v>0.122373</v>
      </c>
    </row>
    <row r="1165" spans="1:5" x14ac:dyDescent="0.3">
      <c r="A1165">
        <v>28</v>
      </c>
      <c r="B1165">
        <v>240000</v>
      </c>
      <c r="C1165" t="s">
        <v>46</v>
      </c>
      <c r="D1165" t="s">
        <v>39</v>
      </c>
      <c r="E1165">
        <v>0.109759</v>
      </c>
    </row>
    <row r="1166" spans="1:5" x14ac:dyDescent="0.3">
      <c r="A1166">
        <v>28</v>
      </c>
      <c r="B1166">
        <v>240000</v>
      </c>
      <c r="C1166" t="s">
        <v>46</v>
      </c>
      <c r="D1166" t="s">
        <v>40</v>
      </c>
      <c r="E1166">
        <v>0.26961200000000002</v>
      </c>
    </row>
    <row r="1167" spans="1:5" x14ac:dyDescent="0.3">
      <c r="A1167">
        <v>28</v>
      </c>
      <c r="B1167">
        <v>240000</v>
      </c>
      <c r="C1167" t="s">
        <v>46</v>
      </c>
      <c r="D1167" t="s">
        <v>41</v>
      </c>
      <c r="E1167">
        <v>0.11364299999999999</v>
      </c>
    </row>
    <row r="1168" spans="1:5" x14ac:dyDescent="0.3">
      <c r="A1168">
        <v>28</v>
      </c>
      <c r="B1168">
        <v>240000</v>
      </c>
      <c r="C1168" t="s">
        <v>46</v>
      </c>
      <c r="D1168" t="s">
        <v>42</v>
      </c>
      <c r="E1168">
        <v>5.3325999999999998E-2</v>
      </c>
    </row>
    <row r="1169" spans="1:5" x14ac:dyDescent="0.3">
      <c r="A1169">
        <v>28</v>
      </c>
      <c r="B1169">
        <v>240000</v>
      </c>
      <c r="C1169" t="s">
        <v>46</v>
      </c>
      <c r="D1169" t="s">
        <v>43</v>
      </c>
      <c r="E1169">
        <v>3.0661000000000001E-2</v>
      </c>
    </row>
    <row r="1170" spans="1:5" x14ac:dyDescent="0.3">
      <c r="A1170">
        <v>29</v>
      </c>
      <c r="B1170">
        <v>245000</v>
      </c>
      <c r="C1170" t="s">
        <v>45</v>
      </c>
      <c r="D1170" t="s">
        <v>28</v>
      </c>
      <c r="E1170">
        <v>147549.01644899999</v>
      </c>
    </row>
    <row r="1171" spans="1:5" x14ac:dyDescent="0.3">
      <c r="A1171">
        <v>29</v>
      </c>
      <c r="B1171">
        <v>245000</v>
      </c>
      <c r="C1171" t="s">
        <v>45</v>
      </c>
      <c r="D1171" t="s">
        <v>29</v>
      </c>
      <c r="E1171">
        <v>0.190522</v>
      </c>
    </row>
    <row r="1172" spans="1:5" x14ac:dyDescent="0.3">
      <c r="A1172">
        <v>29</v>
      </c>
      <c r="B1172">
        <v>245000</v>
      </c>
      <c r="C1172" t="s">
        <v>45</v>
      </c>
      <c r="D1172" t="s">
        <v>30</v>
      </c>
      <c r="E1172">
        <v>5.1732E-2</v>
      </c>
    </row>
    <row r="1173" spans="1:5" x14ac:dyDescent="0.3">
      <c r="A1173">
        <v>29</v>
      </c>
      <c r="B1173">
        <v>245000</v>
      </c>
      <c r="C1173" t="s">
        <v>45</v>
      </c>
      <c r="D1173" t="s">
        <v>31</v>
      </c>
      <c r="E1173">
        <v>3.9469999999999998E-2</v>
      </c>
    </row>
    <row r="1174" spans="1:5" x14ac:dyDescent="0.3">
      <c r="A1174">
        <v>29</v>
      </c>
      <c r="B1174">
        <v>245000</v>
      </c>
      <c r="C1174" t="s">
        <v>45</v>
      </c>
      <c r="D1174" t="s">
        <v>32</v>
      </c>
      <c r="E1174">
        <v>4.1732999999999999E-2</v>
      </c>
    </row>
    <row r="1175" spans="1:5" x14ac:dyDescent="0.3">
      <c r="A1175">
        <v>29</v>
      </c>
      <c r="B1175">
        <v>245000</v>
      </c>
      <c r="C1175" t="s">
        <v>45</v>
      </c>
      <c r="D1175" t="s">
        <v>33</v>
      </c>
      <c r="E1175">
        <v>49178.709727000001</v>
      </c>
    </row>
    <row r="1176" spans="1:5" x14ac:dyDescent="0.3">
      <c r="A1176">
        <v>29</v>
      </c>
      <c r="B1176">
        <v>245000</v>
      </c>
      <c r="C1176" t="s">
        <v>45</v>
      </c>
      <c r="D1176" t="s">
        <v>34</v>
      </c>
      <c r="E1176">
        <v>3.9393999999999998E-2</v>
      </c>
    </row>
    <row r="1177" spans="1:5" x14ac:dyDescent="0.3">
      <c r="A1177">
        <v>29</v>
      </c>
      <c r="B1177">
        <v>245000</v>
      </c>
      <c r="C1177" t="s">
        <v>45</v>
      </c>
      <c r="D1177" t="s">
        <v>35</v>
      </c>
      <c r="E1177">
        <v>48271.288411000001</v>
      </c>
    </row>
    <row r="1178" spans="1:5" x14ac:dyDescent="0.3">
      <c r="A1178">
        <v>29</v>
      </c>
      <c r="B1178">
        <v>245000</v>
      </c>
      <c r="C1178" t="s">
        <v>45</v>
      </c>
      <c r="D1178" t="s">
        <v>36</v>
      </c>
      <c r="E1178">
        <v>3.6034999999999998E-2</v>
      </c>
    </row>
    <row r="1179" spans="1:5" x14ac:dyDescent="0.3">
      <c r="A1179">
        <v>29</v>
      </c>
      <c r="B1179">
        <v>245000</v>
      </c>
      <c r="C1179" t="s">
        <v>45</v>
      </c>
      <c r="D1179" t="s">
        <v>37</v>
      </c>
      <c r="E1179">
        <v>0.14918799999999999</v>
      </c>
    </row>
    <row r="1180" spans="1:5" x14ac:dyDescent="0.3">
      <c r="A1180">
        <v>29</v>
      </c>
      <c r="B1180">
        <v>245000</v>
      </c>
      <c r="C1180" t="s">
        <v>45</v>
      </c>
      <c r="D1180" t="s">
        <v>38</v>
      </c>
      <c r="E1180">
        <v>7.9047000000000006E-2</v>
      </c>
    </row>
    <row r="1181" spans="1:5" x14ac:dyDescent="0.3">
      <c r="A1181">
        <v>29</v>
      </c>
      <c r="B1181">
        <v>245000</v>
      </c>
      <c r="C1181" t="s">
        <v>45</v>
      </c>
      <c r="D1181" t="s">
        <v>39</v>
      </c>
      <c r="E1181">
        <v>7.3750999999999997E-2</v>
      </c>
    </row>
    <row r="1182" spans="1:5" x14ac:dyDescent="0.3">
      <c r="A1182">
        <v>29</v>
      </c>
      <c r="B1182">
        <v>245000</v>
      </c>
      <c r="C1182" t="s">
        <v>45</v>
      </c>
      <c r="D1182" t="s">
        <v>40</v>
      </c>
      <c r="E1182">
        <v>0.188195</v>
      </c>
    </row>
    <row r="1183" spans="1:5" x14ac:dyDescent="0.3">
      <c r="A1183">
        <v>29</v>
      </c>
      <c r="B1183">
        <v>245000</v>
      </c>
      <c r="C1183" t="s">
        <v>45</v>
      </c>
      <c r="D1183" t="s">
        <v>41</v>
      </c>
      <c r="E1183">
        <v>7.3704000000000006E-2</v>
      </c>
    </row>
    <row r="1184" spans="1:5" x14ac:dyDescent="0.3">
      <c r="A1184">
        <v>29</v>
      </c>
      <c r="B1184">
        <v>245000</v>
      </c>
      <c r="C1184" t="s">
        <v>45</v>
      </c>
      <c r="D1184" t="s">
        <v>42</v>
      </c>
      <c r="E1184">
        <v>3.6072E-2</v>
      </c>
    </row>
    <row r="1185" spans="1:5" x14ac:dyDescent="0.3">
      <c r="A1185">
        <v>29</v>
      </c>
      <c r="B1185">
        <v>245000</v>
      </c>
      <c r="C1185" t="s">
        <v>45</v>
      </c>
      <c r="D1185" t="s">
        <v>43</v>
      </c>
      <c r="E1185">
        <v>2.1586000000000001E-2</v>
      </c>
    </row>
    <row r="1186" spans="1:5" x14ac:dyDescent="0.3">
      <c r="A1186">
        <v>29</v>
      </c>
      <c r="B1186">
        <v>245000</v>
      </c>
      <c r="C1186" t="s">
        <v>46</v>
      </c>
      <c r="D1186" t="s">
        <v>28</v>
      </c>
      <c r="E1186">
        <v>145310.510733</v>
      </c>
    </row>
    <row r="1187" spans="1:5" x14ac:dyDescent="0.3">
      <c r="A1187">
        <v>29</v>
      </c>
      <c r="B1187">
        <v>245000</v>
      </c>
      <c r="C1187" t="s">
        <v>46</v>
      </c>
      <c r="D1187" t="s">
        <v>29</v>
      </c>
      <c r="E1187">
        <v>3.2328000000000003E-2</v>
      </c>
    </row>
    <row r="1188" spans="1:5" x14ac:dyDescent="0.3">
      <c r="A1188">
        <v>29</v>
      </c>
      <c r="B1188">
        <v>245000</v>
      </c>
      <c r="C1188" t="s">
        <v>46</v>
      </c>
      <c r="D1188" t="s">
        <v>30</v>
      </c>
      <c r="E1188">
        <v>7.9030000000000003E-3</v>
      </c>
    </row>
    <row r="1189" spans="1:5" x14ac:dyDescent="0.3">
      <c r="A1189">
        <v>29</v>
      </c>
      <c r="B1189">
        <v>245000</v>
      </c>
      <c r="C1189" t="s">
        <v>46</v>
      </c>
      <c r="D1189" t="s">
        <v>31</v>
      </c>
      <c r="E1189">
        <v>6.1520000000000004E-3</v>
      </c>
    </row>
    <row r="1190" spans="1:5" x14ac:dyDescent="0.3">
      <c r="A1190">
        <v>29</v>
      </c>
      <c r="B1190">
        <v>245000</v>
      </c>
      <c r="C1190" t="s">
        <v>46</v>
      </c>
      <c r="D1190" t="s">
        <v>32</v>
      </c>
      <c r="E1190">
        <v>6.5630000000000003E-3</v>
      </c>
    </row>
    <row r="1191" spans="1:5" x14ac:dyDescent="0.3">
      <c r="A1191">
        <v>29</v>
      </c>
      <c r="B1191">
        <v>245000</v>
      </c>
      <c r="C1191" t="s">
        <v>46</v>
      </c>
      <c r="D1191" t="s">
        <v>33</v>
      </c>
      <c r="E1191">
        <v>51417.715913</v>
      </c>
    </row>
    <row r="1192" spans="1:5" x14ac:dyDescent="0.3">
      <c r="A1192">
        <v>29</v>
      </c>
      <c r="B1192">
        <v>245000</v>
      </c>
      <c r="C1192" t="s">
        <v>46</v>
      </c>
      <c r="D1192" t="s">
        <v>34</v>
      </c>
      <c r="E1192">
        <v>7.2909999999999997E-3</v>
      </c>
    </row>
    <row r="1193" spans="1:5" x14ac:dyDescent="0.3">
      <c r="A1193">
        <v>29</v>
      </c>
      <c r="B1193">
        <v>245000</v>
      </c>
      <c r="C1193" t="s">
        <v>46</v>
      </c>
      <c r="D1193" t="s">
        <v>35</v>
      </c>
      <c r="E1193">
        <v>48271.61045</v>
      </c>
    </row>
    <row r="1194" spans="1:5" x14ac:dyDescent="0.3">
      <c r="A1194">
        <v>29</v>
      </c>
      <c r="B1194">
        <v>245000</v>
      </c>
      <c r="C1194" t="s">
        <v>46</v>
      </c>
      <c r="D1194" t="s">
        <v>36</v>
      </c>
      <c r="E1194">
        <v>5.7629999999999999E-3</v>
      </c>
    </row>
    <row r="1195" spans="1:5" x14ac:dyDescent="0.3">
      <c r="A1195">
        <v>29</v>
      </c>
      <c r="B1195">
        <v>245000</v>
      </c>
      <c r="C1195" t="s">
        <v>46</v>
      </c>
      <c r="D1195" t="s">
        <v>37</v>
      </c>
      <c r="E1195">
        <v>2.5897E-2</v>
      </c>
    </row>
    <row r="1196" spans="1:5" x14ac:dyDescent="0.3">
      <c r="A1196">
        <v>29</v>
      </c>
      <c r="B1196">
        <v>245000</v>
      </c>
      <c r="C1196" t="s">
        <v>46</v>
      </c>
      <c r="D1196" t="s">
        <v>38</v>
      </c>
      <c r="E1196">
        <v>1.2997999999999999E-2</v>
      </c>
    </row>
    <row r="1197" spans="1:5" x14ac:dyDescent="0.3">
      <c r="A1197">
        <v>29</v>
      </c>
      <c r="B1197">
        <v>245000</v>
      </c>
      <c r="C1197" t="s">
        <v>46</v>
      </c>
      <c r="D1197" t="s">
        <v>39</v>
      </c>
      <c r="E1197">
        <v>1.2174000000000001E-2</v>
      </c>
    </row>
    <row r="1198" spans="1:5" x14ac:dyDescent="0.3">
      <c r="A1198">
        <v>29</v>
      </c>
      <c r="B1198">
        <v>245000</v>
      </c>
      <c r="C1198" t="s">
        <v>46</v>
      </c>
      <c r="D1198" t="s">
        <v>40</v>
      </c>
      <c r="E1198">
        <v>2.7784E-2</v>
      </c>
    </row>
    <row r="1199" spans="1:5" x14ac:dyDescent="0.3">
      <c r="A1199">
        <v>29</v>
      </c>
      <c r="B1199">
        <v>245000</v>
      </c>
      <c r="C1199" t="s">
        <v>46</v>
      </c>
      <c r="D1199" t="s">
        <v>41</v>
      </c>
      <c r="E1199">
        <v>1.2659999999999999E-2</v>
      </c>
    </row>
    <row r="1200" spans="1:5" x14ac:dyDescent="0.3">
      <c r="A1200">
        <v>29</v>
      </c>
      <c r="B1200">
        <v>245000</v>
      </c>
      <c r="C1200" t="s">
        <v>46</v>
      </c>
      <c r="D1200" t="s">
        <v>42</v>
      </c>
      <c r="E1200">
        <v>5.9309999999999996E-3</v>
      </c>
    </row>
    <row r="1201" spans="1:5" x14ac:dyDescent="0.3">
      <c r="A1201">
        <v>29</v>
      </c>
      <c r="B1201">
        <v>245000</v>
      </c>
      <c r="C1201" t="s">
        <v>46</v>
      </c>
      <c r="D1201" t="s">
        <v>43</v>
      </c>
      <c r="E1201">
        <v>3.5170000000000002E-3</v>
      </c>
    </row>
    <row r="1202" spans="1:5" x14ac:dyDescent="0.3">
      <c r="A1202">
        <v>30</v>
      </c>
      <c r="B1202">
        <v>250000</v>
      </c>
      <c r="C1202" t="s">
        <v>45</v>
      </c>
      <c r="D1202" t="s">
        <v>28</v>
      </c>
      <c r="E1202">
        <v>147315.04811999999</v>
      </c>
    </row>
    <row r="1203" spans="1:5" x14ac:dyDescent="0.3">
      <c r="A1203">
        <v>30</v>
      </c>
      <c r="B1203">
        <v>250000</v>
      </c>
      <c r="C1203" t="s">
        <v>45</v>
      </c>
      <c r="D1203" t="s">
        <v>29</v>
      </c>
      <c r="E1203">
        <v>0.13213</v>
      </c>
    </row>
    <row r="1204" spans="1:5" x14ac:dyDescent="0.3">
      <c r="A1204">
        <v>30</v>
      </c>
      <c r="B1204">
        <v>250000</v>
      </c>
      <c r="C1204" t="s">
        <v>45</v>
      </c>
      <c r="D1204" t="s">
        <v>30</v>
      </c>
      <c r="E1204">
        <v>3.2903000000000002E-2</v>
      </c>
    </row>
    <row r="1205" spans="1:5" x14ac:dyDescent="0.3">
      <c r="A1205">
        <v>30</v>
      </c>
      <c r="B1205">
        <v>250000</v>
      </c>
      <c r="C1205" t="s">
        <v>45</v>
      </c>
      <c r="D1205" t="s">
        <v>31</v>
      </c>
      <c r="E1205">
        <v>2.4731E-2</v>
      </c>
    </row>
    <row r="1206" spans="1:5" x14ac:dyDescent="0.3">
      <c r="A1206">
        <v>30</v>
      </c>
      <c r="B1206">
        <v>250000</v>
      </c>
      <c r="C1206" t="s">
        <v>45</v>
      </c>
      <c r="D1206" t="s">
        <v>32</v>
      </c>
      <c r="E1206">
        <v>2.5700000000000001E-2</v>
      </c>
    </row>
    <row r="1207" spans="1:5" x14ac:dyDescent="0.3">
      <c r="A1207">
        <v>30</v>
      </c>
      <c r="B1207">
        <v>250000</v>
      </c>
      <c r="C1207" t="s">
        <v>45</v>
      </c>
      <c r="D1207" t="s">
        <v>33</v>
      </c>
      <c r="E1207">
        <v>54412.847414999997</v>
      </c>
    </row>
    <row r="1208" spans="1:5" x14ac:dyDescent="0.3">
      <c r="A1208">
        <v>30</v>
      </c>
      <c r="B1208">
        <v>250000</v>
      </c>
      <c r="C1208" t="s">
        <v>45</v>
      </c>
      <c r="D1208" t="s">
        <v>34</v>
      </c>
      <c r="E1208">
        <v>2.4659E-2</v>
      </c>
    </row>
    <row r="1209" spans="1:5" x14ac:dyDescent="0.3">
      <c r="A1209">
        <v>30</v>
      </c>
      <c r="B1209">
        <v>250000</v>
      </c>
      <c r="C1209" t="s">
        <v>45</v>
      </c>
      <c r="D1209" t="s">
        <v>35</v>
      </c>
      <c r="E1209">
        <v>48271.441650000001</v>
      </c>
    </row>
    <row r="1210" spans="1:5" x14ac:dyDescent="0.3">
      <c r="A1210">
        <v>30</v>
      </c>
      <c r="B1210">
        <v>250000</v>
      </c>
      <c r="C1210" t="s">
        <v>45</v>
      </c>
      <c r="D1210" t="s">
        <v>36</v>
      </c>
      <c r="E1210">
        <v>2.1946E-2</v>
      </c>
    </row>
    <row r="1211" spans="1:5" x14ac:dyDescent="0.3">
      <c r="A1211">
        <v>30</v>
      </c>
      <c r="B1211">
        <v>250000</v>
      </c>
      <c r="C1211" t="s">
        <v>45</v>
      </c>
      <c r="D1211" t="s">
        <v>37</v>
      </c>
      <c r="E1211">
        <v>0.11708</v>
      </c>
    </row>
    <row r="1212" spans="1:5" x14ac:dyDescent="0.3">
      <c r="A1212">
        <v>30</v>
      </c>
      <c r="B1212">
        <v>250000</v>
      </c>
      <c r="C1212" t="s">
        <v>45</v>
      </c>
      <c r="D1212" t="s">
        <v>38</v>
      </c>
      <c r="E1212">
        <v>5.1644000000000002E-2</v>
      </c>
    </row>
    <row r="1213" spans="1:5" x14ac:dyDescent="0.3">
      <c r="A1213">
        <v>30</v>
      </c>
      <c r="B1213">
        <v>250000</v>
      </c>
      <c r="C1213" t="s">
        <v>45</v>
      </c>
      <c r="D1213" t="s">
        <v>39</v>
      </c>
      <c r="E1213">
        <v>4.5969000000000003E-2</v>
      </c>
    </row>
    <row r="1214" spans="1:5" x14ac:dyDescent="0.3">
      <c r="A1214">
        <v>30</v>
      </c>
      <c r="B1214">
        <v>250000</v>
      </c>
      <c r="C1214" t="s">
        <v>45</v>
      </c>
      <c r="D1214" t="s">
        <v>40</v>
      </c>
      <c r="E1214">
        <v>0.111216</v>
      </c>
    </row>
    <row r="1215" spans="1:5" x14ac:dyDescent="0.3">
      <c r="A1215">
        <v>30</v>
      </c>
      <c r="B1215">
        <v>250000</v>
      </c>
      <c r="C1215" t="s">
        <v>45</v>
      </c>
      <c r="D1215" t="s">
        <v>41</v>
      </c>
      <c r="E1215">
        <v>4.6935999999999999E-2</v>
      </c>
    </row>
    <row r="1216" spans="1:5" x14ac:dyDescent="0.3">
      <c r="A1216">
        <v>30</v>
      </c>
      <c r="B1216">
        <v>250000</v>
      </c>
      <c r="C1216" t="s">
        <v>45</v>
      </c>
      <c r="D1216" t="s">
        <v>42</v>
      </c>
      <c r="E1216">
        <v>2.1552000000000002E-2</v>
      </c>
    </row>
    <row r="1217" spans="1:5" x14ac:dyDescent="0.3">
      <c r="A1217">
        <v>30</v>
      </c>
      <c r="B1217">
        <v>250000</v>
      </c>
      <c r="C1217" t="s">
        <v>45</v>
      </c>
      <c r="D1217" t="s">
        <v>43</v>
      </c>
      <c r="E1217">
        <v>1.225E-2</v>
      </c>
    </row>
    <row r="1218" spans="1:5" x14ac:dyDescent="0.3">
      <c r="A1218">
        <v>30</v>
      </c>
      <c r="B1218">
        <v>250000</v>
      </c>
      <c r="C1218" t="s">
        <v>46</v>
      </c>
      <c r="D1218" t="s">
        <v>28</v>
      </c>
      <c r="E1218">
        <v>145397.24836900001</v>
      </c>
    </row>
    <row r="1219" spans="1:5" x14ac:dyDescent="0.3">
      <c r="A1219">
        <v>30</v>
      </c>
      <c r="B1219">
        <v>250000</v>
      </c>
      <c r="C1219" t="s">
        <v>46</v>
      </c>
      <c r="D1219" t="s">
        <v>29</v>
      </c>
      <c r="E1219">
        <v>0.227685</v>
      </c>
    </row>
    <row r="1220" spans="1:5" x14ac:dyDescent="0.3">
      <c r="A1220">
        <v>30</v>
      </c>
      <c r="B1220">
        <v>250000</v>
      </c>
      <c r="C1220" t="s">
        <v>46</v>
      </c>
      <c r="D1220" t="s">
        <v>30</v>
      </c>
      <c r="E1220">
        <v>6.7475999999999994E-2</v>
      </c>
    </row>
    <row r="1221" spans="1:5" x14ac:dyDescent="0.3">
      <c r="A1221">
        <v>30</v>
      </c>
      <c r="B1221">
        <v>250000</v>
      </c>
      <c r="C1221" t="s">
        <v>46</v>
      </c>
      <c r="D1221" t="s">
        <v>31</v>
      </c>
      <c r="E1221">
        <v>4.4323000000000001E-2</v>
      </c>
    </row>
    <row r="1222" spans="1:5" x14ac:dyDescent="0.3">
      <c r="A1222">
        <v>30</v>
      </c>
      <c r="B1222">
        <v>250000</v>
      </c>
      <c r="C1222" t="s">
        <v>46</v>
      </c>
      <c r="D1222" t="s">
        <v>32</v>
      </c>
      <c r="E1222">
        <v>4.6976999999999998E-2</v>
      </c>
    </row>
    <row r="1223" spans="1:5" x14ac:dyDescent="0.3">
      <c r="A1223">
        <v>30</v>
      </c>
      <c r="B1223">
        <v>250000</v>
      </c>
      <c r="C1223" t="s">
        <v>46</v>
      </c>
      <c r="D1223" t="s">
        <v>33</v>
      </c>
      <c r="E1223">
        <v>56330.165648000002</v>
      </c>
    </row>
    <row r="1224" spans="1:5" x14ac:dyDescent="0.3">
      <c r="A1224">
        <v>30</v>
      </c>
      <c r="B1224">
        <v>250000</v>
      </c>
      <c r="C1224" t="s">
        <v>46</v>
      </c>
      <c r="D1224" t="s">
        <v>34</v>
      </c>
      <c r="E1224">
        <v>3.6693000000000003E-2</v>
      </c>
    </row>
    <row r="1225" spans="1:5" x14ac:dyDescent="0.3">
      <c r="A1225">
        <v>30</v>
      </c>
      <c r="B1225">
        <v>250000</v>
      </c>
      <c r="C1225" t="s">
        <v>46</v>
      </c>
      <c r="D1225" t="s">
        <v>35</v>
      </c>
      <c r="E1225">
        <v>48271.421513000001</v>
      </c>
    </row>
    <row r="1226" spans="1:5" x14ac:dyDescent="0.3">
      <c r="A1226">
        <v>30</v>
      </c>
      <c r="B1226">
        <v>250000</v>
      </c>
      <c r="C1226" t="s">
        <v>46</v>
      </c>
      <c r="D1226" t="s">
        <v>36</v>
      </c>
      <c r="E1226">
        <v>4.1769000000000001E-2</v>
      </c>
    </row>
    <row r="1227" spans="1:5" x14ac:dyDescent="0.3">
      <c r="A1227">
        <v>30</v>
      </c>
      <c r="B1227">
        <v>250000</v>
      </c>
      <c r="C1227" t="s">
        <v>46</v>
      </c>
      <c r="D1227" t="s">
        <v>37</v>
      </c>
      <c r="E1227">
        <v>0.196964</v>
      </c>
    </row>
    <row r="1228" spans="1:5" x14ac:dyDescent="0.3">
      <c r="A1228">
        <v>30</v>
      </c>
      <c r="B1228">
        <v>250000</v>
      </c>
      <c r="C1228" t="s">
        <v>46</v>
      </c>
      <c r="D1228" t="s">
        <v>38</v>
      </c>
      <c r="E1228">
        <v>9.7161999999999998E-2</v>
      </c>
    </row>
    <row r="1229" spans="1:5" x14ac:dyDescent="0.3">
      <c r="A1229">
        <v>30</v>
      </c>
      <c r="B1229">
        <v>250000</v>
      </c>
      <c r="C1229" t="s">
        <v>46</v>
      </c>
      <c r="D1229" t="s">
        <v>39</v>
      </c>
      <c r="E1229">
        <v>8.2921999999999996E-2</v>
      </c>
    </row>
    <row r="1230" spans="1:5" x14ac:dyDescent="0.3">
      <c r="A1230">
        <v>30</v>
      </c>
      <c r="B1230">
        <v>250000</v>
      </c>
      <c r="C1230" t="s">
        <v>46</v>
      </c>
      <c r="D1230" t="s">
        <v>40</v>
      </c>
      <c r="E1230">
        <v>0.20180999999999999</v>
      </c>
    </row>
    <row r="1231" spans="1:5" x14ac:dyDescent="0.3">
      <c r="A1231">
        <v>30</v>
      </c>
      <c r="B1231">
        <v>250000</v>
      </c>
      <c r="C1231" t="s">
        <v>46</v>
      </c>
      <c r="D1231" t="s">
        <v>41</v>
      </c>
      <c r="E1231">
        <v>9.1552999999999995E-2</v>
      </c>
    </row>
    <row r="1232" spans="1:5" x14ac:dyDescent="0.3">
      <c r="A1232">
        <v>30</v>
      </c>
      <c r="B1232">
        <v>250000</v>
      </c>
      <c r="C1232" t="s">
        <v>46</v>
      </c>
      <c r="D1232" t="s">
        <v>42</v>
      </c>
      <c r="E1232">
        <v>4.1502999999999998E-2</v>
      </c>
    </row>
    <row r="1233" spans="1:5" x14ac:dyDescent="0.3">
      <c r="A1233">
        <v>30</v>
      </c>
      <c r="B1233">
        <v>250000</v>
      </c>
      <c r="C1233" t="s">
        <v>46</v>
      </c>
      <c r="D1233" t="s">
        <v>43</v>
      </c>
      <c r="E1233">
        <v>2.4705000000000001E-2</v>
      </c>
    </row>
    <row r="1234" spans="1:5" x14ac:dyDescent="0.3">
      <c r="A1234">
        <v>31</v>
      </c>
      <c r="B1234">
        <v>255000</v>
      </c>
      <c r="C1234" t="s">
        <v>45</v>
      </c>
      <c r="D1234" t="s">
        <v>28</v>
      </c>
      <c r="E1234">
        <v>147431.41534499999</v>
      </c>
    </row>
    <row r="1235" spans="1:5" x14ac:dyDescent="0.3">
      <c r="A1235">
        <v>31</v>
      </c>
      <c r="B1235">
        <v>255000</v>
      </c>
      <c r="C1235" t="s">
        <v>45</v>
      </c>
      <c r="D1235" t="s">
        <v>29</v>
      </c>
      <c r="E1235">
        <v>0.31922200000000001</v>
      </c>
    </row>
    <row r="1236" spans="1:5" x14ac:dyDescent="0.3">
      <c r="A1236">
        <v>31</v>
      </c>
      <c r="B1236">
        <v>255000</v>
      </c>
      <c r="C1236" t="s">
        <v>45</v>
      </c>
      <c r="D1236" t="s">
        <v>30</v>
      </c>
      <c r="E1236">
        <v>9.3359999999999999E-2</v>
      </c>
    </row>
    <row r="1237" spans="1:5" x14ac:dyDescent="0.3">
      <c r="A1237">
        <v>31</v>
      </c>
      <c r="B1237">
        <v>255000</v>
      </c>
      <c r="C1237" t="s">
        <v>45</v>
      </c>
      <c r="D1237" t="s">
        <v>31</v>
      </c>
      <c r="E1237">
        <v>6.7912E-2</v>
      </c>
    </row>
    <row r="1238" spans="1:5" x14ac:dyDescent="0.3">
      <c r="A1238">
        <v>31</v>
      </c>
      <c r="B1238">
        <v>255000</v>
      </c>
      <c r="C1238" t="s">
        <v>45</v>
      </c>
      <c r="D1238" t="s">
        <v>32</v>
      </c>
      <c r="E1238">
        <v>7.1026000000000006E-2</v>
      </c>
    </row>
    <row r="1239" spans="1:5" x14ac:dyDescent="0.3">
      <c r="A1239">
        <v>31</v>
      </c>
      <c r="B1239">
        <v>255000</v>
      </c>
      <c r="C1239" t="s">
        <v>45</v>
      </c>
      <c r="D1239" t="s">
        <v>33</v>
      </c>
      <c r="E1239">
        <v>59295.651285</v>
      </c>
    </row>
    <row r="1240" spans="1:5" x14ac:dyDescent="0.3">
      <c r="A1240">
        <v>31</v>
      </c>
      <c r="B1240">
        <v>255000</v>
      </c>
      <c r="C1240" t="s">
        <v>45</v>
      </c>
      <c r="D1240" t="s">
        <v>34</v>
      </c>
      <c r="E1240">
        <v>7.4918999999999999E-2</v>
      </c>
    </row>
    <row r="1241" spans="1:5" x14ac:dyDescent="0.3">
      <c r="A1241">
        <v>31</v>
      </c>
      <c r="B1241">
        <v>255000</v>
      </c>
      <c r="C1241" t="s">
        <v>45</v>
      </c>
      <c r="D1241" t="s">
        <v>35</v>
      </c>
      <c r="E1241">
        <v>48271.212479000002</v>
      </c>
    </row>
    <row r="1242" spans="1:5" x14ac:dyDescent="0.3">
      <c r="A1242">
        <v>31</v>
      </c>
      <c r="B1242">
        <v>255000</v>
      </c>
      <c r="C1242" t="s">
        <v>45</v>
      </c>
      <c r="D1242" t="s">
        <v>36</v>
      </c>
      <c r="E1242">
        <v>6.2003000000000003E-2</v>
      </c>
    </row>
    <row r="1243" spans="1:5" x14ac:dyDescent="0.3">
      <c r="A1243">
        <v>31</v>
      </c>
      <c r="B1243">
        <v>255000</v>
      </c>
      <c r="C1243" t="s">
        <v>45</v>
      </c>
      <c r="D1243" t="s">
        <v>37</v>
      </c>
      <c r="E1243">
        <v>0.28453400000000001</v>
      </c>
    </row>
    <row r="1244" spans="1:5" x14ac:dyDescent="0.3">
      <c r="A1244">
        <v>31</v>
      </c>
      <c r="B1244">
        <v>255000</v>
      </c>
      <c r="C1244" t="s">
        <v>45</v>
      </c>
      <c r="D1244" t="s">
        <v>38</v>
      </c>
      <c r="E1244">
        <v>0.13966899999999999</v>
      </c>
    </row>
    <row r="1245" spans="1:5" x14ac:dyDescent="0.3">
      <c r="A1245">
        <v>31</v>
      </c>
      <c r="B1245">
        <v>255000</v>
      </c>
      <c r="C1245" t="s">
        <v>45</v>
      </c>
      <c r="D1245" t="s">
        <v>39</v>
      </c>
      <c r="E1245">
        <v>0.12507199999999999</v>
      </c>
    </row>
    <row r="1246" spans="1:5" x14ac:dyDescent="0.3">
      <c r="A1246">
        <v>31</v>
      </c>
      <c r="B1246">
        <v>255000</v>
      </c>
      <c r="C1246" t="s">
        <v>45</v>
      </c>
      <c r="D1246" t="s">
        <v>40</v>
      </c>
      <c r="E1246">
        <v>0.30587199999999998</v>
      </c>
    </row>
    <row r="1247" spans="1:5" x14ac:dyDescent="0.3">
      <c r="A1247">
        <v>31</v>
      </c>
      <c r="B1247">
        <v>255000</v>
      </c>
      <c r="C1247" t="s">
        <v>45</v>
      </c>
      <c r="D1247" t="s">
        <v>41</v>
      </c>
      <c r="E1247">
        <v>0.12751399999999999</v>
      </c>
    </row>
    <row r="1248" spans="1:5" x14ac:dyDescent="0.3">
      <c r="A1248">
        <v>31</v>
      </c>
      <c r="B1248">
        <v>255000</v>
      </c>
      <c r="C1248" t="s">
        <v>45</v>
      </c>
      <c r="D1248" t="s">
        <v>42</v>
      </c>
      <c r="E1248">
        <v>6.1101999999999997E-2</v>
      </c>
    </row>
    <row r="1249" spans="1:5" x14ac:dyDescent="0.3">
      <c r="A1249">
        <v>31</v>
      </c>
      <c r="B1249">
        <v>255000</v>
      </c>
      <c r="C1249" t="s">
        <v>45</v>
      </c>
      <c r="D1249" t="s">
        <v>43</v>
      </c>
      <c r="E1249">
        <v>3.6341999999999999E-2</v>
      </c>
    </row>
    <row r="1250" spans="1:5" x14ac:dyDescent="0.3">
      <c r="A1250">
        <v>31</v>
      </c>
      <c r="B1250">
        <v>255000</v>
      </c>
      <c r="C1250" t="s">
        <v>46</v>
      </c>
      <c r="D1250" t="s">
        <v>28</v>
      </c>
      <c r="E1250">
        <v>145445.35357199999</v>
      </c>
    </row>
    <row r="1251" spans="1:5" x14ac:dyDescent="0.3">
      <c r="A1251">
        <v>31</v>
      </c>
      <c r="B1251">
        <v>255000</v>
      </c>
      <c r="C1251" t="s">
        <v>46</v>
      </c>
      <c r="D1251" t="s">
        <v>29</v>
      </c>
      <c r="E1251">
        <v>9.7570000000000004E-2</v>
      </c>
    </row>
    <row r="1252" spans="1:5" x14ac:dyDescent="0.3">
      <c r="A1252">
        <v>31</v>
      </c>
      <c r="B1252">
        <v>255000</v>
      </c>
      <c r="C1252" t="s">
        <v>46</v>
      </c>
      <c r="D1252" t="s">
        <v>30</v>
      </c>
      <c r="E1252">
        <v>2.3720999999999999E-2</v>
      </c>
    </row>
    <row r="1253" spans="1:5" x14ac:dyDescent="0.3">
      <c r="A1253">
        <v>31</v>
      </c>
      <c r="B1253">
        <v>255000</v>
      </c>
      <c r="C1253" t="s">
        <v>46</v>
      </c>
      <c r="D1253" t="s">
        <v>31</v>
      </c>
      <c r="E1253">
        <v>1.8121000000000002E-2</v>
      </c>
    </row>
    <row r="1254" spans="1:5" x14ac:dyDescent="0.3">
      <c r="A1254">
        <v>31</v>
      </c>
      <c r="B1254">
        <v>255000</v>
      </c>
      <c r="C1254" t="s">
        <v>46</v>
      </c>
      <c r="D1254" t="s">
        <v>32</v>
      </c>
      <c r="E1254">
        <v>1.9032E-2</v>
      </c>
    </row>
    <row r="1255" spans="1:5" x14ac:dyDescent="0.3">
      <c r="A1255">
        <v>31</v>
      </c>
      <c r="B1255">
        <v>255000</v>
      </c>
      <c r="C1255" t="s">
        <v>46</v>
      </c>
      <c r="D1255" t="s">
        <v>33</v>
      </c>
      <c r="E1255">
        <v>61282.613140000001</v>
      </c>
    </row>
    <row r="1256" spans="1:5" x14ac:dyDescent="0.3">
      <c r="A1256">
        <v>31</v>
      </c>
      <c r="B1256">
        <v>255000</v>
      </c>
      <c r="C1256" t="s">
        <v>46</v>
      </c>
      <c r="D1256" t="s">
        <v>34</v>
      </c>
      <c r="E1256">
        <v>2.0962999999999999E-2</v>
      </c>
    </row>
    <row r="1257" spans="1:5" x14ac:dyDescent="0.3">
      <c r="A1257">
        <v>31</v>
      </c>
      <c r="B1257">
        <v>255000</v>
      </c>
      <c r="C1257" t="s">
        <v>46</v>
      </c>
      <c r="D1257" t="s">
        <v>35</v>
      </c>
      <c r="E1257">
        <v>48271.542081</v>
      </c>
    </row>
    <row r="1258" spans="1:5" x14ac:dyDescent="0.3">
      <c r="A1258">
        <v>31</v>
      </c>
      <c r="B1258">
        <v>255000</v>
      </c>
      <c r="C1258" t="s">
        <v>46</v>
      </c>
      <c r="D1258" t="s">
        <v>36</v>
      </c>
      <c r="E1258">
        <v>1.7127E-2</v>
      </c>
    </row>
    <row r="1259" spans="1:5" x14ac:dyDescent="0.3">
      <c r="A1259">
        <v>31</v>
      </c>
      <c r="B1259">
        <v>255000</v>
      </c>
      <c r="C1259" t="s">
        <v>46</v>
      </c>
      <c r="D1259" t="s">
        <v>37</v>
      </c>
      <c r="E1259">
        <v>8.3509E-2</v>
      </c>
    </row>
    <row r="1260" spans="1:5" x14ac:dyDescent="0.3">
      <c r="A1260">
        <v>31</v>
      </c>
      <c r="B1260">
        <v>255000</v>
      </c>
      <c r="C1260" t="s">
        <v>46</v>
      </c>
      <c r="D1260" t="s">
        <v>38</v>
      </c>
      <c r="E1260">
        <v>3.9704000000000003E-2</v>
      </c>
    </row>
    <row r="1261" spans="1:5" x14ac:dyDescent="0.3">
      <c r="A1261">
        <v>31</v>
      </c>
      <c r="B1261">
        <v>255000</v>
      </c>
      <c r="C1261" t="s">
        <v>46</v>
      </c>
      <c r="D1261" t="s">
        <v>39</v>
      </c>
      <c r="E1261">
        <v>3.5295E-2</v>
      </c>
    </row>
    <row r="1262" spans="1:5" x14ac:dyDescent="0.3">
      <c r="A1262">
        <v>31</v>
      </c>
      <c r="B1262">
        <v>255000</v>
      </c>
      <c r="C1262" t="s">
        <v>46</v>
      </c>
      <c r="D1262" t="s">
        <v>40</v>
      </c>
      <c r="E1262">
        <v>7.7697000000000002E-2</v>
      </c>
    </row>
    <row r="1263" spans="1:5" x14ac:dyDescent="0.3">
      <c r="A1263">
        <v>31</v>
      </c>
      <c r="B1263">
        <v>255000</v>
      </c>
      <c r="C1263" t="s">
        <v>46</v>
      </c>
      <c r="D1263" t="s">
        <v>41</v>
      </c>
      <c r="E1263">
        <v>3.8039999999999997E-2</v>
      </c>
    </row>
    <row r="1264" spans="1:5" x14ac:dyDescent="0.3">
      <c r="A1264">
        <v>31</v>
      </c>
      <c r="B1264">
        <v>255000</v>
      </c>
      <c r="C1264" t="s">
        <v>46</v>
      </c>
      <c r="D1264" t="s">
        <v>42</v>
      </c>
      <c r="E1264">
        <v>1.7038999999999999E-2</v>
      </c>
    </row>
    <row r="1265" spans="1:5" x14ac:dyDescent="0.3">
      <c r="A1265">
        <v>31</v>
      </c>
      <c r="B1265">
        <v>255000</v>
      </c>
      <c r="C1265" t="s">
        <v>46</v>
      </c>
      <c r="D1265" t="s">
        <v>43</v>
      </c>
      <c r="E1265">
        <v>1.0376E-2</v>
      </c>
    </row>
    <row r="1266" spans="1:5" x14ac:dyDescent="0.3">
      <c r="A1266">
        <v>32</v>
      </c>
      <c r="B1266">
        <v>260000</v>
      </c>
      <c r="C1266" t="s">
        <v>45</v>
      </c>
      <c r="D1266" t="s">
        <v>28</v>
      </c>
      <c r="E1266">
        <v>146079.56312800001</v>
      </c>
    </row>
    <row r="1267" spans="1:5" x14ac:dyDescent="0.3">
      <c r="A1267">
        <v>32</v>
      </c>
      <c r="B1267">
        <v>260000</v>
      </c>
      <c r="C1267" t="s">
        <v>45</v>
      </c>
      <c r="D1267" t="s">
        <v>29</v>
      </c>
      <c r="E1267">
        <v>0.28097499999999997</v>
      </c>
    </row>
    <row r="1268" spans="1:5" x14ac:dyDescent="0.3">
      <c r="A1268">
        <v>32</v>
      </c>
      <c r="B1268">
        <v>260000</v>
      </c>
      <c r="C1268" t="s">
        <v>45</v>
      </c>
      <c r="D1268" t="s">
        <v>30</v>
      </c>
      <c r="E1268">
        <v>9.2553999999999997E-2</v>
      </c>
    </row>
    <row r="1269" spans="1:5" x14ac:dyDescent="0.3">
      <c r="A1269">
        <v>32</v>
      </c>
      <c r="B1269">
        <v>260000</v>
      </c>
      <c r="C1269" t="s">
        <v>45</v>
      </c>
      <c r="D1269" t="s">
        <v>31</v>
      </c>
      <c r="E1269">
        <v>5.5070000000000001E-2</v>
      </c>
    </row>
    <row r="1270" spans="1:5" x14ac:dyDescent="0.3">
      <c r="A1270">
        <v>32</v>
      </c>
      <c r="B1270">
        <v>260000</v>
      </c>
      <c r="C1270" t="s">
        <v>45</v>
      </c>
      <c r="D1270" t="s">
        <v>32</v>
      </c>
      <c r="E1270">
        <v>5.8335999999999999E-2</v>
      </c>
    </row>
    <row r="1271" spans="1:5" x14ac:dyDescent="0.3">
      <c r="A1271">
        <v>32</v>
      </c>
      <c r="B1271">
        <v>260000</v>
      </c>
      <c r="C1271" t="s">
        <v>45</v>
      </c>
      <c r="D1271" t="s">
        <v>33</v>
      </c>
      <c r="E1271">
        <v>65647.719737000007</v>
      </c>
    </row>
    <row r="1272" spans="1:5" x14ac:dyDescent="0.3">
      <c r="A1272">
        <v>32</v>
      </c>
      <c r="B1272">
        <v>260000</v>
      </c>
      <c r="C1272" t="s">
        <v>45</v>
      </c>
      <c r="D1272" t="s">
        <v>34</v>
      </c>
      <c r="E1272">
        <v>6.1488000000000001E-2</v>
      </c>
    </row>
    <row r="1273" spans="1:5" x14ac:dyDescent="0.3">
      <c r="A1273">
        <v>32</v>
      </c>
      <c r="B1273">
        <v>260000</v>
      </c>
      <c r="C1273" t="s">
        <v>45</v>
      </c>
      <c r="D1273" t="s">
        <v>35</v>
      </c>
      <c r="E1273">
        <v>48271.230515000003</v>
      </c>
    </row>
    <row r="1274" spans="1:5" x14ac:dyDescent="0.3">
      <c r="A1274">
        <v>32</v>
      </c>
      <c r="B1274">
        <v>260000</v>
      </c>
      <c r="C1274" t="s">
        <v>45</v>
      </c>
      <c r="D1274" t="s">
        <v>36</v>
      </c>
      <c r="E1274">
        <v>4.9762000000000001E-2</v>
      </c>
    </row>
    <row r="1275" spans="1:5" x14ac:dyDescent="0.3">
      <c r="A1275">
        <v>32</v>
      </c>
      <c r="B1275">
        <v>260000</v>
      </c>
      <c r="C1275" t="s">
        <v>45</v>
      </c>
      <c r="D1275" t="s">
        <v>37</v>
      </c>
      <c r="E1275">
        <v>0.25461</v>
      </c>
    </row>
    <row r="1276" spans="1:5" x14ac:dyDescent="0.3">
      <c r="A1276">
        <v>32</v>
      </c>
      <c r="B1276">
        <v>260000</v>
      </c>
      <c r="C1276" t="s">
        <v>45</v>
      </c>
      <c r="D1276" t="s">
        <v>38</v>
      </c>
      <c r="E1276">
        <v>0.114551</v>
      </c>
    </row>
    <row r="1277" spans="1:5" x14ac:dyDescent="0.3">
      <c r="A1277">
        <v>32</v>
      </c>
      <c r="B1277">
        <v>260000</v>
      </c>
      <c r="C1277" t="s">
        <v>45</v>
      </c>
      <c r="D1277" t="s">
        <v>39</v>
      </c>
      <c r="E1277">
        <v>0.10702100000000001</v>
      </c>
    </row>
    <row r="1278" spans="1:5" x14ac:dyDescent="0.3">
      <c r="A1278">
        <v>32</v>
      </c>
      <c r="B1278">
        <v>260000</v>
      </c>
      <c r="C1278" t="s">
        <v>45</v>
      </c>
      <c r="D1278" t="s">
        <v>40</v>
      </c>
      <c r="E1278">
        <v>0.26041999999999998</v>
      </c>
    </row>
    <row r="1279" spans="1:5" x14ac:dyDescent="0.3">
      <c r="A1279">
        <v>32</v>
      </c>
      <c r="B1279">
        <v>260000</v>
      </c>
      <c r="C1279" t="s">
        <v>45</v>
      </c>
      <c r="D1279" t="s">
        <v>41</v>
      </c>
      <c r="E1279">
        <v>0.103144</v>
      </c>
    </row>
    <row r="1280" spans="1:5" x14ac:dyDescent="0.3">
      <c r="A1280">
        <v>32</v>
      </c>
      <c r="B1280">
        <v>260000</v>
      </c>
      <c r="C1280" t="s">
        <v>45</v>
      </c>
      <c r="D1280" t="s">
        <v>42</v>
      </c>
      <c r="E1280">
        <v>4.9303E-2</v>
      </c>
    </row>
    <row r="1281" spans="1:5" x14ac:dyDescent="0.3">
      <c r="A1281">
        <v>32</v>
      </c>
      <c r="B1281">
        <v>260000</v>
      </c>
      <c r="C1281" t="s">
        <v>45</v>
      </c>
      <c r="D1281" t="s">
        <v>43</v>
      </c>
      <c r="E1281">
        <v>2.9392999999999999E-2</v>
      </c>
    </row>
    <row r="1282" spans="1:5" x14ac:dyDescent="0.3">
      <c r="A1282">
        <v>32</v>
      </c>
      <c r="B1282">
        <v>260000</v>
      </c>
      <c r="C1282" t="s">
        <v>46</v>
      </c>
      <c r="D1282" t="s">
        <v>28</v>
      </c>
      <c r="E1282">
        <v>146215.12648599999</v>
      </c>
    </row>
    <row r="1283" spans="1:5" x14ac:dyDescent="0.3">
      <c r="A1283">
        <v>32</v>
      </c>
      <c r="B1283">
        <v>260000</v>
      </c>
      <c r="C1283" t="s">
        <v>46</v>
      </c>
      <c r="D1283" t="s">
        <v>29</v>
      </c>
      <c r="E1283">
        <v>0.192269</v>
      </c>
    </row>
    <row r="1284" spans="1:5" x14ac:dyDescent="0.3">
      <c r="A1284">
        <v>32</v>
      </c>
      <c r="B1284">
        <v>260000</v>
      </c>
      <c r="C1284" t="s">
        <v>46</v>
      </c>
      <c r="D1284" t="s">
        <v>30</v>
      </c>
      <c r="E1284">
        <v>4.6708E-2</v>
      </c>
    </row>
    <row r="1285" spans="1:5" x14ac:dyDescent="0.3">
      <c r="A1285">
        <v>32</v>
      </c>
      <c r="B1285">
        <v>260000</v>
      </c>
      <c r="C1285" t="s">
        <v>46</v>
      </c>
      <c r="D1285" t="s">
        <v>31</v>
      </c>
      <c r="E1285">
        <v>3.5625999999999998E-2</v>
      </c>
    </row>
    <row r="1286" spans="1:5" x14ac:dyDescent="0.3">
      <c r="A1286">
        <v>32</v>
      </c>
      <c r="B1286">
        <v>260000</v>
      </c>
      <c r="C1286" t="s">
        <v>46</v>
      </c>
      <c r="D1286" t="s">
        <v>32</v>
      </c>
      <c r="E1286">
        <v>3.7548999999999999E-2</v>
      </c>
    </row>
    <row r="1287" spans="1:5" x14ac:dyDescent="0.3">
      <c r="A1287">
        <v>32</v>
      </c>
      <c r="B1287">
        <v>260000</v>
      </c>
      <c r="C1287" t="s">
        <v>46</v>
      </c>
      <c r="D1287" t="s">
        <v>33</v>
      </c>
      <c r="E1287">
        <v>65512.494634000002</v>
      </c>
    </row>
    <row r="1288" spans="1:5" x14ac:dyDescent="0.3">
      <c r="A1288">
        <v>32</v>
      </c>
      <c r="B1288">
        <v>260000</v>
      </c>
      <c r="C1288" t="s">
        <v>46</v>
      </c>
      <c r="D1288" t="s">
        <v>34</v>
      </c>
      <c r="E1288">
        <v>5.3495000000000001E-2</v>
      </c>
    </row>
    <row r="1289" spans="1:5" x14ac:dyDescent="0.3">
      <c r="A1289">
        <v>32</v>
      </c>
      <c r="B1289">
        <v>260000</v>
      </c>
      <c r="C1289" t="s">
        <v>46</v>
      </c>
      <c r="D1289" t="s">
        <v>35</v>
      </c>
      <c r="E1289">
        <v>48271.411104999999</v>
      </c>
    </row>
    <row r="1290" spans="1:5" x14ac:dyDescent="0.3">
      <c r="A1290">
        <v>32</v>
      </c>
      <c r="B1290">
        <v>260000</v>
      </c>
      <c r="C1290" t="s">
        <v>46</v>
      </c>
      <c r="D1290" t="s">
        <v>36</v>
      </c>
      <c r="E1290">
        <v>3.3916000000000002E-2</v>
      </c>
    </row>
    <row r="1291" spans="1:5" x14ac:dyDescent="0.3">
      <c r="A1291">
        <v>32</v>
      </c>
      <c r="B1291">
        <v>260000</v>
      </c>
      <c r="C1291" t="s">
        <v>46</v>
      </c>
      <c r="D1291" t="s">
        <v>37</v>
      </c>
      <c r="E1291">
        <v>0.158413</v>
      </c>
    </row>
    <row r="1292" spans="1:5" x14ac:dyDescent="0.3">
      <c r="A1292">
        <v>32</v>
      </c>
      <c r="B1292">
        <v>260000</v>
      </c>
      <c r="C1292" t="s">
        <v>46</v>
      </c>
      <c r="D1292" t="s">
        <v>38</v>
      </c>
      <c r="E1292">
        <v>7.5721999999999998E-2</v>
      </c>
    </row>
    <row r="1293" spans="1:5" x14ac:dyDescent="0.3">
      <c r="A1293">
        <v>32</v>
      </c>
      <c r="B1293">
        <v>260000</v>
      </c>
      <c r="C1293" t="s">
        <v>46</v>
      </c>
      <c r="D1293" t="s">
        <v>39</v>
      </c>
      <c r="E1293">
        <v>6.8517999999999996E-2</v>
      </c>
    </row>
    <row r="1294" spans="1:5" x14ac:dyDescent="0.3">
      <c r="A1294">
        <v>32</v>
      </c>
      <c r="B1294">
        <v>260000</v>
      </c>
      <c r="C1294" t="s">
        <v>46</v>
      </c>
      <c r="D1294" t="s">
        <v>40</v>
      </c>
      <c r="E1294">
        <v>0.15759699999999999</v>
      </c>
    </row>
    <row r="1295" spans="1:5" x14ac:dyDescent="0.3">
      <c r="A1295">
        <v>32</v>
      </c>
      <c r="B1295">
        <v>260000</v>
      </c>
      <c r="C1295" t="s">
        <v>46</v>
      </c>
      <c r="D1295" t="s">
        <v>41</v>
      </c>
      <c r="E1295">
        <v>7.3418999999999998E-2</v>
      </c>
    </row>
    <row r="1296" spans="1:5" x14ac:dyDescent="0.3">
      <c r="A1296">
        <v>32</v>
      </c>
      <c r="B1296">
        <v>260000</v>
      </c>
      <c r="C1296" t="s">
        <v>46</v>
      </c>
      <c r="D1296" t="s">
        <v>42</v>
      </c>
      <c r="E1296">
        <v>3.4202000000000003E-2</v>
      </c>
    </row>
    <row r="1297" spans="1:5" x14ac:dyDescent="0.3">
      <c r="A1297">
        <v>32</v>
      </c>
      <c r="B1297">
        <v>260000</v>
      </c>
      <c r="C1297" t="s">
        <v>46</v>
      </c>
      <c r="D1297" t="s">
        <v>43</v>
      </c>
      <c r="E1297">
        <v>2.1212000000000002E-2</v>
      </c>
    </row>
    <row r="1298" spans="1:5" x14ac:dyDescent="0.3">
      <c r="A1298">
        <v>33</v>
      </c>
      <c r="B1298">
        <v>265000</v>
      </c>
      <c r="C1298" t="s">
        <v>45</v>
      </c>
      <c r="D1298" t="s">
        <v>28</v>
      </c>
      <c r="E1298">
        <v>146209.76913100001</v>
      </c>
    </row>
    <row r="1299" spans="1:5" x14ac:dyDescent="0.3">
      <c r="A1299">
        <v>33</v>
      </c>
      <c r="B1299">
        <v>265000</v>
      </c>
      <c r="C1299" t="s">
        <v>45</v>
      </c>
      <c r="D1299" t="s">
        <v>29</v>
      </c>
      <c r="E1299">
        <v>2.9706E-2</v>
      </c>
    </row>
    <row r="1300" spans="1:5" x14ac:dyDescent="0.3">
      <c r="A1300">
        <v>33</v>
      </c>
      <c r="B1300">
        <v>265000</v>
      </c>
      <c r="C1300" t="s">
        <v>45</v>
      </c>
      <c r="D1300" t="s">
        <v>30</v>
      </c>
      <c r="E1300">
        <v>8.633E-3</v>
      </c>
    </row>
    <row r="1301" spans="1:5" x14ac:dyDescent="0.3">
      <c r="A1301">
        <v>33</v>
      </c>
      <c r="B1301">
        <v>265000</v>
      </c>
      <c r="C1301" t="s">
        <v>45</v>
      </c>
      <c r="D1301" t="s">
        <v>31</v>
      </c>
      <c r="E1301">
        <v>5.8900000000000003E-3</v>
      </c>
    </row>
    <row r="1302" spans="1:5" x14ac:dyDescent="0.3">
      <c r="A1302">
        <v>33</v>
      </c>
      <c r="B1302">
        <v>265000</v>
      </c>
      <c r="C1302" t="s">
        <v>45</v>
      </c>
      <c r="D1302" t="s">
        <v>32</v>
      </c>
      <c r="E1302">
        <v>6.1770000000000002E-3</v>
      </c>
    </row>
    <row r="1303" spans="1:5" x14ac:dyDescent="0.3">
      <c r="A1303">
        <v>33</v>
      </c>
      <c r="B1303">
        <v>265000</v>
      </c>
      <c r="C1303" t="s">
        <v>45</v>
      </c>
      <c r="D1303" t="s">
        <v>33</v>
      </c>
      <c r="E1303">
        <v>70518.455499999996</v>
      </c>
    </row>
    <row r="1304" spans="1:5" x14ac:dyDescent="0.3">
      <c r="A1304">
        <v>33</v>
      </c>
      <c r="B1304">
        <v>265000</v>
      </c>
      <c r="C1304" t="s">
        <v>45</v>
      </c>
      <c r="D1304" t="s">
        <v>34</v>
      </c>
      <c r="E1304">
        <v>6.1190000000000003E-3</v>
      </c>
    </row>
    <row r="1305" spans="1:5" x14ac:dyDescent="0.3">
      <c r="A1305">
        <v>33</v>
      </c>
      <c r="B1305">
        <v>265000</v>
      </c>
      <c r="C1305" t="s">
        <v>45</v>
      </c>
      <c r="D1305" t="s">
        <v>35</v>
      </c>
      <c r="E1305">
        <v>48271.611831000002</v>
      </c>
    </row>
    <row r="1306" spans="1:5" x14ac:dyDescent="0.3">
      <c r="A1306">
        <v>33</v>
      </c>
      <c r="B1306">
        <v>265000</v>
      </c>
      <c r="C1306" t="s">
        <v>45</v>
      </c>
      <c r="D1306" t="s">
        <v>36</v>
      </c>
      <c r="E1306">
        <v>5.3740000000000003E-3</v>
      </c>
    </row>
    <row r="1307" spans="1:5" x14ac:dyDescent="0.3">
      <c r="A1307">
        <v>33</v>
      </c>
      <c r="B1307">
        <v>265000</v>
      </c>
      <c r="C1307" t="s">
        <v>45</v>
      </c>
      <c r="D1307" t="s">
        <v>37</v>
      </c>
      <c r="E1307">
        <v>3.3628999999999999E-2</v>
      </c>
    </row>
    <row r="1308" spans="1:5" x14ac:dyDescent="0.3">
      <c r="A1308">
        <v>33</v>
      </c>
      <c r="B1308">
        <v>265000</v>
      </c>
      <c r="C1308" t="s">
        <v>45</v>
      </c>
      <c r="D1308" t="s">
        <v>38</v>
      </c>
      <c r="E1308">
        <v>1.2713E-2</v>
      </c>
    </row>
    <row r="1309" spans="1:5" x14ac:dyDescent="0.3">
      <c r="A1309">
        <v>33</v>
      </c>
      <c r="B1309">
        <v>265000</v>
      </c>
      <c r="C1309" t="s">
        <v>45</v>
      </c>
      <c r="D1309" t="s">
        <v>39</v>
      </c>
      <c r="E1309">
        <v>1.1157E-2</v>
      </c>
    </row>
    <row r="1310" spans="1:5" x14ac:dyDescent="0.3">
      <c r="A1310">
        <v>33</v>
      </c>
      <c r="B1310">
        <v>265000</v>
      </c>
      <c r="C1310" t="s">
        <v>45</v>
      </c>
      <c r="D1310" t="s">
        <v>40</v>
      </c>
      <c r="E1310">
        <v>2.7067999999999998E-2</v>
      </c>
    </row>
    <row r="1311" spans="1:5" x14ac:dyDescent="0.3">
      <c r="A1311">
        <v>33</v>
      </c>
      <c r="B1311">
        <v>265000</v>
      </c>
      <c r="C1311" t="s">
        <v>45</v>
      </c>
      <c r="D1311" t="s">
        <v>41</v>
      </c>
      <c r="E1311">
        <v>1.1454000000000001E-2</v>
      </c>
    </row>
    <row r="1312" spans="1:5" x14ac:dyDescent="0.3">
      <c r="A1312">
        <v>33</v>
      </c>
      <c r="B1312">
        <v>265000</v>
      </c>
      <c r="C1312" t="s">
        <v>45</v>
      </c>
      <c r="D1312" t="s">
        <v>42</v>
      </c>
      <c r="E1312">
        <v>5.2449999999999997E-3</v>
      </c>
    </row>
    <row r="1313" spans="1:5" x14ac:dyDescent="0.3">
      <c r="A1313">
        <v>33</v>
      </c>
      <c r="B1313">
        <v>265000</v>
      </c>
      <c r="C1313" t="s">
        <v>45</v>
      </c>
      <c r="D1313" t="s">
        <v>43</v>
      </c>
      <c r="E1313">
        <v>3.1180000000000001E-3</v>
      </c>
    </row>
    <row r="1314" spans="1:5" x14ac:dyDescent="0.3">
      <c r="A1314">
        <v>33</v>
      </c>
      <c r="B1314">
        <v>265000</v>
      </c>
      <c r="C1314" t="s">
        <v>46</v>
      </c>
      <c r="D1314" t="s">
        <v>28</v>
      </c>
      <c r="E1314">
        <v>147001.70608800001</v>
      </c>
    </row>
    <row r="1315" spans="1:5" x14ac:dyDescent="0.3">
      <c r="A1315">
        <v>33</v>
      </c>
      <c r="B1315">
        <v>265000</v>
      </c>
      <c r="C1315" t="s">
        <v>46</v>
      </c>
      <c r="D1315" t="s">
        <v>29</v>
      </c>
      <c r="E1315">
        <v>0.50137900000000002</v>
      </c>
    </row>
    <row r="1316" spans="1:5" x14ac:dyDescent="0.3">
      <c r="A1316">
        <v>33</v>
      </c>
      <c r="B1316">
        <v>265000</v>
      </c>
      <c r="C1316" t="s">
        <v>46</v>
      </c>
      <c r="D1316" t="s">
        <v>30</v>
      </c>
      <c r="E1316">
        <v>0.15581800000000001</v>
      </c>
    </row>
    <row r="1317" spans="1:5" x14ac:dyDescent="0.3">
      <c r="A1317">
        <v>33</v>
      </c>
      <c r="B1317">
        <v>265000</v>
      </c>
      <c r="C1317" t="s">
        <v>46</v>
      </c>
      <c r="D1317" t="s">
        <v>31</v>
      </c>
      <c r="E1317">
        <v>9.8345000000000002E-2</v>
      </c>
    </row>
    <row r="1318" spans="1:5" x14ac:dyDescent="0.3">
      <c r="A1318">
        <v>33</v>
      </c>
      <c r="B1318">
        <v>265000</v>
      </c>
      <c r="C1318" t="s">
        <v>46</v>
      </c>
      <c r="D1318" t="s">
        <v>32</v>
      </c>
      <c r="E1318">
        <v>0.10385800000000001</v>
      </c>
    </row>
    <row r="1319" spans="1:5" x14ac:dyDescent="0.3">
      <c r="A1319">
        <v>33</v>
      </c>
      <c r="B1319">
        <v>265000</v>
      </c>
      <c r="C1319" t="s">
        <v>46</v>
      </c>
      <c r="D1319" t="s">
        <v>33</v>
      </c>
      <c r="E1319">
        <v>69724.496320000006</v>
      </c>
    </row>
    <row r="1320" spans="1:5" x14ac:dyDescent="0.3">
      <c r="A1320">
        <v>33</v>
      </c>
      <c r="B1320">
        <v>265000</v>
      </c>
      <c r="C1320" t="s">
        <v>46</v>
      </c>
      <c r="D1320" t="s">
        <v>34</v>
      </c>
      <c r="E1320">
        <v>0.11536100000000001</v>
      </c>
    </row>
    <row r="1321" spans="1:5" x14ac:dyDescent="0.3">
      <c r="A1321">
        <v>33</v>
      </c>
      <c r="B1321">
        <v>265000</v>
      </c>
      <c r="C1321" t="s">
        <v>46</v>
      </c>
      <c r="D1321" t="s">
        <v>35</v>
      </c>
      <c r="E1321">
        <v>48271.186113000003</v>
      </c>
    </row>
    <row r="1322" spans="1:5" x14ac:dyDescent="0.3">
      <c r="A1322">
        <v>33</v>
      </c>
      <c r="B1322">
        <v>265000</v>
      </c>
      <c r="C1322" t="s">
        <v>46</v>
      </c>
      <c r="D1322" t="s">
        <v>36</v>
      </c>
      <c r="E1322">
        <v>9.0698000000000001E-2</v>
      </c>
    </row>
    <row r="1323" spans="1:5" x14ac:dyDescent="0.3">
      <c r="A1323">
        <v>33</v>
      </c>
      <c r="B1323">
        <v>265000</v>
      </c>
      <c r="C1323" t="s">
        <v>46</v>
      </c>
      <c r="D1323" t="s">
        <v>37</v>
      </c>
      <c r="E1323">
        <v>0.44486300000000001</v>
      </c>
    </row>
    <row r="1324" spans="1:5" x14ac:dyDescent="0.3">
      <c r="A1324">
        <v>33</v>
      </c>
      <c r="B1324">
        <v>265000</v>
      </c>
      <c r="C1324" t="s">
        <v>46</v>
      </c>
      <c r="D1324" t="s">
        <v>38</v>
      </c>
      <c r="E1324">
        <v>0.21244499999999999</v>
      </c>
    </row>
    <row r="1325" spans="1:5" x14ac:dyDescent="0.3">
      <c r="A1325">
        <v>33</v>
      </c>
      <c r="B1325">
        <v>265000</v>
      </c>
      <c r="C1325" t="s">
        <v>46</v>
      </c>
      <c r="D1325" t="s">
        <v>39</v>
      </c>
      <c r="E1325">
        <v>0.186616</v>
      </c>
    </row>
    <row r="1326" spans="1:5" x14ac:dyDescent="0.3">
      <c r="A1326">
        <v>33</v>
      </c>
      <c r="B1326">
        <v>265000</v>
      </c>
      <c r="C1326" t="s">
        <v>46</v>
      </c>
      <c r="D1326" t="s">
        <v>40</v>
      </c>
      <c r="E1326">
        <v>0.44691399999999998</v>
      </c>
    </row>
    <row r="1327" spans="1:5" x14ac:dyDescent="0.3">
      <c r="A1327">
        <v>33</v>
      </c>
      <c r="B1327">
        <v>265000</v>
      </c>
      <c r="C1327" t="s">
        <v>46</v>
      </c>
      <c r="D1327" t="s">
        <v>41</v>
      </c>
      <c r="E1327">
        <v>0.19669300000000001</v>
      </c>
    </row>
    <row r="1328" spans="1:5" x14ac:dyDescent="0.3">
      <c r="A1328">
        <v>33</v>
      </c>
      <c r="B1328">
        <v>265000</v>
      </c>
      <c r="C1328" t="s">
        <v>46</v>
      </c>
      <c r="D1328" t="s">
        <v>42</v>
      </c>
      <c r="E1328">
        <v>9.2351000000000003E-2</v>
      </c>
    </row>
    <row r="1329" spans="1:5" x14ac:dyDescent="0.3">
      <c r="A1329">
        <v>33</v>
      </c>
      <c r="B1329">
        <v>265000</v>
      </c>
      <c r="C1329" t="s">
        <v>46</v>
      </c>
      <c r="D1329" t="s">
        <v>43</v>
      </c>
      <c r="E1329">
        <v>5.2413000000000001E-2</v>
      </c>
    </row>
    <row r="1330" spans="1:5" x14ac:dyDescent="0.3">
      <c r="A1330">
        <v>34</v>
      </c>
      <c r="B1330">
        <v>270000</v>
      </c>
      <c r="C1330" t="s">
        <v>45</v>
      </c>
      <c r="D1330" t="s">
        <v>28</v>
      </c>
      <c r="E1330">
        <v>148391.736351</v>
      </c>
    </row>
    <row r="1331" spans="1:5" x14ac:dyDescent="0.3">
      <c r="A1331">
        <v>34</v>
      </c>
      <c r="B1331">
        <v>270000</v>
      </c>
      <c r="C1331" t="s">
        <v>45</v>
      </c>
      <c r="D1331" t="s">
        <v>29</v>
      </c>
      <c r="E1331">
        <v>0.28432299999999999</v>
      </c>
    </row>
    <row r="1332" spans="1:5" x14ac:dyDescent="0.3">
      <c r="A1332">
        <v>34</v>
      </c>
      <c r="B1332">
        <v>270000</v>
      </c>
      <c r="C1332" t="s">
        <v>45</v>
      </c>
      <c r="D1332" t="s">
        <v>30</v>
      </c>
      <c r="E1332">
        <v>0.116246</v>
      </c>
    </row>
    <row r="1333" spans="1:5" x14ac:dyDescent="0.3">
      <c r="A1333">
        <v>34</v>
      </c>
      <c r="B1333">
        <v>270000</v>
      </c>
      <c r="C1333" t="s">
        <v>45</v>
      </c>
      <c r="D1333" t="s">
        <v>31</v>
      </c>
      <c r="E1333">
        <v>5.8741000000000002E-2</v>
      </c>
    </row>
    <row r="1334" spans="1:5" x14ac:dyDescent="0.3">
      <c r="A1334">
        <v>34</v>
      </c>
      <c r="B1334">
        <v>270000</v>
      </c>
      <c r="C1334" t="s">
        <v>45</v>
      </c>
      <c r="D1334" t="s">
        <v>32</v>
      </c>
      <c r="E1334">
        <v>6.6489000000000006E-2</v>
      </c>
    </row>
    <row r="1335" spans="1:5" x14ac:dyDescent="0.3">
      <c r="A1335">
        <v>34</v>
      </c>
      <c r="B1335">
        <v>270000</v>
      </c>
      <c r="C1335" t="s">
        <v>45</v>
      </c>
      <c r="D1335" t="s">
        <v>33</v>
      </c>
      <c r="E1335">
        <v>73335.229017999998</v>
      </c>
    </row>
    <row r="1336" spans="1:5" x14ac:dyDescent="0.3">
      <c r="A1336">
        <v>34</v>
      </c>
      <c r="B1336">
        <v>270000</v>
      </c>
      <c r="C1336" t="s">
        <v>45</v>
      </c>
      <c r="D1336" t="s">
        <v>34</v>
      </c>
      <c r="E1336">
        <v>7.7731999999999996E-2</v>
      </c>
    </row>
    <row r="1337" spans="1:5" x14ac:dyDescent="0.3">
      <c r="A1337">
        <v>34</v>
      </c>
      <c r="B1337">
        <v>270000</v>
      </c>
      <c r="C1337" t="s">
        <v>45</v>
      </c>
      <c r="D1337" t="s">
        <v>35</v>
      </c>
      <c r="E1337">
        <v>48271.471487000003</v>
      </c>
    </row>
    <row r="1338" spans="1:5" x14ac:dyDescent="0.3">
      <c r="A1338">
        <v>34</v>
      </c>
      <c r="B1338">
        <v>270000</v>
      </c>
      <c r="C1338" t="s">
        <v>45</v>
      </c>
      <c r="D1338" t="s">
        <v>36</v>
      </c>
      <c r="E1338">
        <v>5.1406E-2</v>
      </c>
    </row>
    <row r="1339" spans="1:5" x14ac:dyDescent="0.3">
      <c r="A1339">
        <v>34</v>
      </c>
      <c r="B1339">
        <v>270000</v>
      </c>
      <c r="C1339" t="s">
        <v>45</v>
      </c>
      <c r="D1339" t="s">
        <v>37</v>
      </c>
      <c r="E1339">
        <v>0.28195100000000001</v>
      </c>
    </row>
    <row r="1340" spans="1:5" x14ac:dyDescent="0.3">
      <c r="A1340">
        <v>34</v>
      </c>
      <c r="B1340">
        <v>270000</v>
      </c>
      <c r="C1340" t="s">
        <v>45</v>
      </c>
      <c r="D1340" t="s">
        <v>38</v>
      </c>
      <c r="E1340">
        <v>0.130248</v>
      </c>
    </row>
    <row r="1341" spans="1:5" x14ac:dyDescent="0.3">
      <c r="A1341">
        <v>34</v>
      </c>
      <c r="B1341">
        <v>270000</v>
      </c>
      <c r="C1341" t="s">
        <v>45</v>
      </c>
      <c r="D1341" t="s">
        <v>39</v>
      </c>
      <c r="E1341">
        <v>0.11208600000000001</v>
      </c>
    </row>
    <row r="1342" spans="1:5" x14ac:dyDescent="0.3">
      <c r="A1342">
        <v>34</v>
      </c>
      <c r="B1342">
        <v>270000</v>
      </c>
      <c r="C1342" t="s">
        <v>45</v>
      </c>
      <c r="D1342" t="s">
        <v>40</v>
      </c>
      <c r="E1342">
        <v>0.27629199999999998</v>
      </c>
    </row>
    <row r="1343" spans="1:5" x14ac:dyDescent="0.3">
      <c r="A1343">
        <v>34</v>
      </c>
      <c r="B1343">
        <v>270000</v>
      </c>
      <c r="C1343" t="s">
        <v>45</v>
      </c>
      <c r="D1343" t="s">
        <v>41</v>
      </c>
      <c r="E1343">
        <v>0.109768</v>
      </c>
    </row>
    <row r="1344" spans="1:5" x14ac:dyDescent="0.3">
      <c r="A1344">
        <v>34</v>
      </c>
      <c r="B1344">
        <v>270000</v>
      </c>
      <c r="C1344" t="s">
        <v>45</v>
      </c>
      <c r="D1344" t="s">
        <v>42</v>
      </c>
      <c r="E1344">
        <v>5.4771E-2</v>
      </c>
    </row>
    <row r="1345" spans="1:5" x14ac:dyDescent="0.3">
      <c r="A1345">
        <v>34</v>
      </c>
      <c r="B1345">
        <v>270000</v>
      </c>
      <c r="C1345" t="s">
        <v>45</v>
      </c>
      <c r="D1345" t="s">
        <v>43</v>
      </c>
      <c r="E1345">
        <v>2.9874999999999999E-2</v>
      </c>
    </row>
    <row r="1346" spans="1:5" x14ac:dyDescent="0.3">
      <c r="A1346">
        <v>34</v>
      </c>
      <c r="B1346">
        <v>270000</v>
      </c>
      <c r="C1346" t="s">
        <v>46</v>
      </c>
      <c r="D1346" t="s">
        <v>28</v>
      </c>
      <c r="E1346">
        <v>147854.46044200001</v>
      </c>
    </row>
    <row r="1347" spans="1:5" x14ac:dyDescent="0.3">
      <c r="A1347">
        <v>34</v>
      </c>
      <c r="B1347">
        <v>270000</v>
      </c>
      <c r="C1347" t="s">
        <v>46</v>
      </c>
      <c r="D1347" t="s">
        <v>29</v>
      </c>
      <c r="E1347">
        <v>0.136714</v>
      </c>
    </row>
    <row r="1348" spans="1:5" x14ac:dyDescent="0.3">
      <c r="A1348">
        <v>34</v>
      </c>
      <c r="B1348">
        <v>270000</v>
      </c>
      <c r="C1348" t="s">
        <v>46</v>
      </c>
      <c r="D1348" t="s">
        <v>30</v>
      </c>
      <c r="E1348">
        <v>5.7595E-2</v>
      </c>
    </row>
    <row r="1349" spans="1:5" x14ac:dyDescent="0.3">
      <c r="A1349">
        <v>34</v>
      </c>
      <c r="B1349">
        <v>270000</v>
      </c>
      <c r="C1349" t="s">
        <v>46</v>
      </c>
      <c r="D1349" t="s">
        <v>31</v>
      </c>
      <c r="E1349">
        <v>2.7147999999999999E-2</v>
      </c>
    </row>
    <row r="1350" spans="1:5" x14ac:dyDescent="0.3">
      <c r="A1350">
        <v>34</v>
      </c>
      <c r="B1350">
        <v>270000</v>
      </c>
      <c r="C1350" t="s">
        <v>46</v>
      </c>
      <c r="D1350" t="s">
        <v>32</v>
      </c>
      <c r="E1350">
        <v>3.0779999999999998E-2</v>
      </c>
    </row>
    <row r="1351" spans="1:5" x14ac:dyDescent="0.3">
      <c r="A1351">
        <v>34</v>
      </c>
      <c r="B1351">
        <v>270000</v>
      </c>
      <c r="C1351" t="s">
        <v>46</v>
      </c>
      <c r="D1351" t="s">
        <v>33</v>
      </c>
      <c r="E1351">
        <v>73873.206739999994</v>
      </c>
    </row>
    <row r="1352" spans="1:5" x14ac:dyDescent="0.3">
      <c r="A1352">
        <v>34</v>
      </c>
      <c r="B1352">
        <v>270000</v>
      </c>
      <c r="C1352" t="s">
        <v>46</v>
      </c>
      <c r="D1352" t="s">
        <v>34</v>
      </c>
      <c r="E1352">
        <v>5.8858000000000001E-2</v>
      </c>
    </row>
    <row r="1353" spans="1:5" x14ac:dyDescent="0.3">
      <c r="A1353">
        <v>34</v>
      </c>
      <c r="B1353">
        <v>270000</v>
      </c>
      <c r="C1353" t="s">
        <v>46</v>
      </c>
      <c r="D1353" t="s">
        <v>35</v>
      </c>
      <c r="E1353">
        <v>48271.552581000004</v>
      </c>
    </row>
    <row r="1354" spans="1:5" x14ac:dyDescent="0.3">
      <c r="A1354">
        <v>34</v>
      </c>
      <c r="B1354">
        <v>270000</v>
      </c>
      <c r="C1354" t="s">
        <v>46</v>
      </c>
      <c r="D1354" t="s">
        <v>36</v>
      </c>
      <c r="E1354">
        <v>2.4868999999999999E-2</v>
      </c>
    </row>
    <row r="1355" spans="1:5" x14ac:dyDescent="0.3">
      <c r="A1355">
        <v>34</v>
      </c>
      <c r="B1355">
        <v>270000</v>
      </c>
      <c r="C1355" t="s">
        <v>46</v>
      </c>
      <c r="D1355" t="s">
        <v>37</v>
      </c>
      <c r="E1355">
        <v>0.126828</v>
      </c>
    </row>
    <row r="1356" spans="1:5" x14ac:dyDescent="0.3">
      <c r="A1356">
        <v>34</v>
      </c>
      <c r="B1356">
        <v>270000</v>
      </c>
      <c r="C1356" t="s">
        <v>46</v>
      </c>
      <c r="D1356" t="s">
        <v>38</v>
      </c>
      <c r="E1356">
        <v>5.8921000000000001E-2</v>
      </c>
    </row>
    <row r="1357" spans="1:5" x14ac:dyDescent="0.3">
      <c r="A1357">
        <v>34</v>
      </c>
      <c r="B1357">
        <v>270000</v>
      </c>
      <c r="C1357" t="s">
        <v>46</v>
      </c>
      <c r="D1357" t="s">
        <v>39</v>
      </c>
      <c r="E1357">
        <v>5.5488999999999997E-2</v>
      </c>
    </row>
    <row r="1358" spans="1:5" x14ac:dyDescent="0.3">
      <c r="A1358">
        <v>34</v>
      </c>
      <c r="B1358">
        <v>270000</v>
      </c>
      <c r="C1358" t="s">
        <v>46</v>
      </c>
      <c r="D1358" t="s">
        <v>40</v>
      </c>
      <c r="E1358">
        <v>0.12785199999999999</v>
      </c>
    </row>
    <row r="1359" spans="1:5" x14ac:dyDescent="0.3">
      <c r="A1359">
        <v>34</v>
      </c>
      <c r="B1359">
        <v>270000</v>
      </c>
      <c r="C1359" t="s">
        <v>46</v>
      </c>
      <c r="D1359" t="s">
        <v>41</v>
      </c>
      <c r="E1359">
        <v>5.4031000000000003E-2</v>
      </c>
    </row>
    <row r="1360" spans="1:5" x14ac:dyDescent="0.3">
      <c r="A1360">
        <v>34</v>
      </c>
      <c r="B1360">
        <v>270000</v>
      </c>
      <c r="C1360" t="s">
        <v>46</v>
      </c>
      <c r="D1360" t="s">
        <v>42</v>
      </c>
      <c r="E1360">
        <v>2.8459999999999999E-2</v>
      </c>
    </row>
    <row r="1361" spans="1:5" x14ac:dyDescent="0.3">
      <c r="A1361">
        <v>34</v>
      </c>
      <c r="B1361">
        <v>270000</v>
      </c>
      <c r="C1361" t="s">
        <v>46</v>
      </c>
      <c r="D1361" t="s">
        <v>43</v>
      </c>
      <c r="E1361">
        <v>1.4938E-2</v>
      </c>
    </row>
    <row r="1362" spans="1:5" x14ac:dyDescent="0.3">
      <c r="A1362">
        <v>35</v>
      </c>
      <c r="B1362">
        <v>275000</v>
      </c>
      <c r="C1362" t="s">
        <v>45</v>
      </c>
      <c r="D1362" t="s">
        <v>28</v>
      </c>
      <c r="E1362">
        <v>148463.017666</v>
      </c>
    </row>
    <row r="1363" spans="1:5" x14ac:dyDescent="0.3">
      <c r="A1363">
        <v>35</v>
      </c>
      <c r="B1363">
        <v>275000</v>
      </c>
      <c r="C1363" t="s">
        <v>45</v>
      </c>
      <c r="D1363" t="s">
        <v>29</v>
      </c>
      <c r="E1363">
        <v>0.38752999999999999</v>
      </c>
    </row>
    <row r="1364" spans="1:5" x14ac:dyDescent="0.3">
      <c r="A1364">
        <v>35</v>
      </c>
      <c r="B1364">
        <v>275000</v>
      </c>
      <c r="C1364" t="s">
        <v>45</v>
      </c>
      <c r="D1364" t="s">
        <v>30</v>
      </c>
      <c r="E1364">
        <v>0.18731600000000001</v>
      </c>
    </row>
    <row r="1365" spans="1:5" x14ac:dyDescent="0.3">
      <c r="A1365">
        <v>35</v>
      </c>
      <c r="B1365">
        <v>275000</v>
      </c>
      <c r="C1365" t="s">
        <v>45</v>
      </c>
      <c r="D1365" t="s">
        <v>31</v>
      </c>
      <c r="E1365">
        <v>7.4908000000000002E-2</v>
      </c>
    </row>
    <row r="1366" spans="1:5" x14ac:dyDescent="0.3">
      <c r="A1366">
        <v>35</v>
      </c>
      <c r="B1366">
        <v>275000</v>
      </c>
      <c r="C1366" t="s">
        <v>45</v>
      </c>
      <c r="D1366" t="s">
        <v>32</v>
      </c>
      <c r="E1366">
        <v>8.6613999999999997E-2</v>
      </c>
    </row>
    <row r="1367" spans="1:5" x14ac:dyDescent="0.3">
      <c r="A1367">
        <v>35</v>
      </c>
      <c r="B1367">
        <v>275000</v>
      </c>
      <c r="C1367" t="s">
        <v>45</v>
      </c>
      <c r="D1367" t="s">
        <v>33</v>
      </c>
      <c r="E1367">
        <v>78263.363479000007</v>
      </c>
    </row>
    <row r="1368" spans="1:5" x14ac:dyDescent="0.3">
      <c r="A1368">
        <v>35</v>
      </c>
      <c r="B1368">
        <v>275000</v>
      </c>
      <c r="C1368" t="s">
        <v>45</v>
      </c>
      <c r="D1368" t="s">
        <v>34</v>
      </c>
      <c r="E1368">
        <v>0.12391000000000001</v>
      </c>
    </row>
    <row r="1369" spans="1:5" x14ac:dyDescent="0.3">
      <c r="A1369">
        <v>35</v>
      </c>
      <c r="B1369">
        <v>275000</v>
      </c>
      <c r="C1369" t="s">
        <v>45</v>
      </c>
      <c r="D1369" t="s">
        <v>35</v>
      </c>
      <c r="E1369">
        <v>48271.464252999998</v>
      </c>
    </row>
    <row r="1370" spans="1:5" x14ac:dyDescent="0.3">
      <c r="A1370">
        <v>35</v>
      </c>
      <c r="B1370">
        <v>275000</v>
      </c>
      <c r="C1370" t="s">
        <v>45</v>
      </c>
      <c r="D1370" t="s">
        <v>36</v>
      </c>
      <c r="E1370">
        <v>6.2600000000000003E-2</v>
      </c>
    </row>
    <row r="1371" spans="1:5" x14ac:dyDescent="0.3">
      <c r="A1371">
        <v>35</v>
      </c>
      <c r="B1371">
        <v>275000</v>
      </c>
      <c r="C1371" t="s">
        <v>45</v>
      </c>
      <c r="D1371" t="s">
        <v>37</v>
      </c>
      <c r="E1371">
        <v>0.41236200000000001</v>
      </c>
    </row>
    <row r="1372" spans="1:5" x14ac:dyDescent="0.3">
      <c r="A1372">
        <v>35</v>
      </c>
      <c r="B1372">
        <v>275000</v>
      </c>
      <c r="C1372" t="s">
        <v>45</v>
      </c>
      <c r="D1372" t="s">
        <v>38</v>
      </c>
      <c r="E1372">
        <v>0.17316500000000001</v>
      </c>
    </row>
    <row r="1373" spans="1:5" x14ac:dyDescent="0.3">
      <c r="A1373">
        <v>35</v>
      </c>
      <c r="B1373">
        <v>275000</v>
      </c>
      <c r="C1373" t="s">
        <v>45</v>
      </c>
      <c r="D1373" t="s">
        <v>39</v>
      </c>
      <c r="E1373">
        <v>0.14567099999999999</v>
      </c>
    </row>
    <row r="1374" spans="1:5" x14ac:dyDescent="0.3">
      <c r="A1374">
        <v>35</v>
      </c>
      <c r="B1374">
        <v>275000</v>
      </c>
      <c r="C1374" t="s">
        <v>45</v>
      </c>
      <c r="D1374" t="s">
        <v>40</v>
      </c>
      <c r="E1374">
        <v>0.34827000000000002</v>
      </c>
    </row>
    <row r="1375" spans="1:5" x14ac:dyDescent="0.3">
      <c r="A1375">
        <v>35</v>
      </c>
      <c r="B1375">
        <v>275000</v>
      </c>
      <c r="C1375" t="s">
        <v>45</v>
      </c>
      <c r="D1375" t="s">
        <v>41</v>
      </c>
      <c r="E1375">
        <v>0.138711</v>
      </c>
    </row>
    <row r="1376" spans="1:5" x14ac:dyDescent="0.3">
      <c r="A1376">
        <v>35</v>
      </c>
      <c r="B1376">
        <v>275000</v>
      </c>
      <c r="C1376" t="s">
        <v>45</v>
      </c>
      <c r="D1376" t="s">
        <v>42</v>
      </c>
      <c r="E1376">
        <v>6.9074999999999998E-2</v>
      </c>
    </row>
    <row r="1377" spans="1:5" x14ac:dyDescent="0.3">
      <c r="A1377">
        <v>35</v>
      </c>
      <c r="B1377">
        <v>275000</v>
      </c>
      <c r="C1377" t="s">
        <v>45</v>
      </c>
      <c r="D1377" t="s">
        <v>43</v>
      </c>
      <c r="E1377">
        <v>3.4658000000000001E-2</v>
      </c>
    </row>
    <row r="1378" spans="1:5" x14ac:dyDescent="0.3">
      <c r="A1378">
        <v>35</v>
      </c>
      <c r="B1378">
        <v>275000</v>
      </c>
      <c r="C1378" t="s">
        <v>46</v>
      </c>
      <c r="D1378" t="s">
        <v>28</v>
      </c>
      <c r="E1378">
        <v>148628.59445100001</v>
      </c>
    </row>
    <row r="1379" spans="1:5" x14ac:dyDescent="0.3">
      <c r="A1379">
        <v>35</v>
      </c>
      <c r="B1379">
        <v>275000</v>
      </c>
      <c r="C1379" t="s">
        <v>46</v>
      </c>
      <c r="D1379" t="s">
        <v>29</v>
      </c>
      <c r="E1379">
        <v>0.23947099999999999</v>
      </c>
    </row>
    <row r="1380" spans="1:5" x14ac:dyDescent="0.3">
      <c r="A1380">
        <v>35</v>
      </c>
      <c r="B1380">
        <v>275000</v>
      </c>
      <c r="C1380" t="s">
        <v>46</v>
      </c>
      <c r="D1380" t="s">
        <v>30</v>
      </c>
      <c r="E1380">
        <v>0.105</v>
      </c>
    </row>
    <row r="1381" spans="1:5" x14ac:dyDescent="0.3">
      <c r="A1381">
        <v>35</v>
      </c>
      <c r="B1381">
        <v>275000</v>
      </c>
      <c r="C1381" t="s">
        <v>46</v>
      </c>
      <c r="D1381" t="s">
        <v>31</v>
      </c>
      <c r="E1381">
        <v>4.8446000000000003E-2</v>
      </c>
    </row>
    <row r="1382" spans="1:5" x14ac:dyDescent="0.3">
      <c r="A1382">
        <v>35</v>
      </c>
      <c r="B1382">
        <v>275000</v>
      </c>
      <c r="C1382" t="s">
        <v>46</v>
      </c>
      <c r="D1382" t="s">
        <v>32</v>
      </c>
      <c r="E1382">
        <v>5.4679999999999999E-2</v>
      </c>
    </row>
    <row r="1383" spans="1:5" x14ac:dyDescent="0.3">
      <c r="A1383">
        <v>35</v>
      </c>
      <c r="B1383">
        <v>275000</v>
      </c>
      <c r="C1383" t="s">
        <v>46</v>
      </c>
      <c r="D1383" t="s">
        <v>33</v>
      </c>
      <c r="E1383">
        <v>78098.555993999995</v>
      </c>
    </row>
    <row r="1384" spans="1:5" x14ac:dyDescent="0.3">
      <c r="A1384">
        <v>35</v>
      </c>
      <c r="B1384">
        <v>275000</v>
      </c>
      <c r="C1384" t="s">
        <v>46</v>
      </c>
      <c r="D1384" t="s">
        <v>34</v>
      </c>
      <c r="E1384">
        <v>9.8707000000000003E-2</v>
      </c>
    </row>
    <row r="1385" spans="1:5" x14ac:dyDescent="0.3">
      <c r="A1385">
        <v>35</v>
      </c>
      <c r="B1385">
        <v>275000</v>
      </c>
      <c r="C1385" t="s">
        <v>46</v>
      </c>
      <c r="D1385" t="s">
        <v>35</v>
      </c>
      <c r="E1385">
        <v>48271.480559000003</v>
      </c>
    </row>
    <row r="1386" spans="1:5" x14ac:dyDescent="0.3">
      <c r="A1386">
        <v>35</v>
      </c>
      <c r="B1386">
        <v>275000</v>
      </c>
      <c r="C1386" t="s">
        <v>46</v>
      </c>
      <c r="D1386" t="s">
        <v>36</v>
      </c>
      <c r="E1386">
        <v>4.3279999999999999E-2</v>
      </c>
    </row>
    <row r="1387" spans="1:5" x14ac:dyDescent="0.3">
      <c r="A1387">
        <v>35</v>
      </c>
      <c r="B1387">
        <v>275000</v>
      </c>
      <c r="C1387" t="s">
        <v>46</v>
      </c>
      <c r="D1387" t="s">
        <v>37</v>
      </c>
      <c r="E1387">
        <v>0.21799299999999999</v>
      </c>
    </row>
    <row r="1388" spans="1:5" x14ac:dyDescent="0.3">
      <c r="A1388">
        <v>35</v>
      </c>
      <c r="B1388">
        <v>275000</v>
      </c>
      <c r="C1388" t="s">
        <v>46</v>
      </c>
      <c r="D1388" t="s">
        <v>38</v>
      </c>
      <c r="E1388">
        <v>0.103195</v>
      </c>
    </row>
    <row r="1389" spans="1:5" x14ac:dyDescent="0.3">
      <c r="A1389">
        <v>35</v>
      </c>
      <c r="B1389">
        <v>275000</v>
      </c>
      <c r="C1389" t="s">
        <v>46</v>
      </c>
      <c r="D1389" t="s">
        <v>39</v>
      </c>
      <c r="E1389">
        <v>9.6644999999999995E-2</v>
      </c>
    </row>
    <row r="1390" spans="1:5" x14ac:dyDescent="0.3">
      <c r="A1390">
        <v>35</v>
      </c>
      <c r="B1390">
        <v>275000</v>
      </c>
      <c r="C1390" t="s">
        <v>46</v>
      </c>
      <c r="D1390" t="s">
        <v>40</v>
      </c>
      <c r="E1390">
        <v>0.22923099999999999</v>
      </c>
    </row>
    <row r="1391" spans="1:5" x14ac:dyDescent="0.3">
      <c r="A1391">
        <v>35</v>
      </c>
      <c r="B1391">
        <v>275000</v>
      </c>
      <c r="C1391" t="s">
        <v>46</v>
      </c>
      <c r="D1391" t="s">
        <v>41</v>
      </c>
      <c r="E1391">
        <v>9.1162999999999994E-2</v>
      </c>
    </row>
    <row r="1392" spans="1:5" x14ac:dyDescent="0.3">
      <c r="A1392">
        <v>35</v>
      </c>
      <c r="B1392">
        <v>275000</v>
      </c>
      <c r="C1392" t="s">
        <v>46</v>
      </c>
      <c r="D1392" t="s">
        <v>42</v>
      </c>
      <c r="E1392">
        <v>4.9068000000000001E-2</v>
      </c>
    </row>
    <row r="1393" spans="1:5" x14ac:dyDescent="0.3">
      <c r="A1393">
        <v>35</v>
      </c>
      <c r="B1393">
        <v>275000</v>
      </c>
      <c r="C1393" t="s">
        <v>46</v>
      </c>
      <c r="D1393" t="s">
        <v>43</v>
      </c>
      <c r="E1393">
        <v>2.5489000000000001E-2</v>
      </c>
    </row>
    <row r="1394" spans="1:5" x14ac:dyDescent="0.3">
      <c r="A1394">
        <v>36</v>
      </c>
      <c r="B1394">
        <v>280000</v>
      </c>
      <c r="C1394" t="s">
        <v>45</v>
      </c>
      <c r="D1394" t="s">
        <v>28</v>
      </c>
      <c r="E1394">
        <v>148536.35267399999</v>
      </c>
    </row>
    <row r="1395" spans="1:5" x14ac:dyDescent="0.3">
      <c r="A1395">
        <v>36</v>
      </c>
      <c r="B1395">
        <v>280000</v>
      </c>
      <c r="C1395" t="s">
        <v>45</v>
      </c>
      <c r="D1395" t="s">
        <v>29</v>
      </c>
      <c r="E1395">
        <v>0.62271799999999999</v>
      </c>
    </row>
    <row r="1396" spans="1:5" x14ac:dyDescent="0.3">
      <c r="A1396">
        <v>36</v>
      </c>
      <c r="B1396">
        <v>280000</v>
      </c>
      <c r="C1396" t="s">
        <v>45</v>
      </c>
      <c r="D1396" t="s">
        <v>30</v>
      </c>
      <c r="E1396">
        <v>0.33239999999999997</v>
      </c>
    </row>
    <row r="1397" spans="1:5" x14ac:dyDescent="0.3">
      <c r="A1397">
        <v>36</v>
      </c>
      <c r="B1397">
        <v>280000</v>
      </c>
      <c r="C1397" t="s">
        <v>45</v>
      </c>
      <c r="D1397" t="s">
        <v>31</v>
      </c>
      <c r="E1397">
        <v>0.122097</v>
      </c>
    </row>
    <row r="1398" spans="1:5" x14ac:dyDescent="0.3">
      <c r="A1398">
        <v>36</v>
      </c>
      <c r="B1398">
        <v>280000</v>
      </c>
      <c r="C1398" t="s">
        <v>45</v>
      </c>
      <c r="D1398" t="s">
        <v>32</v>
      </c>
      <c r="E1398">
        <v>0.140461</v>
      </c>
    </row>
    <row r="1399" spans="1:5" x14ac:dyDescent="0.3">
      <c r="A1399">
        <v>36</v>
      </c>
      <c r="B1399">
        <v>280000</v>
      </c>
      <c r="C1399" t="s">
        <v>45</v>
      </c>
      <c r="D1399" t="s">
        <v>33</v>
      </c>
      <c r="E1399">
        <v>83188.711496000004</v>
      </c>
    </row>
    <row r="1400" spans="1:5" x14ac:dyDescent="0.3">
      <c r="A1400">
        <v>36</v>
      </c>
      <c r="B1400">
        <v>280000</v>
      </c>
      <c r="C1400" t="s">
        <v>45</v>
      </c>
      <c r="D1400" t="s">
        <v>34</v>
      </c>
      <c r="E1400">
        <v>0.21821299999999999</v>
      </c>
    </row>
    <row r="1401" spans="1:5" x14ac:dyDescent="0.3">
      <c r="A1401">
        <v>36</v>
      </c>
      <c r="B1401">
        <v>280000</v>
      </c>
      <c r="C1401" t="s">
        <v>45</v>
      </c>
      <c r="D1401" t="s">
        <v>35</v>
      </c>
      <c r="E1401">
        <v>48271.373395000002</v>
      </c>
    </row>
    <row r="1402" spans="1:5" x14ac:dyDescent="0.3">
      <c r="A1402">
        <v>36</v>
      </c>
      <c r="B1402">
        <v>280000</v>
      </c>
      <c r="C1402" t="s">
        <v>45</v>
      </c>
      <c r="D1402" t="s">
        <v>36</v>
      </c>
      <c r="E1402">
        <v>9.6298999999999996E-2</v>
      </c>
    </row>
    <row r="1403" spans="1:5" x14ac:dyDescent="0.3">
      <c r="A1403">
        <v>36</v>
      </c>
      <c r="B1403">
        <v>280000</v>
      </c>
      <c r="C1403" t="s">
        <v>45</v>
      </c>
      <c r="D1403" t="s">
        <v>37</v>
      </c>
      <c r="E1403">
        <v>0.62965800000000005</v>
      </c>
    </row>
    <row r="1404" spans="1:5" x14ac:dyDescent="0.3">
      <c r="A1404">
        <v>36</v>
      </c>
      <c r="B1404">
        <v>280000</v>
      </c>
      <c r="C1404" t="s">
        <v>45</v>
      </c>
      <c r="D1404" t="s">
        <v>38</v>
      </c>
      <c r="E1404">
        <v>0.26947900000000002</v>
      </c>
    </row>
    <row r="1405" spans="1:5" x14ac:dyDescent="0.3">
      <c r="A1405">
        <v>36</v>
      </c>
      <c r="B1405">
        <v>280000</v>
      </c>
      <c r="C1405" t="s">
        <v>45</v>
      </c>
      <c r="D1405" t="s">
        <v>39</v>
      </c>
      <c r="E1405">
        <v>0.23674899999999999</v>
      </c>
    </row>
    <row r="1406" spans="1:5" x14ac:dyDescent="0.3">
      <c r="A1406">
        <v>36</v>
      </c>
      <c r="B1406">
        <v>280000</v>
      </c>
      <c r="C1406" t="s">
        <v>45</v>
      </c>
      <c r="D1406" t="s">
        <v>40</v>
      </c>
      <c r="E1406">
        <v>0.61328899999999997</v>
      </c>
    </row>
    <row r="1407" spans="1:5" x14ac:dyDescent="0.3">
      <c r="A1407">
        <v>36</v>
      </c>
      <c r="B1407">
        <v>280000</v>
      </c>
      <c r="C1407" t="s">
        <v>45</v>
      </c>
      <c r="D1407" t="s">
        <v>41</v>
      </c>
      <c r="E1407">
        <v>0.203098</v>
      </c>
    </row>
    <row r="1408" spans="1:5" x14ac:dyDescent="0.3">
      <c r="A1408">
        <v>36</v>
      </c>
      <c r="B1408">
        <v>280000</v>
      </c>
      <c r="C1408" t="s">
        <v>45</v>
      </c>
      <c r="D1408" t="s">
        <v>42</v>
      </c>
      <c r="E1408">
        <v>0.111317</v>
      </c>
    </row>
    <row r="1409" spans="1:5" x14ac:dyDescent="0.3">
      <c r="A1409">
        <v>36</v>
      </c>
      <c r="B1409">
        <v>280000</v>
      </c>
      <c r="C1409" t="s">
        <v>45</v>
      </c>
      <c r="D1409" t="s">
        <v>43</v>
      </c>
      <c r="E1409">
        <v>5.1679000000000003E-2</v>
      </c>
    </row>
    <row r="1410" spans="1:5" x14ac:dyDescent="0.3">
      <c r="A1410">
        <v>36</v>
      </c>
      <c r="B1410">
        <v>280000</v>
      </c>
      <c r="C1410" t="s">
        <v>46</v>
      </c>
      <c r="D1410" t="s">
        <v>28</v>
      </c>
      <c r="E1410">
        <v>149431.60159100001</v>
      </c>
    </row>
    <row r="1411" spans="1:5" x14ac:dyDescent="0.3">
      <c r="A1411">
        <v>36</v>
      </c>
      <c r="B1411">
        <v>280000</v>
      </c>
      <c r="C1411" t="s">
        <v>46</v>
      </c>
      <c r="D1411" t="s">
        <v>29</v>
      </c>
      <c r="E1411">
        <v>0.47680099999999997</v>
      </c>
    </row>
    <row r="1412" spans="1:5" x14ac:dyDescent="0.3">
      <c r="A1412">
        <v>36</v>
      </c>
      <c r="B1412">
        <v>280000</v>
      </c>
      <c r="C1412" t="s">
        <v>46</v>
      </c>
      <c r="D1412" t="s">
        <v>30</v>
      </c>
      <c r="E1412">
        <v>0.20268800000000001</v>
      </c>
    </row>
    <row r="1413" spans="1:5" x14ac:dyDescent="0.3">
      <c r="A1413">
        <v>36</v>
      </c>
      <c r="B1413">
        <v>280000</v>
      </c>
      <c r="C1413" t="s">
        <v>46</v>
      </c>
      <c r="D1413" t="s">
        <v>31</v>
      </c>
      <c r="E1413">
        <v>9.8937999999999998E-2</v>
      </c>
    </row>
    <row r="1414" spans="1:5" x14ac:dyDescent="0.3">
      <c r="A1414">
        <v>36</v>
      </c>
      <c r="B1414">
        <v>280000</v>
      </c>
      <c r="C1414" t="s">
        <v>46</v>
      </c>
      <c r="D1414" t="s">
        <v>32</v>
      </c>
      <c r="E1414">
        <v>0.113455</v>
      </c>
    </row>
    <row r="1415" spans="1:5" x14ac:dyDescent="0.3">
      <c r="A1415">
        <v>36</v>
      </c>
      <c r="B1415">
        <v>280000</v>
      </c>
      <c r="C1415" t="s">
        <v>46</v>
      </c>
      <c r="D1415" t="s">
        <v>33</v>
      </c>
      <c r="E1415">
        <v>82294.262294</v>
      </c>
    </row>
    <row r="1416" spans="1:5" x14ac:dyDescent="0.3">
      <c r="A1416">
        <v>36</v>
      </c>
      <c r="B1416">
        <v>280000</v>
      </c>
      <c r="C1416" t="s">
        <v>46</v>
      </c>
      <c r="D1416" t="s">
        <v>34</v>
      </c>
      <c r="E1416">
        <v>0.20593600000000001</v>
      </c>
    </row>
    <row r="1417" spans="1:5" x14ac:dyDescent="0.3">
      <c r="A1417">
        <v>36</v>
      </c>
      <c r="B1417">
        <v>280000</v>
      </c>
      <c r="C1417" t="s">
        <v>46</v>
      </c>
      <c r="D1417" t="s">
        <v>35</v>
      </c>
      <c r="E1417">
        <v>48271.352061999998</v>
      </c>
    </row>
    <row r="1418" spans="1:5" x14ac:dyDescent="0.3">
      <c r="A1418">
        <v>36</v>
      </c>
      <c r="B1418">
        <v>280000</v>
      </c>
      <c r="C1418" t="s">
        <v>46</v>
      </c>
      <c r="D1418" t="s">
        <v>36</v>
      </c>
      <c r="E1418">
        <v>9.0031E-2</v>
      </c>
    </row>
    <row r="1419" spans="1:5" x14ac:dyDescent="0.3">
      <c r="A1419">
        <v>36</v>
      </c>
      <c r="B1419">
        <v>280000</v>
      </c>
      <c r="C1419" t="s">
        <v>46</v>
      </c>
      <c r="D1419" t="s">
        <v>37</v>
      </c>
      <c r="E1419">
        <v>0.43745200000000001</v>
      </c>
    </row>
    <row r="1420" spans="1:5" x14ac:dyDescent="0.3">
      <c r="A1420">
        <v>36</v>
      </c>
      <c r="B1420">
        <v>280000</v>
      </c>
      <c r="C1420" t="s">
        <v>46</v>
      </c>
      <c r="D1420" t="s">
        <v>38</v>
      </c>
      <c r="E1420">
        <v>0.21152499999999999</v>
      </c>
    </row>
    <row r="1421" spans="1:5" x14ac:dyDescent="0.3">
      <c r="A1421">
        <v>36</v>
      </c>
      <c r="B1421">
        <v>280000</v>
      </c>
      <c r="C1421" t="s">
        <v>46</v>
      </c>
      <c r="D1421" t="s">
        <v>39</v>
      </c>
      <c r="E1421">
        <v>0.20369000000000001</v>
      </c>
    </row>
    <row r="1422" spans="1:5" x14ac:dyDescent="0.3">
      <c r="A1422">
        <v>36</v>
      </c>
      <c r="B1422">
        <v>280000</v>
      </c>
      <c r="C1422" t="s">
        <v>46</v>
      </c>
      <c r="D1422" t="s">
        <v>40</v>
      </c>
      <c r="E1422">
        <v>0.480078</v>
      </c>
    </row>
    <row r="1423" spans="1:5" x14ac:dyDescent="0.3">
      <c r="A1423">
        <v>36</v>
      </c>
      <c r="B1423">
        <v>280000</v>
      </c>
      <c r="C1423" t="s">
        <v>46</v>
      </c>
      <c r="D1423" t="s">
        <v>41</v>
      </c>
      <c r="E1423">
        <v>0.192743</v>
      </c>
    </row>
    <row r="1424" spans="1:5" x14ac:dyDescent="0.3">
      <c r="A1424">
        <v>36</v>
      </c>
      <c r="B1424">
        <v>280000</v>
      </c>
      <c r="C1424" t="s">
        <v>46</v>
      </c>
      <c r="D1424" t="s">
        <v>42</v>
      </c>
      <c r="E1424">
        <v>0.105045</v>
      </c>
    </row>
    <row r="1425" spans="1:5" x14ac:dyDescent="0.3">
      <c r="A1425">
        <v>36</v>
      </c>
      <c r="B1425">
        <v>280000</v>
      </c>
      <c r="C1425" t="s">
        <v>46</v>
      </c>
      <c r="D1425" t="s">
        <v>43</v>
      </c>
      <c r="E1425">
        <v>5.4328000000000001E-2</v>
      </c>
    </row>
    <row r="1426" spans="1:5" x14ac:dyDescent="0.3">
      <c r="A1426">
        <v>37</v>
      </c>
      <c r="B1426">
        <v>285000</v>
      </c>
      <c r="C1426" t="s">
        <v>45</v>
      </c>
      <c r="D1426" t="s">
        <v>28</v>
      </c>
      <c r="E1426">
        <v>148617.71132500001</v>
      </c>
    </row>
    <row r="1427" spans="1:5" x14ac:dyDescent="0.3">
      <c r="A1427">
        <v>37</v>
      </c>
      <c r="B1427">
        <v>285000</v>
      </c>
      <c r="C1427" t="s">
        <v>45</v>
      </c>
      <c r="D1427" t="s">
        <v>29</v>
      </c>
      <c r="E1427">
        <v>0.37981500000000001</v>
      </c>
    </row>
    <row r="1428" spans="1:5" x14ac:dyDescent="0.3">
      <c r="A1428">
        <v>37</v>
      </c>
      <c r="B1428">
        <v>285000</v>
      </c>
      <c r="C1428" t="s">
        <v>45</v>
      </c>
      <c r="D1428" t="s">
        <v>30</v>
      </c>
      <c r="E1428">
        <v>0.21448200000000001</v>
      </c>
    </row>
    <row r="1429" spans="1:5" x14ac:dyDescent="0.3">
      <c r="A1429">
        <v>37</v>
      </c>
      <c r="B1429">
        <v>285000</v>
      </c>
      <c r="C1429" t="s">
        <v>45</v>
      </c>
      <c r="D1429" t="s">
        <v>31</v>
      </c>
      <c r="E1429">
        <v>7.4360999999999997E-2</v>
      </c>
    </row>
    <row r="1430" spans="1:5" x14ac:dyDescent="0.3">
      <c r="A1430">
        <v>37</v>
      </c>
      <c r="B1430">
        <v>285000</v>
      </c>
      <c r="C1430" t="s">
        <v>45</v>
      </c>
      <c r="D1430" t="s">
        <v>32</v>
      </c>
      <c r="E1430">
        <v>8.7543999999999997E-2</v>
      </c>
    </row>
    <row r="1431" spans="1:5" x14ac:dyDescent="0.3">
      <c r="A1431">
        <v>37</v>
      </c>
      <c r="B1431">
        <v>285000</v>
      </c>
      <c r="C1431" t="s">
        <v>45</v>
      </c>
      <c r="D1431" t="s">
        <v>33</v>
      </c>
      <c r="E1431">
        <v>88108.591476999994</v>
      </c>
    </row>
    <row r="1432" spans="1:5" x14ac:dyDescent="0.3">
      <c r="A1432">
        <v>37</v>
      </c>
      <c r="B1432">
        <v>285000</v>
      </c>
      <c r="C1432" t="s">
        <v>45</v>
      </c>
      <c r="D1432" t="s">
        <v>34</v>
      </c>
      <c r="E1432">
        <v>0.156108</v>
      </c>
    </row>
    <row r="1433" spans="1:5" x14ac:dyDescent="0.3">
      <c r="A1433">
        <v>37</v>
      </c>
      <c r="B1433">
        <v>285000</v>
      </c>
      <c r="C1433" t="s">
        <v>45</v>
      </c>
      <c r="D1433" t="s">
        <v>35</v>
      </c>
      <c r="E1433">
        <v>48271.499499999998</v>
      </c>
    </row>
    <row r="1434" spans="1:5" x14ac:dyDescent="0.3">
      <c r="A1434">
        <v>37</v>
      </c>
      <c r="B1434">
        <v>285000</v>
      </c>
      <c r="C1434" t="s">
        <v>45</v>
      </c>
      <c r="D1434" t="s">
        <v>36</v>
      </c>
      <c r="E1434">
        <v>5.9658000000000003E-2</v>
      </c>
    </row>
    <row r="1435" spans="1:5" x14ac:dyDescent="0.3">
      <c r="A1435">
        <v>37</v>
      </c>
      <c r="B1435">
        <v>285000</v>
      </c>
      <c r="C1435" t="s">
        <v>45</v>
      </c>
      <c r="D1435" t="s">
        <v>37</v>
      </c>
      <c r="E1435">
        <v>0.40166800000000003</v>
      </c>
    </row>
    <row r="1436" spans="1:5" x14ac:dyDescent="0.3">
      <c r="A1436">
        <v>37</v>
      </c>
      <c r="B1436">
        <v>285000</v>
      </c>
      <c r="C1436" t="s">
        <v>45</v>
      </c>
      <c r="D1436" t="s">
        <v>38</v>
      </c>
      <c r="E1436">
        <v>0.17616899999999999</v>
      </c>
    </row>
    <row r="1437" spans="1:5" x14ac:dyDescent="0.3">
      <c r="A1437">
        <v>37</v>
      </c>
      <c r="B1437">
        <v>285000</v>
      </c>
      <c r="C1437" t="s">
        <v>45</v>
      </c>
      <c r="D1437" t="s">
        <v>39</v>
      </c>
      <c r="E1437">
        <v>0.14222099999999999</v>
      </c>
    </row>
    <row r="1438" spans="1:5" x14ac:dyDescent="0.3">
      <c r="A1438">
        <v>37</v>
      </c>
      <c r="B1438">
        <v>285000</v>
      </c>
      <c r="C1438" t="s">
        <v>45</v>
      </c>
      <c r="D1438" t="s">
        <v>40</v>
      </c>
      <c r="E1438">
        <v>0.35042099999999998</v>
      </c>
    </row>
    <row r="1439" spans="1:5" x14ac:dyDescent="0.3">
      <c r="A1439">
        <v>37</v>
      </c>
      <c r="B1439">
        <v>285000</v>
      </c>
      <c r="C1439" t="s">
        <v>45</v>
      </c>
      <c r="D1439" t="s">
        <v>41</v>
      </c>
      <c r="E1439">
        <v>0.13007099999999999</v>
      </c>
    </row>
    <row r="1440" spans="1:5" x14ac:dyDescent="0.3">
      <c r="A1440">
        <v>37</v>
      </c>
      <c r="B1440">
        <v>285000</v>
      </c>
      <c r="C1440" t="s">
        <v>45</v>
      </c>
      <c r="D1440" t="s">
        <v>42</v>
      </c>
      <c r="E1440">
        <v>6.9314000000000001E-2</v>
      </c>
    </row>
    <row r="1441" spans="1:5" x14ac:dyDescent="0.3">
      <c r="A1441">
        <v>37</v>
      </c>
      <c r="B1441">
        <v>285000</v>
      </c>
      <c r="C1441" t="s">
        <v>45</v>
      </c>
      <c r="D1441" t="s">
        <v>43</v>
      </c>
      <c r="E1441">
        <v>3.2821999999999997E-2</v>
      </c>
    </row>
    <row r="1442" spans="1:5" x14ac:dyDescent="0.3">
      <c r="A1442">
        <v>37</v>
      </c>
      <c r="B1442">
        <v>285000</v>
      </c>
      <c r="C1442" t="s">
        <v>46</v>
      </c>
      <c r="D1442" t="s">
        <v>28</v>
      </c>
      <c r="E1442">
        <v>150224.324957</v>
      </c>
    </row>
    <row r="1443" spans="1:5" x14ac:dyDescent="0.3">
      <c r="A1443">
        <v>37</v>
      </c>
      <c r="B1443">
        <v>285000</v>
      </c>
      <c r="C1443" t="s">
        <v>46</v>
      </c>
      <c r="D1443" t="s">
        <v>29</v>
      </c>
      <c r="E1443">
        <v>0.50142299999999995</v>
      </c>
    </row>
    <row r="1444" spans="1:5" x14ac:dyDescent="0.3">
      <c r="A1444">
        <v>37</v>
      </c>
      <c r="B1444">
        <v>285000</v>
      </c>
      <c r="C1444" t="s">
        <v>46</v>
      </c>
      <c r="D1444" t="s">
        <v>30</v>
      </c>
      <c r="E1444">
        <v>0.40688299999999999</v>
      </c>
    </row>
    <row r="1445" spans="1:5" x14ac:dyDescent="0.3">
      <c r="A1445">
        <v>37</v>
      </c>
      <c r="B1445">
        <v>285000</v>
      </c>
      <c r="C1445" t="s">
        <v>46</v>
      </c>
      <c r="D1445" t="s">
        <v>31</v>
      </c>
      <c r="E1445">
        <v>0.110425</v>
      </c>
    </row>
    <row r="1446" spans="1:5" x14ac:dyDescent="0.3">
      <c r="A1446">
        <v>37</v>
      </c>
      <c r="B1446">
        <v>285000</v>
      </c>
      <c r="C1446" t="s">
        <v>46</v>
      </c>
      <c r="D1446" t="s">
        <v>32</v>
      </c>
      <c r="E1446">
        <v>0.12823200000000001</v>
      </c>
    </row>
    <row r="1447" spans="1:5" x14ac:dyDescent="0.3">
      <c r="A1447">
        <v>37</v>
      </c>
      <c r="B1447">
        <v>285000</v>
      </c>
      <c r="C1447" t="s">
        <v>46</v>
      </c>
      <c r="D1447" t="s">
        <v>33</v>
      </c>
      <c r="E1447">
        <v>86500.990430999998</v>
      </c>
    </row>
    <row r="1448" spans="1:5" x14ac:dyDescent="0.3">
      <c r="A1448">
        <v>37</v>
      </c>
      <c r="B1448">
        <v>285000</v>
      </c>
      <c r="C1448" t="s">
        <v>46</v>
      </c>
      <c r="D1448" t="s">
        <v>34</v>
      </c>
      <c r="E1448">
        <v>0.24143800000000001</v>
      </c>
    </row>
    <row r="1449" spans="1:5" x14ac:dyDescent="0.3">
      <c r="A1449">
        <v>37</v>
      </c>
      <c r="B1449">
        <v>285000</v>
      </c>
      <c r="C1449" t="s">
        <v>46</v>
      </c>
      <c r="D1449" t="s">
        <v>35</v>
      </c>
      <c r="E1449">
        <v>48271.461081000001</v>
      </c>
    </row>
    <row r="1450" spans="1:5" x14ac:dyDescent="0.3">
      <c r="A1450">
        <v>37</v>
      </c>
      <c r="B1450">
        <v>285000</v>
      </c>
      <c r="C1450" t="s">
        <v>46</v>
      </c>
      <c r="D1450" t="s">
        <v>36</v>
      </c>
      <c r="E1450">
        <v>8.2536999999999999E-2</v>
      </c>
    </row>
    <row r="1451" spans="1:5" x14ac:dyDescent="0.3">
      <c r="A1451">
        <v>37</v>
      </c>
      <c r="B1451">
        <v>285000</v>
      </c>
      <c r="C1451" t="s">
        <v>46</v>
      </c>
      <c r="D1451" t="s">
        <v>37</v>
      </c>
      <c r="E1451">
        <v>0.482902</v>
      </c>
    </row>
    <row r="1452" spans="1:5" x14ac:dyDescent="0.3">
      <c r="A1452">
        <v>37</v>
      </c>
      <c r="B1452">
        <v>285000</v>
      </c>
      <c r="C1452" t="s">
        <v>46</v>
      </c>
      <c r="D1452" t="s">
        <v>38</v>
      </c>
      <c r="E1452">
        <v>0.228162</v>
      </c>
    </row>
    <row r="1453" spans="1:5" x14ac:dyDescent="0.3">
      <c r="A1453">
        <v>37</v>
      </c>
      <c r="B1453">
        <v>285000</v>
      </c>
      <c r="C1453" t="s">
        <v>46</v>
      </c>
      <c r="D1453" t="s">
        <v>39</v>
      </c>
      <c r="E1453">
        <v>0.222881</v>
      </c>
    </row>
    <row r="1454" spans="1:5" x14ac:dyDescent="0.3">
      <c r="A1454">
        <v>37</v>
      </c>
      <c r="B1454">
        <v>285000</v>
      </c>
      <c r="C1454" t="s">
        <v>46</v>
      </c>
      <c r="D1454" t="s">
        <v>40</v>
      </c>
      <c r="E1454">
        <v>0.61810299999999996</v>
      </c>
    </row>
    <row r="1455" spans="1:5" x14ac:dyDescent="0.3">
      <c r="A1455">
        <v>37</v>
      </c>
      <c r="B1455">
        <v>285000</v>
      </c>
      <c r="C1455" t="s">
        <v>46</v>
      </c>
      <c r="D1455" t="s">
        <v>41</v>
      </c>
      <c r="E1455">
        <v>0.172571</v>
      </c>
    </row>
    <row r="1456" spans="1:5" x14ac:dyDescent="0.3">
      <c r="A1456">
        <v>37</v>
      </c>
      <c r="B1456">
        <v>285000</v>
      </c>
      <c r="C1456" t="s">
        <v>46</v>
      </c>
      <c r="D1456" t="s">
        <v>42</v>
      </c>
      <c r="E1456">
        <v>9.8693000000000003E-2</v>
      </c>
    </row>
    <row r="1457" spans="1:5" x14ac:dyDescent="0.3">
      <c r="A1457">
        <v>37</v>
      </c>
      <c r="B1457">
        <v>285000</v>
      </c>
      <c r="C1457" t="s">
        <v>46</v>
      </c>
      <c r="D1457" t="s">
        <v>43</v>
      </c>
      <c r="E1457">
        <v>4.4354999999999999E-2</v>
      </c>
    </row>
    <row r="1458" spans="1:5" x14ac:dyDescent="0.3">
      <c r="A1458">
        <v>38</v>
      </c>
      <c r="B1458">
        <v>290000</v>
      </c>
      <c r="C1458" t="s">
        <v>45</v>
      </c>
      <c r="D1458" t="s">
        <v>28</v>
      </c>
      <c r="E1458">
        <v>148686.92861199999</v>
      </c>
    </row>
    <row r="1459" spans="1:5" x14ac:dyDescent="0.3">
      <c r="A1459">
        <v>38</v>
      </c>
      <c r="B1459">
        <v>290000</v>
      </c>
      <c r="C1459" t="s">
        <v>45</v>
      </c>
      <c r="D1459" t="s">
        <v>29</v>
      </c>
      <c r="E1459">
        <v>0.25424999999999998</v>
      </c>
    </row>
    <row r="1460" spans="1:5" x14ac:dyDescent="0.3">
      <c r="A1460">
        <v>38</v>
      </c>
      <c r="B1460">
        <v>290000</v>
      </c>
      <c r="C1460" t="s">
        <v>45</v>
      </c>
      <c r="D1460" t="s">
        <v>30</v>
      </c>
      <c r="E1460">
        <v>0.14827099999999999</v>
      </c>
    </row>
    <row r="1461" spans="1:5" x14ac:dyDescent="0.3">
      <c r="A1461">
        <v>38</v>
      </c>
      <c r="B1461">
        <v>290000</v>
      </c>
      <c r="C1461" t="s">
        <v>45</v>
      </c>
      <c r="D1461" t="s">
        <v>31</v>
      </c>
      <c r="E1461">
        <v>4.9411999999999998E-2</v>
      </c>
    </row>
    <row r="1462" spans="1:5" x14ac:dyDescent="0.3">
      <c r="A1462">
        <v>38</v>
      </c>
      <c r="B1462">
        <v>290000</v>
      </c>
      <c r="C1462" t="s">
        <v>45</v>
      </c>
      <c r="D1462" t="s">
        <v>32</v>
      </c>
      <c r="E1462">
        <v>5.7345E-2</v>
      </c>
    </row>
    <row r="1463" spans="1:5" x14ac:dyDescent="0.3">
      <c r="A1463">
        <v>38</v>
      </c>
      <c r="B1463">
        <v>290000</v>
      </c>
      <c r="C1463" t="s">
        <v>45</v>
      </c>
      <c r="D1463" t="s">
        <v>33</v>
      </c>
      <c r="E1463">
        <v>93040.074254000006</v>
      </c>
    </row>
    <row r="1464" spans="1:5" x14ac:dyDescent="0.3">
      <c r="A1464">
        <v>38</v>
      </c>
      <c r="B1464">
        <v>290000</v>
      </c>
      <c r="C1464" t="s">
        <v>45</v>
      </c>
      <c r="D1464" t="s">
        <v>34</v>
      </c>
      <c r="E1464">
        <v>9.8549999999999999E-2</v>
      </c>
    </row>
    <row r="1465" spans="1:5" x14ac:dyDescent="0.3">
      <c r="A1465">
        <v>38</v>
      </c>
      <c r="B1465">
        <v>290000</v>
      </c>
      <c r="C1465" t="s">
        <v>45</v>
      </c>
      <c r="D1465" t="s">
        <v>35</v>
      </c>
      <c r="E1465">
        <v>48271.564969999999</v>
      </c>
    </row>
    <row r="1466" spans="1:5" x14ac:dyDescent="0.3">
      <c r="A1466">
        <v>38</v>
      </c>
      <c r="B1466">
        <v>290000</v>
      </c>
      <c r="C1466" t="s">
        <v>45</v>
      </c>
      <c r="D1466" t="s">
        <v>36</v>
      </c>
      <c r="E1466">
        <v>3.8186999999999999E-2</v>
      </c>
    </row>
    <row r="1467" spans="1:5" x14ac:dyDescent="0.3">
      <c r="A1467">
        <v>38</v>
      </c>
      <c r="B1467">
        <v>290000</v>
      </c>
      <c r="C1467" t="s">
        <v>45</v>
      </c>
      <c r="D1467" t="s">
        <v>37</v>
      </c>
      <c r="E1467">
        <v>0.241281</v>
      </c>
    </row>
    <row r="1468" spans="1:5" x14ac:dyDescent="0.3">
      <c r="A1468">
        <v>38</v>
      </c>
      <c r="B1468">
        <v>290000</v>
      </c>
      <c r="C1468" t="s">
        <v>45</v>
      </c>
      <c r="D1468" t="s">
        <v>38</v>
      </c>
      <c r="E1468">
        <v>0.110431</v>
      </c>
    </row>
    <row r="1469" spans="1:5" x14ac:dyDescent="0.3">
      <c r="A1469">
        <v>38</v>
      </c>
      <c r="B1469">
        <v>290000</v>
      </c>
      <c r="C1469" t="s">
        <v>45</v>
      </c>
      <c r="D1469" t="s">
        <v>39</v>
      </c>
      <c r="E1469">
        <v>9.5573000000000005E-2</v>
      </c>
    </row>
    <row r="1470" spans="1:5" x14ac:dyDescent="0.3">
      <c r="A1470">
        <v>38</v>
      </c>
      <c r="B1470">
        <v>290000</v>
      </c>
      <c r="C1470" t="s">
        <v>45</v>
      </c>
      <c r="D1470" t="s">
        <v>40</v>
      </c>
      <c r="E1470">
        <v>0.231159</v>
      </c>
    </row>
    <row r="1471" spans="1:5" x14ac:dyDescent="0.3">
      <c r="A1471">
        <v>38</v>
      </c>
      <c r="B1471">
        <v>290000</v>
      </c>
      <c r="C1471" t="s">
        <v>45</v>
      </c>
      <c r="D1471" t="s">
        <v>41</v>
      </c>
      <c r="E1471">
        <v>8.4127999999999994E-2</v>
      </c>
    </row>
    <row r="1472" spans="1:5" x14ac:dyDescent="0.3">
      <c r="A1472">
        <v>38</v>
      </c>
      <c r="B1472">
        <v>290000</v>
      </c>
      <c r="C1472" t="s">
        <v>45</v>
      </c>
      <c r="D1472" t="s">
        <v>42</v>
      </c>
      <c r="E1472">
        <v>4.4505000000000003E-2</v>
      </c>
    </row>
    <row r="1473" spans="1:5" x14ac:dyDescent="0.3">
      <c r="A1473">
        <v>38</v>
      </c>
      <c r="B1473">
        <v>290000</v>
      </c>
      <c r="C1473" t="s">
        <v>45</v>
      </c>
      <c r="D1473" t="s">
        <v>43</v>
      </c>
      <c r="E1473">
        <v>1.9900000000000001E-2</v>
      </c>
    </row>
    <row r="1474" spans="1:5" x14ac:dyDescent="0.3">
      <c r="A1474">
        <v>38</v>
      </c>
      <c r="B1474">
        <v>290000</v>
      </c>
      <c r="C1474" t="s">
        <v>46</v>
      </c>
      <c r="D1474" t="s">
        <v>28</v>
      </c>
      <c r="E1474">
        <v>151025.71116800001</v>
      </c>
    </row>
    <row r="1475" spans="1:5" x14ac:dyDescent="0.3">
      <c r="A1475">
        <v>38</v>
      </c>
      <c r="B1475">
        <v>290000</v>
      </c>
      <c r="C1475" t="s">
        <v>46</v>
      </c>
      <c r="D1475" t="s">
        <v>29</v>
      </c>
      <c r="E1475">
        <v>0.114048</v>
      </c>
    </row>
    <row r="1476" spans="1:5" x14ac:dyDescent="0.3">
      <c r="A1476">
        <v>38</v>
      </c>
      <c r="B1476">
        <v>290000</v>
      </c>
      <c r="C1476" t="s">
        <v>46</v>
      </c>
      <c r="D1476" t="s">
        <v>30</v>
      </c>
      <c r="E1476">
        <v>6.0768000000000003E-2</v>
      </c>
    </row>
    <row r="1477" spans="1:5" x14ac:dyDescent="0.3">
      <c r="A1477">
        <v>38</v>
      </c>
      <c r="B1477">
        <v>290000</v>
      </c>
      <c r="C1477" t="s">
        <v>46</v>
      </c>
      <c r="D1477" t="s">
        <v>31</v>
      </c>
      <c r="E1477">
        <v>2.2931E-2</v>
      </c>
    </row>
    <row r="1478" spans="1:5" x14ac:dyDescent="0.3">
      <c r="A1478">
        <v>38</v>
      </c>
      <c r="B1478">
        <v>290000</v>
      </c>
      <c r="C1478" t="s">
        <v>46</v>
      </c>
      <c r="D1478" t="s">
        <v>32</v>
      </c>
      <c r="E1478">
        <v>2.6629E-2</v>
      </c>
    </row>
    <row r="1479" spans="1:5" x14ac:dyDescent="0.3">
      <c r="A1479">
        <v>38</v>
      </c>
      <c r="B1479">
        <v>290000</v>
      </c>
      <c r="C1479" t="s">
        <v>46</v>
      </c>
      <c r="D1479" t="s">
        <v>33</v>
      </c>
      <c r="E1479">
        <v>90702.018416999999</v>
      </c>
    </row>
    <row r="1480" spans="1:5" x14ac:dyDescent="0.3">
      <c r="A1480">
        <v>38</v>
      </c>
      <c r="B1480">
        <v>290000</v>
      </c>
      <c r="C1480" t="s">
        <v>46</v>
      </c>
      <c r="D1480" t="s">
        <v>34</v>
      </c>
      <c r="E1480">
        <v>5.2087000000000001E-2</v>
      </c>
    </row>
    <row r="1481" spans="1:5" x14ac:dyDescent="0.3">
      <c r="A1481">
        <v>38</v>
      </c>
      <c r="B1481">
        <v>290000</v>
      </c>
      <c r="C1481" t="s">
        <v>46</v>
      </c>
      <c r="D1481" t="s">
        <v>35</v>
      </c>
      <c r="E1481">
        <v>48271.616301000002</v>
      </c>
    </row>
    <row r="1482" spans="1:5" x14ac:dyDescent="0.3">
      <c r="A1482">
        <v>38</v>
      </c>
      <c r="B1482">
        <v>290000</v>
      </c>
      <c r="C1482" t="s">
        <v>46</v>
      </c>
      <c r="D1482" t="s">
        <v>36</v>
      </c>
      <c r="E1482">
        <v>1.8744E-2</v>
      </c>
    </row>
    <row r="1483" spans="1:5" x14ac:dyDescent="0.3">
      <c r="A1483">
        <v>38</v>
      </c>
      <c r="B1483">
        <v>290000</v>
      </c>
      <c r="C1483" t="s">
        <v>46</v>
      </c>
      <c r="D1483" t="s">
        <v>37</v>
      </c>
      <c r="E1483">
        <v>0.107377</v>
      </c>
    </row>
    <row r="1484" spans="1:5" x14ac:dyDescent="0.3">
      <c r="A1484">
        <v>38</v>
      </c>
      <c r="B1484">
        <v>290000</v>
      </c>
      <c r="C1484" t="s">
        <v>46</v>
      </c>
      <c r="D1484" t="s">
        <v>38</v>
      </c>
      <c r="E1484">
        <v>4.9935E-2</v>
      </c>
    </row>
    <row r="1485" spans="1:5" x14ac:dyDescent="0.3">
      <c r="A1485">
        <v>38</v>
      </c>
      <c r="B1485">
        <v>290000</v>
      </c>
      <c r="C1485" t="s">
        <v>46</v>
      </c>
      <c r="D1485" t="s">
        <v>39</v>
      </c>
      <c r="E1485">
        <v>4.3956000000000002E-2</v>
      </c>
    </row>
    <row r="1486" spans="1:5" x14ac:dyDescent="0.3">
      <c r="A1486">
        <v>38</v>
      </c>
      <c r="B1486">
        <v>290000</v>
      </c>
      <c r="C1486" t="s">
        <v>46</v>
      </c>
      <c r="D1486" t="s">
        <v>40</v>
      </c>
      <c r="E1486">
        <v>0.105479</v>
      </c>
    </row>
    <row r="1487" spans="1:5" x14ac:dyDescent="0.3">
      <c r="A1487">
        <v>38</v>
      </c>
      <c r="B1487">
        <v>290000</v>
      </c>
      <c r="C1487" t="s">
        <v>46</v>
      </c>
      <c r="D1487" t="s">
        <v>41</v>
      </c>
      <c r="E1487">
        <v>4.0697999999999998E-2</v>
      </c>
    </row>
    <row r="1488" spans="1:5" x14ac:dyDescent="0.3">
      <c r="A1488">
        <v>38</v>
      </c>
      <c r="B1488">
        <v>290000</v>
      </c>
      <c r="C1488" t="s">
        <v>46</v>
      </c>
      <c r="D1488" t="s">
        <v>42</v>
      </c>
      <c r="E1488">
        <v>2.1763000000000001E-2</v>
      </c>
    </row>
    <row r="1489" spans="1:5" x14ac:dyDescent="0.3">
      <c r="A1489">
        <v>38</v>
      </c>
      <c r="B1489">
        <v>290000</v>
      </c>
      <c r="C1489" t="s">
        <v>46</v>
      </c>
      <c r="D1489" t="s">
        <v>43</v>
      </c>
      <c r="E1489">
        <v>1.021E-2</v>
      </c>
    </row>
    <row r="1490" spans="1:5" x14ac:dyDescent="0.3">
      <c r="A1490">
        <v>39</v>
      </c>
      <c r="B1490">
        <v>295000</v>
      </c>
      <c r="C1490" t="s">
        <v>45</v>
      </c>
      <c r="D1490" t="s">
        <v>28</v>
      </c>
      <c r="E1490">
        <v>148805.33800399999</v>
      </c>
    </row>
    <row r="1491" spans="1:5" x14ac:dyDescent="0.3">
      <c r="A1491">
        <v>39</v>
      </c>
      <c r="B1491">
        <v>295000</v>
      </c>
      <c r="C1491" t="s">
        <v>45</v>
      </c>
      <c r="D1491" t="s">
        <v>29</v>
      </c>
      <c r="E1491">
        <v>0.56091599999999997</v>
      </c>
    </row>
    <row r="1492" spans="1:5" x14ac:dyDescent="0.3">
      <c r="A1492">
        <v>39</v>
      </c>
      <c r="B1492">
        <v>295000</v>
      </c>
      <c r="C1492" t="s">
        <v>45</v>
      </c>
      <c r="D1492" t="s">
        <v>30</v>
      </c>
      <c r="E1492">
        <v>0.37642399999999998</v>
      </c>
    </row>
    <row r="1493" spans="1:5" x14ac:dyDescent="0.3">
      <c r="A1493">
        <v>39</v>
      </c>
      <c r="B1493">
        <v>295000</v>
      </c>
      <c r="C1493" t="s">
        <v>45</v>
      </c>
      <c r="D1493" t="s">
        <v>31</v>
      </c>
      <c r="E1493">
        <v>0.11303000000000001</v>
      </c>
    </row>
    <row r="1494" spans="1:5" x14ac:dyDescent="0.3">
      <c r="A1494">
        <v>39</v>
      </c>
      <c r="B1494">
        <v>295000</v>
      </c>
      <c r="C1494" t="s">
        <v>45</v>
      </c>
      <c r="D1494" t="s">
        <v>32</v>
      </c>
      <c r="E1494">
        <v>0.133909</v>
      </c>
    </row>
    <row r="1495" spans="1:5" x14ac:dyDescent="0.3">
      <c r="A1495">
        <v>39</v>
      </c>
      <c r="B1495">
        <v>295000</v>
      </c>
      <c r="C1495" t="s">
        <v>45</v>
      </c>
      <c r="D1495" t="s">
        <v>33</v>
      </c>
      <c r="E1495">
        <v>97919.889290000006</v>
      </c>
    </row>
    <row r="1496" spans="1:5" x14ac:dyDescent="0.3">
      <c r="A1496">
        <v>39</v>
      </c>
      <c r="B1496">
        <v>295000</v>
      </c>
      <c r="C1496" t="s">
        <v>45</v>
      </c>
      <c r="D1496" t="s">
        <v>34</v>
      </c>
      <c r="E1496">
        <v>0.26241599999999998</v>
      </c>
    </row>
    <row r="1497" spans="1:5" x14ac:dyDescent="0.3">
      <c r="A1497">
        <v>39</v>
      </c>
      <c r="B1497">
        <v>295000</v>
      </c>
      <c r="C1497" t="s">
        <v>45</v>
      </c>
      <c r="D1497" t="s">
        <v>35</v>
      </c>
      <c r="E1497">
        <v>48271.444303999997</v>
      </c>
    </row>
    <row r="1498" spans="1:5" x14ac:dyDescent="0.3">
      <c r="A1498">
        <v>39</v>
      </c>
      <c r="B1498">
        <v>295000</v>
      </c>
      <c r="C1498" t="s">
        <v>45</v>
      </c>
      <c r="D1498" t="s">
        <v>36</v>
      </c>
      <c r="E1498">
        <v>8.7839E-2</v>
      </c>
    </row>
    <row r="1499" spans="1:5" x14ac:dyDescent="0.3">
      <c r="A1499">
        <v>39</v>
      </c>
      <c r="B1499">
        <v>295000</v>
      </c>
      <c r="C1499" t="s">
        <v>45</v>
      </c>
      <c r="D1499" t="s">
        <v>37</v>
      </c>
      <c r="E1499">
        <v>0.54878800000000005</v>
      </c>
    </row>
    <row r="1500" spans="1:5" x14ac:dyDescent="0.3">
      <c r="A1500">
        <v>39</v>
      </c>
      <c r="B1500">
        <v>295000</v>
      </c>
      <c r="C1500" t="s">
        <v>45</v>
      </c>
      <c r="D1500" t="s">
        <v>38</v>
      </c>
      <c r="E1500">
        <v>0.25514100000000001</v>
      </c>
    </row>
    <row r="1501" spans="1:5" x14ac:dyDescent="0.3">
      <c r="A1501">
        <v>39</v>
      </c>
      <c r="B1501">
        <v>295000</v>
      </c>
      <c r="C1501" t="s">
        <v>45</v>
      </c>
      <c r="D1501" t="s">
        <v>39</v>
      </c>
      <c r="E1501">
        <v>0.213868</v>
      </c>
    </row>
    <row r="1502" spans="1:5" x14ac:dyDescent="0.3">
      <c r="A1502">
        <v>39</v>
      </c>
      <c r="B1502">
        <v>295000</v>
      </c>
      <c r="C1502" t="s">
        <v>45</v>
      </c>
      <c r="D1502" t="s">
        <v>40</v>
      </c>
      <c r="E1502">
        <v>0.541269</v>
      </c>
    </row>
    <row r="1503" spans="1:5" x14ac:dyDescent="0.3">
      <c r="A1503">
        <v>39</v>
      </c>
      <c r="B1503">
        <v>295000</v>
      </c>
      <c r="C1503" t="s">
        <v>45</v>
      </c>
      <c r="D1503" t="s">
        <v>41</v>
      </c>
      <c r="E1503">
        <v>0.19056300000000001</v>
      </c>
    </row>
    <row r="1504" spans="1:5" x14ac:dyDescent="0.3">
      <c r="A1504">
        <v>39</v>
      </c>
      <c r="B1504">
        <v>295000</v>
      </c>
      <c r="C1504" t="s">
        <v>45</v>
      </c>
      <c r="D1504" t="s">
        <v>42</v>
      </c>
      <c r="E1504">
        <v>0.103075</v>
      </c>
    </row>
    <row r="1505" spans="1:5" x14ac:dyDescent="0.3">
      <c r="A1505">
        <v>39</v>
      </c>
      <c r="B1505">
        <v>295000</v>
      </c>
      <c r="C1505" t="s">
        <v>45</v>
      </c>
      <c r="D1505" t="s">
        <v>43</v>
      </c>
      <c r="E1505">
        <v>4.7558999999999997E-2</v>
      </c>
    </row>
    <row r="1506" spans="1:5" x14ac:dyDescent="0.3">
      <c r="A1506">
        <v>39</v>
      </c>
      <c r="B1506">
        <v>295000</v>
      </c>
      <c r="C1506" t="s">
        <v>46</v>
      </c>
      <c r="D1506" t="s">
        <v>28</v>
      </c>
      <c r="E1506">
        <v>151834.98724399999</v>
      </c>
    </row>
    <row r="1507" spans="1:5" x14ac:dyDescent="0.3">
      <c r="A1507">
        <v>39</v>
      </c>
      <c r="B1507">
        <v>295000</v>
      </c>
      <c r="C1507" t="s">
        <v>46</v>
      </c>
      <c r="D1507" t="s">
        <v>29</v>
      </c>
      <c r="E1507">
        <v>0.179395</v>
      </c>
    </row>
    <row r="1508" spans="1:5" x14ac:dyDescent="0.3">
      <c r="A1508">
        <v>39</v>
      </c>
      <c r="B1508">
        <v>295000</v>
      </c>
      <c r="C1508" t="s">
        <v>46</v>
      </c>
      <c r="D1508" t="s">
        <v>30</v>
      </c>
      <c r="E1508">
        <v>0.116776</v>
      </c>
    </row>
    <row r="1509" spans="1:5" x14ac:dyDescent="0.3">
      <c r="A1509">
        <v>39</v>
      </c>
      <c r="B1509">
        <v>295000</v>
      </c>
      <c r="C1509" t="s">
        <v>46</v>
      </c>
      <c r="D1509" t="s">
        <v>31</v>
      </c>
      <c r="E1509">
        <v>3.5513999999999997E-2</v>
      </c>
    </row>
    <row r="1510" spans="1:5" x14ac:dyDescent="0.3">
      <c r="A1510">
        <v>39</v>
      </c>
      <c r="B1510">
        <v>295000</v>
      </c>
      <c r="C1510" t="s">
        <v>46</v>
      </c>
      <c r="D1510" t="s">
        <v>32</v>
      </c>
      <c r="E1510">
        <v>4.0617E-2</v>
      </c>
    </row>
    <row r="1511" spans="1:5" x14ac:dyDescent="0.3">
      <c r="A1511">
        <v>39</v>
      </c>
      <c r="B1511">
        <v>295000</v>
      </c>
      <c r="C1511" t="s">
        <v>46</v>
      </c>
      <c r="D1511" t="s">
        <v>33</v>
      </c>
      <c r="E1511">
        <v>94892.376036999995</v>
      </c>
    </row>
    <row r="1512" spans="1:5" x14ac:dyDescent="0.3">
      <c r="A1512">
        <v>39</v>
      </c>
      <c r="B1512">
        <v>295000</v>
      </c>
      <c r="C1512" t="s">
        <v>46</v>
      </c>
      <c r="D1512" t="s">
        <v>34</v>
      </c>
      <c r="E1512">
        <v>7.9237000000000002E-2</v>
      </c>
    </row>
    <row r="1513" spans="1:5" x14ac:dyDescent="0.3">
      <c r="A1513">
        <v>39</v>
      </c>
      <c r="B1513">
        <v>295000</v>
      </c>
      <c r="C1513" t="s">
        <v>46</v>
      </c>
      <c r="D1513" t="s">
        <v>35</v>
      </c>
      <c r="E1513">
        <v>48271.587356000004</v>
      </c>
    </row>
    <row r="1514" spans="1:5" x14ac:dyDescent="0.3">
      <c r="A1514">
        <v>39</v>
      </c>
      <c r="B1514">
        <v>295000</v>
      </c>
      <c r="C1514" t="s">
        <v>46</v>
      </c>
      <c r="D1514" t="s">
        <v>36</v>
      </c>
      <c r="E1514">
        <v>2.8018000000000001E-2</v>
      </c>
    </row>
    <row r="1515" spans="1:5" x14ac:dyDescent="0.3">
      <c r="A1515">
        <v>39</v>
      </c>
      <c r="B1515">
        <v>295000</v>
      </c>
      <c r="C1515" t="s">
        <v>46</v>
      </c>
      <c r="D1515" t="s">
        <v>37</v>
      </c>
      <c r="E1515">
        <v>0.15815199999999999</v>
      </c>
    </row>
    <row r="1516" spans="1:5" x14ac:dyDescent="0.3">
      <c r="A1516">
        <v>39</v>
      </c>
      <c r="B1516">
        <v>295000</v>
      </c>
      <c r="C1516" t="s">
        <v>46</v>
      </c>
      <c r="D1516" t="s">
        <v>38</v>
      </c>
      <c r="E1516">
        <v>7.4454000000000006E-2</v>
      </c>
    </row>
    <row r="1517" spans="1:5" x14ac:dyDescent="0.3">
      <c r="A1517">
        <v>39</v>
      </c>
      <c r="B1517">
        <v>295000</v>
      </c>
      <c r="C1517" t="s">
        <v>46</v>
      </c>
      <c r="D1517" t="s">
        <v>39</v>
      </c>
      <c r="E1517">
        <v>7.0524000000000003E-2</v>
      </c>
    </row>
    <row r="1518" spans="1:5" x14ac:dyDescent="0.3">
      <c r="A1518">
        <v>39</v>
      </c>
      <c r="B1518">
        <v>295000</v>
      </c>
      <c r="C1518" t="s">
        <v>46</v>
      </c>
      <c r="D1518" t="s">
        <v>40</v>
      </c>
      <c r="E1518">
        <v>0.171456</v>
      </c>
    </row>
    <row r="1519" spans="1:5" x14ac:dyDescent="0.3">
      <c r="A1519">
        <v>39</v>
      </c>
      <c r="B1519">
        <v>295000</v>
      </c>
      <c r="C1519" t="s">
        <v>46</v>
      </c>
      <c r="D1519" t="s">
        <v>41</v>
      </c>
      <c r="E1519">
        <v>5.9859999999999997E-2</v>
      </c>
    </row>
    <row r="1520" spans="1:5" x14ac:dyDescent="0.3">
      <c r="A1520">
        <v>39</v>
      </c>
      <c r="B1520">
        <v>295000</v>
      </c>
      <c r="C1520" t="s">
        <v>46</v>
      </c>
      <c r="D1520" t="s">
        <v>42</v>
      </c>
      <c r="E1520">
        <v>3.2851999999999999E-2</v>
      </c>
    </row>
    <row r="1521" spans="1:5" x14ac:dyDescent="0.3">
      <c r="A1521">
        <v>39</v>
      </c>
      <c r="B1521">
        <v>295000</v>
      </c>
      <c r="C1521" t="s">
        <v>46</v>
      </c>
      <c r="D1521" t="s">
        <v>43</v>
      </c>
      <c r="E1521">
        <v>1.502E-2</v>
      </c>
    </row>
    <row r="1522" spans="1:5" x14ac:dyDescent="0.3">
      <c r="A1522">
        <v>40</v>
      </c>
      <c r="B1522">
        <v>300000</v>
      </c>
      <c r="C1522" t="s">
        <v>45</v>
      </c>
      <c r="D1522" t="s">
        <v>28</v>
      </c>
      <c r="E1522">
        <v>149000.72202099999</v>
      </c>
    </row>
    <row r="1523" spans="1:5" x14ac:dyDescent="0.3">
      <c r="A1523">
        <v>40</v>
      </c>
      <c r="B1523">
        <v>300000</v>
      </c>
      <c r="C1523" t="s">
        <v>45</v>
      </c>
      <c r="D1523" t="s">
        <v>29</v>
      </c>
      <c r="E1523">
        <v>1.626261</v>
      </c>
    </row>
    <row r="1524" spans="1:5" x14ac:dyDescent="0.3">
      <c r="A1524">
        <v>40</v>
      </c>
      <c r="B1524">
        <v>300000</v>
      </c>
      <c r="C1524" t="s">
        <v>45</v>
      </c>
      <c r="D1524" t="s">
        <v>30</v>
      </c>
      <c r="E1524">
        <v>0.51731499999999997</v>
      </c>
    </row>
    <row r="1525" spans="1:5" x14ac:dyDescent="0.3">
      <c r="A1525">
        <v>40</v>
      </c>
      <c r="B1525">
        <v>300000</v>
      </c>
      <c r="C1525" t="s">
        <v>45</v>
      </c>
      <c r="D1525" t="s">
        <v>31</v>
      </c>
      <c r="E1525">
        <v>0.112903</v>
      </c>
    </row>
    <row r="1526" spans="1:5" x14ac:dyDescent="0.3">
      <c r="A1526">
        <v>40</v>
      </c>
      <c r="B1526">
        <v>300000</v>
      </c>
      <c r="C1526" t="s">
        <v>45</v>
      </c>
      <c r="D1526" t="s">
        <v>32</v>
      </c>
      <c r="E1526">
        <v>0.12493</v>
      </c>
    </row>
    <row r="1527" spans="1:5" x14ac:dyDescent="0.3">
      <c r="A1527">
        <v>40</v>
      </c>
      <c r="B1527">
        <v>300000</v>
      </c>
      <c r="C1527" t="s">
        <v>45</v>
      </c>
      <c r="D1527" t="s">
        <v>33</v>
      </c>
      <c r="E1527">
        <v>99387.035373000006</v>
      </c>
    </row>
    <row r="1528" spans="1:5" x14ac:dyDescent="0.3">
      <c r="A1528">
        <v>40</v>
      </c>
      <c r="B1528">
        <v>300000</v>
      </c>
      <c r="C1528" t="s">
        <v>45</v>
      </c>
      <c r="D1528" t="s">
        <v>34</v>
      </c>
      <c r="E1528">
        <v>0.39001000000000002</v>
      </c>
    </row>
    <row r="1529" spans="1:5" x14ac:dyDescent="0.3">
      <c r="A1529">
        <v>40</v>
      </c>
      <c r="B1529">
        <v>300000</v>
      </c>
      <c r="C1529" t="s">
        <v>45</v>
      </c>
      <c r="D1529" t="s">
        <v>35</v>
      </c>
      <c r="E1529">
        <v>48271.141726000002</v>
      </c>
    </row>
    <row r="1530" spans="1:5" x14ac:dyDescent="0.3">
      <c r="A1530">
        <v>40</v>
      </c>
      <c r="B1530">
        <v>300000</v>
      </c>
      <c r="C1530" t="s">
        <v>45</v>
      </c>
      <c r="D1530" t="s">
        <v>36</v>
      </c>
      <c r="E1530">
        <v>7.3518E-2</v>
      </c>
    </row>
    <row r="1531" spans="1:5" x14ac:dyDescent="0.3">
      <c r="A1531">
        <v>40</v>
      </c>
      <c r="B1531">
        <v>300000</v>
      </c>
      <c r="C1531" t="s">
        <v>45</v>
      </c>
      <c r="D1531" t="s">
        <v>37</v>
      </c>
      <c r="E1531">
        <v>3336.934217</v>
      </c>
    </row>
    <row r="1532" spans="1:5" x14ac:dyDescent="0.3">
      <c r="A1532">
        <v>40</v>
      </c>
      <c r="B1532">
        <v>300000</v>
      </c>
      <c r="C1532" t="s">
        <v>45</v>
      </c>
      <c r="D1532" t="s">
        <v>38</v>
      </c>
      <c r="E1532">
        <v>0.32419900000000001</v>
      </c>
    </row>
    <row r="1533" spans="1:5" x14ac:dyDescent="0.3">
      <c r="A1533">
        <v>40</v>
      </c>
      <c r="B1533">
        <v>300000</v>
      </c>
      <c r="C1533" t="s">
        <v>45</v>
      </c>
      <c r="D1533" t="s">
        <v>39</v>
      </c>
      <c r="E1533">
        <v>0.25714399999999998</v>
      </c>
    </row>
    <row r="1534" spans="1:5" x14ac:dyDescent="0.3">
      <c r="A1534">
        <v>40</v>
      </c>
      <c r="B1534">
        <v>300000</v>
      </c>
      <c r="C1534" t="s">
        <v>45</v>
      </c>
      <c r="D1534" t="s">
        <v>40</v>
      </c>
      <c r="E1534">
        <v>0.48363</v>
      </c>
    </row>
    <row r="1535" spans="1:5" x14ac:dyDescent="0.3">
      <c r="A1535">
        <v>40</v>
      </c>
      <c r="B1535">
        <v>300000</v>
      </c>
      <c r="C1535" t="s">
        <v>45</v>
      </c>
      <c r="D1535" t="s">
        <v>41</v>
      </c>
      <c r="E1535">
        <v>0.17059199999999999</v>
      </c>
    </row>
    <row r="1536" spans="1:5" x14ac:dyDescent="0.3">
      <c r="A1536">
        <v>40</v>
      </c>
      <c r="B1536">
        <v>300000</v>
      </c>
      <c r="C1536" t="s">
        <v>45</v>
      </c>
      <c r="D1536" t="s">
        <v>42</v>
      </c>
      <c r="E1536">
        <v>8.856E-2</v>
      </c>
    </row>
    <row r="1537" spans="1:5" x14ac:dyDescent="0.3">
      <c r="A1537">
        <v>40</v>
      </c>
      <c r="B1537">
        <v>300000</v>
      </c>
      <c r="C1537" t="s">
        <v>45</v>
      </c>
      <c r="D1537" t="s">
        <v>43</v>
      </c>
      <c r="E1537">
        <v>3.0543000000000001E-2</v>
      </c>
    </row>
    <row r="1538" spans="1:5" x14ac:dyDescent="0.3">
      <c r="A1538">
        <v>40</v>
      </c>
      <c r="B1538">
        <v>300000</v>
      </c>
      <c r="C1538" t="s">
        <v>46</v>
      </c>
      <c r="D1538" t="s">
        <v>28</v>
      </c>
      <c r="E1538">
        <v>152663.83801000001</v>
      </c>
    </row>
    <row r="1539" spans="1:5" x14ac:dyDescent="0.3">
      <c r="A1539">
        <v>40</v>
      </c>
      <c r="B1539">
        <v>300000</v>
      </c>
      <c r="C1539" t="s">
        <v>46</v>
      </c>
      <c r="D1539" t="s">
        <v>29</v>
      </c>
      <c r="E1539">
        <v>0.10502599999999999</v>
      </c>
    </row>
    <row r="1540" spans="1:5" x14ac:dyDescent="0.3">
      <c r="A1540">
        <v>40</v>
      </c>
      <c r="B1540">
        <v>300000</v>
      </c>
      <c r="C1540" t="s">
        <v>46</v>
      </c>
      <c r="D1540" t="s">
        <v>30</v>
      </c>
      <c r="E1540">
        <v>7.0216000000000001E-2</v>
      </c>
    </row>
    <row r="1541" spans="1:5" x14ac:dyDescent="0.3">
      <c r="A1541">
        <v>40</v>
      </c>
      <c r="B1541">
        <v>300000</v>
      </c>
      <c r="C1541" t="s">
        <v>46</v>
      </c>
      <c r="D1541" t="s">
        <v>31</v>
      </c>
      <c r="E1541">
        <v>2.1464E-2</v>
      </c>
    </row>
    <row r="1542" spans="1:5" x14ac:dyDescent="0.3">
      <c r="A1542">
        <v>40</v>
      </c>
      <c r="B1542">
        <v>300000</v>
      </c>
      <c r="C1542" t="s">
        <v>46</v>
      </c>
      <c r="D1542" t="s">
        <v>32</v>
      </c>
      <c r="E1542">
        <v>2.5572000000000001E-2</v>
      </c>
    </row>
    <row r="1543" spans="1:5" x14ac:dyDescent="0.3">
      <c r="A1543">
        <v>40</v>
      </c>
      <c r="B1543">
        <v>300000</v>
      </c>
      <c r="C1543" t="s">
        <v>46</v>
      </c>
      <c r="D1543" t="s">
        <v>33</v>
      </c>
      <c r="E1543">
        <v>99063.862622999994</v>
      </c>
    </row>
    <row r="1544" spans="1:5" x14ac:dyDescent="0.3">
      <c r="A1544">
        <v>40</v>
      </c>
      <c r="B1544">
        <v>300000</v>
      </c>
      <c r="C1544" t="s">
        <v>46</v>
      </c>
      <c r="D1544" t="s">
        <v>34</v>
      </c>
      <c r="E1544">
        <v>6.6880999999999996E-2</v>
      </c>
    </row>
    <row r="1545" spans="1:5" x14ac:dyDescent="0.3">
      <c r="A1545">
        <v>40</v>
      </c>
      <c r="B1545">
        <v>300000</v>
      </c>
      <c r="C1545" t="s">
        <v>46</v>
      </c>
      <c r="D1545" t="s">
        <v>35</v>
      </c>
      <c r="E1545">
        <v>48271.630261999999</v>
      </c>
    </row>
    <row r="1546" spans="1:5" x14ac:dyDescent="0.3">
      <c r="A1546">
        <v>40</v>
      </c>
      <c r="B1546">
        <v>300000</v>
      </c>
      <c r="C1546" t="s">
        <v>46</v>
      </c>
      <c r="D1546" t="s">
        <v>36</v>
      </c>
      <c r="E1546">
        <v>1.6729000000000001E-2</v>
      </c>
    </row>
    <row r="1547" spans="1:5" x14ac:dyDescent="0.3">
      <c r="A1547">
        <v>40</v>
      </c>
      <c r="B1547">
        <v>300000</v>
      </c>
      <c r="C1547" t="s">
        <v>46</v>
      </c>
      <c r="D1547" t="s">
        <v>37</v>
      </c>
      <c r="E1547">
        <v>0.120487</v>
      </c>
    </row>
    <row r="1548" spans="1:5" x14ac:dyDescent="0.3">
      <c r="A1548">
        <v>40</v>
      </c>
      <c r="B1548">
        <v>300000</v>
      </c>
      <c r="C1548" t="s">
        <v>46</v>
      </c>
      <c r="D1548" t="s">
        <v>38</v>
      </c>
      <c r="E1548">
        <v>5.0131000000000002E-2</v>
      </c>
    </row>
    <row r="1549" spans="1:5" x14ac:dyDescent="0.3">
      <c r="A1549">
        <v>40</v>
      </c>
      <c r="B1549">
        <v>300000</v>
      </c>
      <c r="C1549" t="s">
        <v>46</v>
      </c>
      <c r="D1549" t="s">
        <v>39</v>
      </c>
      <c r="E1549">
        <v>4.1369999999999997E-2</v>
      </c>
    </row>
    <row r="1550" spans="1:5" x14ac:dyDescent="0.3">
      <c r="A1550">
        <v>40</v>
      </c>
      <c r="B1550">
        <v>300000</v>
      </c>
      <c r="C1550" t="s">
        <v>46</v>
      </c>
      <c r="D1550" t="s">
        <v>40</v>
      </c>
      <c r="E1550">
        <v>0.10327699999999999</v>
      </c>
    </row>
    <row r="1551" spans="1:5" x14ac:dyDescent="0.3">
      <c r="A1551">
        <v>40</v>
      </c>
      <c r="B1551">
        <v>300000</v>
      </c>
      <c r="C1551" t="s">
        <v>46</v>
      </c>
      <c r="D1551" t="s">
        <v>41</v>
      </c>
      <c r="E1551">
        <v>3.5845000000000002E-2</v>
      </c>
    </row>
    <row r="1552" spans="1:5" x14ac:dyDescent="0.3">
      <c r="A1552">
        <v>40</v>
      </c>
      <c r="B1552">
        <v>300000</v>
      </c>
      <c r="C1552" t="s">
        <v>46</v>
      </c>
      <c r="D1552" t="s">
        <v>42</v>
      </c>
      <c r="E1552">
        <v>2.0347000000000001E-2</v>
      </c>
    </row>
    <row r="1553" spans="1:5" x14ac:dyDescent="0.3">
      <c r="A1553">
        <v>40</v>
      </c>
      <c r="B1553">
        <v>300000</v>
      </c>
      <c r="C1553" t="s">
        <v>46</v>
      </c>
      <c r="D1553" t="s">
        <v>43</v>
      </c>
      <c r="E1553">
        <v>9.1109999999999993E-3</v>
      </c>
    </row>
    <row r="1554" spans="1:5" x14ac:dyDescent="0.3">
      <c r="A1554">
        <v>41</v>
      </c>
      <c r="B1554">
        <v>305000</v>
      </c>
      <c r="C1554" t="s">
        <v>45</v>
      </c>
      <c r="D1554" t="s">
        <v>28</v>
      </c>
      <c r="E1554">
        <v>149173.371063</v>
      </c>
    </row>
    <row r="1555" spans="1:5" x14ac:dyDescent="0.3">
      <c r="A1555">
        <v>41</v>
      </c>
      <c r="B1555">
        <v>305000</v>
      </c>
      <c r="C1555" t="s">
        <v>45</v>
      </c>
      <c r="D1555" t="s">
        <v>29</v>
      </c>
      <c r="E1555">
        <v>0.132437</v>
      </c>
    </row>
    <row r="1556" spans="1:5" x14ac:dyDescent="0.3">
      <c r="A1556">
        <v>41</v>
      </c>
      <c r="B1556">
        <v>305000</v>
      </c>
      <c r="C1556" t="s">
        <v>45</v>
      </c>
      <c r="D1556" t="s">
        <v>30</v>
      </c>
      <c r="E1556">
        <v>5.7186000000000001E-2</v>
      </c>
    </row>
    <row r="1557" spans="1:5" x14ac:dyDescent="0.3">
      <c r="A1557">
        <v>41</v>
      </c>
      <c r="B1557">
        <v>305000</v>
      </c>
      <c r="C1557" t="s">
        <v>45</v>
      </c>
      <c r="D1557" t="s">
        <v>31</v>
      </c>
      <c r="E1557">
        <v>1.1885E-2</v>
      </c>
    </row>
    <row r="1558" spans="1:5" x14ac:dyDescent="0.3">
      <c r="A1558">
        <v>41</v>
      </c>
      <c r="B1558">
        <v>305000</v>
      </c>
      <c r="C1558" t="s">
        <v>45</v>
      </c>
      <c r="D1558" t="s">
        <v>32</v>
      </c>
      <c r="E1558">
        <v>1.4234E-2</v>
      </c>
    </row>
    <row r="1559" spans="1:5" x14ac:dyDescent="0.3">
      <c r="A1559">
        <v>41</v>
      </c>
      <c r="B1559">
        <v>305000</v>
      </c>
      <c r="C1559" t="s">
        <v>45</v>
      </c>
      <c r="D1559" t="s">
        <v>33</v>
      </c>
      <c r="E1559">
        <v>99387.551561</v>
      </c>
    </row>
    <row r="1560" spans="1:5" x14ac:dyDescent="0.3">
      <c r="A1560">
        <v>41</v>
      </c>
      <c r="B1560">
        <v>305000</v>
      </c>
      <c r="C1560" t="s">
        <v>45</v>
      </c>
      <c r="D1560" t="s">
        <v>34</v>
      </c>
      <c r="E1560">
        <v>4.1432999999999998E-2</v>
      </c>
    </row>
    <row r="1561" spans="1:5" x14ac:dyDescent="0.3">
      <c r="A1561">
        <v>41</v>
      </c>
      <c r="B1561">
        <v>305000</v>
      </c>
      <c r="C1561" t="s">
        <v>45</v>
      </c>
      <c r="D1561" t="s">
        <v>35</v>
      </c>
      <c r="E1561">
        <v>48271.611831000002</v>
      </c>
    </row>
    <row r="1562" spans="1:5" x14ac:dyDescent="0.3">
      <c r="A1562">
        <v>41</v>
      </c>
      <c r="B1562">
        <v>305000</v>
      </c>
      <c r="C1562" t="s">
        <v>45</v>
      </c>
      <c r="D1562" t="s">
        <v>36</v>
      </c>
      <c r="E1562">
        <v>8.4539999999999997E-3</v>
      </c>
    </row>
    <row r="1563" spans="1:5" x14ac:dyDescent="0.3">
      <c r="A1563">
        <v>41</v>
      </c>
      <c r="B1563">
        <v>305000</v>
      </c>
      <c r="C1563" t="s">
        <v>45</v>
      </c>
      <c r="D1563" t="s">
        <v>37</v>
      </c>
      <c r="E1563">
        <v>8167.0566829999998</v>
      </c>
    </row>
    <row r="1564" spans="1:5" x14ac:dyDescent="0.3">
      <c r="A1564">
        <v>41</v>
      </c>
      <c r="B1564">
        <v>305000</v>
      </c>
      <c r="C1564" t="s">
        <v>45</v>
      </c>
      <c r="D1564" t="s">
        <v>38</v>
      </c>
      <c r="E1564">
        <v>3.7035999999999999E-2</v>
      </c>
    </row>
    <row r="1565" spans="1:5" x14ac:dyDescent="0.3">
      <c r="A1565">
        <v>41</v>
      </c>
      <c r="B1565">
        <v>305000</v>
      </c>
      <c r="C1565" t="s">
        <v>45</v>
      </c>
      <c r="D1565" t="s">
        <v>39</v>
      </c>
      <c r="E1565">
        <v>2.5388999999999998E-2</v>
      </c>
    </row>
    <row r="1566" spans="1:5" x14ac:dyDescent="0.3">
      <c r="A1566">
        <v>41</v>
      </c>
      <c r="B1566">
        <v>305000</v>
      </c>
      <c r="C1566" t="s">
        <v>45</v>
      </c>
      <c r="D1566" t="s">
        <v>40</v>
      </c>
      <c r="E1566">
        <v>5.5853E-2</v>
      </c>
    </row>
    <row r="1567" spans="1:5" x14ac:dyDescent="0.3">
      <c r="A1567">
        <v>41</v>
      </c>
      <c r="B1567">
        <v>305000</v>
      </c>
      <c r="C1567" t="s">
        <v>45</v>
      </c>
      <c r="D1567" t="s">
        <v>41</v>
      </c>
      <c r="E1567">
        <v>1.9709999999999998E-2</v>
      </c>
    </row>
    <row r="1568" spans="1:5" x14ac:dyDescent="0.3">
      <c r="A1568">
        <v>41</v>
      </c>
      <c r="B1568">
        <v>305000</v>
      </c>
      <c r="C1568" t="s">
        <v>45</v>
      </c>
      <c r="D1568" t="s">
        <v>42</v>
      </c>
      <c r="E1568">
        <v>1.0336E-2</v>
      </c>
    </row>
    <row r="1569" spans="1:5" x14ac:dyDescent="0.3">
      <c r="A1569">
        <v>41</v>
      </c>
      <c r="B1569">
        <v>305000</v>
      </c>
      <c r="C1569" t="s">
        <v>45</v>
      </c>
      <c r="D1569" t="s">
        <v>43</v>
      </c>
      <c r="E1569">
        <v>4.058E-3</v>
      </c>
    </row>
    <row r="1570" spans="1:5" x14ac:dyDescent="0.3">
      <c r="A1570">
        <v>41</v>
      </c>
      <c r="B1570">
        <v>305000</v>
      </c>
      <c r="C1570" t="s">
        <v>46</v>
      </c>
      <c r="D1570" t="s">
        <v>28</v>
      </c>
      <c r="E1570">
        <v>153516.251846</v>
      </c>
    </row>
    <row r="1571" spans="1:5" x14ac:dyDescent="0.3">
      <c r="A1571">
        <v>41</v>
      </c>
      <c r="B1571">
        <v>305000</v>
      </c>
      <c r="C1571" t="s">
        <v>46</v>
      </c>
      <c r="D1571" t="s">
        <v>29</v>
      </c>
      <c r="E1571">
        <v>2.750867</v>
      </c>
    </row>
    <row r="1572" spans="1:5" x14ac:dyDescent="0.3">
      <c r="A1572">
        <v>41</v>
      </c>
      <c r="B1572">
        <v>305000</v>
      </c>
      <c r="C1572" t="s">
        <v>46</v>
      </c>
      <c r="D1572" t="s">
        <v>30</v>
      </c>
      <c r="E1572">
        <v>1.0051859999999999</v>
      </c>
    </row>
    <row r="1573" spans="1:5" x14ac:dyDescent="0.3">
      <c r="A1573">
        <v>41</v>
      </c>
      <c r="B1573">
        <v>305000</v>
      </c>
      <c r="C1573" t="s">
        <v>46</v>
      </c>
      <c r="D1573" t="s">
        <v>31</v>
      </c>
      <c r="E1573">
        <v>0.190862</v>
      </c>
    </row>
    <row r="1574" spans="1:5" x14ac:dyDescent="0.3">
      <c r="A1574">
        <v>41</v>
      </c>
      <c r="B1574">
        <v>305000</v>
      </c>
      <c r="C1574" t="s">
        <v>46</v>
      </c>
      <c r="D1574" t="s">
        <v>32</v>
      </c>
      <c r="E1574">
        <v>0.21973000000000001</v>
      </c>
    </row>
    <row r="1575" spans="1:5" x14ac:dyDescent="0.3">
      <c r="A1575">
        <v>41</v>
      </c>
      <c r="B1575">
        <v>305000</v>
      </c>
      <c r="C1575" t="s">
        <v>46</v>
      </c>
      <c r="D1575" t="s">
        <v>33</v>
      </c>
      <c r="E1575">
        <v>99386.743761000005</v>
      </c>
    </row>
    <row r="1576" spans="1:5" x14ac:dyDescent="0.3">
      <c r="A1576">
        <v>41</v>
      </c>
      <c r="B1576">
        <v>305000</v>
      </c>
      <c r="C1576" t="s">
        <v>46</v>
      </c>
      <c r="D1576" t="s">
        <v>34</v>
      </c>
      <c r="E1576">
        <v>1.1615709999999999</v>
      </c>
    </row>
    <row r="1577" spans="1:5" x14ac:dyDescent="0.3">
      <c r="A1577">
        <v>41</v>
      </c>
      <c r="B1577">
        <v>305000</v>
      </c>
      <c r="C1577" t="s">
        <v>46</v>
      </c>
      <c r="D1577" t="s">
        <v>35</v>
      </c>
      <c r="E1577">
        <v>48271.124989000004</v>
      </c>
    </row>
    <row r="1578" spans="1:5" x14ac:dyDescent="0.3">
      <c r="A1578">
        <v>41</v>
      </c>
      <c r="B1578">
        <v>305000</v>
      </c>
      <c r="C1578" t="s">
        <v>46</v>
      </c>
      <c r="D1578" t="s">
        <v>36</v>
      </c>
      <c r="E1578">
        <v>0.13230900000000001</v>
      </c>
    </row>
    <row r="1579" spans="1:5" x14ac:dyDescent="0.3">
      <c r="A1579">
        <v>41</v>
      </c>
      <c r="B1579">
        <v>305000</v>
      </c>
      <c r="C1579" t="s">
        <v>46</v>
      </c>
      <c r="D1579" t="s">
        <v>37</v>
      </c>
      <c r="E1579">
        <v>3817.9717009999999</v>
      </c>
    </row>
    <row r="1580" spans="1:5" x14ac:dyDescent="0.3">
      <c r="A1580">
        <v>41</v>
      </c>
      <c r="B1580">
        <v>305000</v>
      </c>
      <c r="C1580" t="s">
        <v>46</v>
      </c>
      <c r="D1580" t="s">
        <v>38</v>
      </c>
      <c r="E1580">
        <v>0.584233</v>
      </c>
    </row>
    <row r="1581" spans="1:5" x14ac:dyDescent="0.3">
      <c r="A1581">
        <v>41</v>
      </c>
      <c r="B1581">
        <v>305000</v>
      </c>
      <c r="C1581" t="s">
        <v>46</v>
      </c>
      <c r="D1581" t="s">
        <v>39</v>
      </c>
      <c r="E1581">
        <v>0.49095899999999998</v>
      </c>
    </row>
    <row r="1582" spans="1:5" x14ac:dyDescent="0.3">
      <c r="A1582">
        <v>41</v>
      </c>
      <c r="B1582">
        <v>305000</v>
      </c>
      <c r="C1582" t="s">
        <v>46</v>
      </c>
      <c r="D1582" t="s">
        <v>40</v>
      </c>
      <c r="E1582">
        <v>0.91102499999999997</v>
      </c>
    </row>
    <row r="1583" spans="1:5" x14ac:dyDescent="0.3">
      <c r="A1583">
        <v>41</v>
      </c>
      <c r="B1583">
        <v>305000</v>
      </c>
      <c r="C1583" t="s">
        <v>46</v>
      </c>
      <c r="D1583" t="s">
        <v>41</v>
      </c>
      <c r="E1583">
        <v>0.32545299999999999</v>
      </c>
    </row>
    <row r="1584" spans="1:5" x14ac:dyDescent="0.3">
      <c r="A1584">
        <v>41</v>
      </c>
      <c r="B1584">
        <v>305000</v>
      </c>
      <c r="C1584" t="s">
        <v>46</v>
      </c>
      <c r="D1584" t="s">
        <v>42</v>
      </c>
      <c r="E1584">
        <v>0.16592499999999999</v>
      </c>
    </row>
    <row r="1585" spans="1:5" x14ac:dyDescent="0.3">
      <c r="A1585">
        <v>41</v>
      </c>
      <c r="B1585">
        <v>305000</v>
      </c>
      <c r="C1585" t="s">
        <v>46</v>
      </c>
      <c r="D1585" t="s">
        <v>43</v>
      </c>
      <c r="E1585">
        <v>5.8382000000000003E-2</v>
      </c>
    </row>
    <row r="1586" spans="1:5" x14ac:dyDescent="0.3">
      <c r="A1586">
        <v>42</v>
      </c>
      <c r="B1586">
        <v>310000</v>
      </c>
      <c r="C1586" t="s">
        <v>45</v>
      </c>
      <c r="D1586" t="s">
        <v>28</v>
      </c>
      <c r="E1586">
        <v>149346.59607699999</v>
      </c>
    </row>
    <row r="1587" spans="1:5" x14ac:dyDescent="0.3">
      <c r="A1587">
        <v>42</v>
      </c>
      <c r="B1587">
        <v>310000</v>
      </c>
      <c r="C1587" t="s">
        <v>45</v>
      </c>
      <c r="D1587" t="s">
        <v>29</v>
      </c>
      <c r="E1587">
        <v>0.71919999999999995</v>
      </c>
    </row>
    <row r="1588" spans="1:5" x14ac:dyDescent="0.3">
      <c r="A1588">
        <v>42</v>
      </c>
      <c r="B1588">
        <v>310000</v>
      </c>
      <c r="C1588" t="s">
        <v>45</v>
      </c>
      <c r="D1588" t="s">
        <v>30</v>
      </c>
      <c r="E1588">
        <v>0.26693800000000001</v>
      </c>
    </row>
    <row r="1589" spans="1:5" x14ac:dyDescent="0.3">
      <c r="A1589">
        <v>42</v>
      </c>
      <c r="B1589">
        <v>310000</v>
      </c>
      <c r="C1589" t="s">
        <v>45</v>
      </c>
      <c r="D1589" t="s">
        <v>31</v>
      </c>
      <c r="E1589">
        <v>6.3410999999999995E-2</v>
      </c>
    </row>
    <row r="1590" spans="1:5" x14ac:dyDescent="0.3">
      <c r="A1590">
        <v>42</v>
      </c>
      <c r="B1590">
        <v>310000</v>
      </c>
      <c r="C1590" t="s">
        <v>45</v>
      </c>
      <c r="D1590" t="s">
        <v>32</v>
      </c>
      <c r="E1590">
        <v>7.1948999999999999E-2</v>
      </c>
    </row>
    <row r="1591" spans="1:5" x14ac:dyDescent="0.3">
      <c r="A1591">
        <v>42</v>
      </c>
      <c r="B1591">
        <v>310000</v>
      </c>
      <c r="C1591" t="s">
        <v>45</v>
      </c>
      <c r="D1591" t="s">
        <v>33</v>
      </c>
      <c r="E1591">
        <v>99387.402596</v>
      </c>
    </row>
    <row r="1592" spans="1:5" x14ac:dyDescent="0.3">
      <c r="A1592">
        <v>42</v>
      </c>
      <c r="B1592">
        <v>310000</v>
      </c>
      <c r="C1592" t="s">
        <v>45</v>
      </c>
      <c r="D1592" t="s">
        <v>34</v>
      </c>
      <c r="E1592">
        <v>0.19429299999999999</v>
      </c>
    </row>
    <row r="1593" spans="1:5" x14ac:dyDescent="0.3">
      <c r="A1593">
        <v>42</v>
      </c>
      <c r="B1593">
        <v>310000</v>
      </c>
      <c r="C1593" t="s">
        <v>45</v>
      </c>
      <c r="D1593" t="s">
        <v>35</v>
      </c>
      <c r="E1593">
        <v>48271.447031999996</v>
      </c>
    </row>
    <row r="1594" spans="1:5" x14ac:dyDescent="0.3">
      <c r="A1594">
        <v>42</v>
      </c>
      <c r="B1594">
        <v>310000</v>
      </c>
      <c r="C1594" t="s">
        <v>45</v>
      </c>
      <c r="D1594" t="s">
        <v>36</v>
      </c>
      <c r="E1594">
        <v>4.3513000000000003E-2</v>
      </c>
    </row>
    <row r="1595" spans="1:5" x14ac:dyDescent="0.3">
      <c r="A1595">
        <v>42</v>
      </c>
      <c r="B1595">
        <v>310000</v>
      </c>
      <c r="C1595" t="s">
        <v>45</v>
      </c>
      <c r="D1595" t="s">
        <v>37</v>
      </c>
      <c r="E1595">
        <v>12992.457342</v>
      </c>
    </row>
    <row r="1596" spans="1:5" x14ac:dyDescent="0.3">
      <c r="A1596">
        <v>42</v>
      </c>
      <c r="B1596">
        <v>310000</v>
      </c>
      <c r="C1596" t="s">
        <v>45</v>
      </c>
      <c r="D1596" t="s">
        <v>38</v>
      </c>
      <c r="E1596">
        <v>0.169848</v>
      </c>
    </row>
    <row r="1597" spans="1:5" x14ac:dyDescent="0.3">
      <c r="A1597">
        <v>42</v>
      </c>
      <c r="B1597">
        <v>310000</v>
      </c>
      <c r="C1597" t="s">
        <v>45</v>
      </c>
      <c r="D1597" t="s">
        <v>39</v>
      </c>
      <c r="E1597">
        <v>0.13664999999999999</v>
      </c>
    </row>
    <row r="1598" spans="1:5" x14ac:dyDescent="0.3">
      <c r="A1598">
        <v>42</v>
      </c>
      <c r="B1598">
        <v>310000</v>
      </c>
      <c r="C1598" t="s">
        <v>45</v>
      </c>
      <c r="D1598" t="s">
        <v>40</v>
      </c>
      <c r="E1598">
        <v>0.29165400000000002</v>
      </c>
    </row>
    <row r="1599" spans="1:5" x14ac:dyDescent="0.3">
      <c r="A1599">
        <v>42</v>
      </c>
      <c r="B1599">
        <v>310000</v>
      </c>
      <c r="C1599" t="s">
        <v>45</v>
      </c>
      <c r="D1599" t="s">
        <v>41</v>
      </c>
      <c r="E1599">
        <v>9.3224000000000001E-2</v>
      </c>
    </row>
    <row r="1600" spans="1:5" x14ac:dyDescent="0.3">
      <c r="A1600">
        <v>42</v>
      </c>
      <c r="B1600">
        <v>310000</v>
      </c>
      <c r="C1600" t="s">
        <v>45</v>
      </c>
      <c r="D1600" t="s">
        <v>42</v>
      </c>
      <c r="E1600">
        <v>5.2781000000000002E-2</v>
      </c>
    </row>
    <row r="1601" spans="1:5" x14ac:dyDescent="0.3">
      <c r="A1601">
        <v>42</v>
      </c>
      <c r="B1601">
        <v>310000</v>
      </c>
      <c r="C1601" t="s">
        <v>45</v>
      </c>
      <c r="D1601" t="s">
        <v>43</v>
      </c>
      <c r="E1601">
        <v>1.9591000000000001E-2</v>
      </c>
    </row>
    <row r="1602" spans="1:5" x14ac:dyDescent="0.3">
      <c r="A1602">
        <v>42</v>
      </c>
      <c r="B1602">
        <v>310000</v>
      </c>
      <c r="C1602" t="s">
        <v>46</v>
      </c>
      <c r="D1602" t="s">
        <v>28</v>
      </c>
      <c r="E1602">
        <v>154366.38718699999</v>
      </c>
    </row>
    <row r="1603" spans="1:5" x14ac:dyDescent="0.3">
      <c r="A1603">
        <v>42</v>
      </c>
      <c r="B1603">
        <v>310000</v>
      </c>
      <c r="C1603" t="s">
        <v>46</v>
      </c>
      <c r="D1603" t="s">
        <v>29</v>
      </c>
      <c r="E1603">
        <v>1.0729919999999999</v>
      </c>
    </row>
    <row r="1604" spans="1:5" x14ac:dyDescent="0.3">
      <c r="A1604">
        <v>42</v>
      </c>
      <c r="B1604">
        <v>310000</v>
      </c>
      <c r="C1604" t="s">
        <v>46</v>
      </c>
      <c r="D1604" t="s">
        <v>30</v>
      </c>
      <c r="E1604">
        <v>0.41517900000000002</v>
      </c>
    </row>
    <row r="1605" spans="1:5" x14ac:dyDescent="0.3">
      <c r="A1605">
        <v>42</v>
      </c>
      <c r="B1605">
        <v>310000</v>
      </c>
      <c r="C1605" t="s">
        <v>46</v>
      </c>
      <c r="D1605" t="s">
        <v>31</v>
      </c>
      <c r="E1605">
        <v>8.3829000000000001E-2</v>
      </c>
    </row>
    <row r="1606" spans="1:5" x14ac:dyDescent="0.3">
      <c r="A1606">
        <v>42</v>
      </c>
      <c r="B1606">
        <v>310000</v>
      </c>
      <c r="C1606" t="s">
        <v>46</v>
      </c>
      <c r="D1606" t="s">
        <v>32</v>
      </c>
      <c r="E1606">
        <v>9.9269999999999997E-2</v>
      </c>
    </row>
    <row r="1607" spans="1:5" x14ac:dyDescent="0.3">
      <c r="A1607">
        <v>42</v>
      </c>
      <c r="B1607">
        <v>310000</v>
      </c>
      <c r="C1607" t="s">
        <v>46</v>
      </c>
      <c r="D1607" t="s">
        <v>33</v>
      </c>
      <c r="E1607">
        <v>99387.441036999997</v>
      </c>
    </row>
    <row r="1608" spans="1:5" x14ac:dyDescent="0.3">
      <c r="A1608">
        <v>42</v>
      </c>
      <c r="B1608">
        <v>310000</v>
      </c>
      <c r="C1608" t="s">
        <v>46</v>
      </c>
      <c r="D1608" t="s">
        <v>34</v>
      </c>
      <c r="E1608">
        <v>0.65802799999999995</v>
      </c>
    </row>
    <row r="1609" spans="1:5" x14ac:dyDescent="0.3">
      <c r="A1609">
        <v>42</v>
      </c>
      <c r="B1609">
        <v>310000</v>
      </c>
      <c r="C1609" t="s">
        <v>46</v>
      </c>
      <c r="D1609" t="s">
        <v>35</v>
      </c>
      <c r="E1609">
        <v>48271.405952000001</v>
      </c>
    </row>
    <row r="1610" spans="1:5" x14ac:dyDescent="0.3">
      <c r="A1610">
        <v>42</v>
      </c>
      <c r="B1610">
        <v>310000</v>
      </c>
      <c r="C1610" t="s">
        <v>46</v>
      </c>
      <c r="D1610" t="s">
        <v>36</v>
      </c>
      <c r="E1610">
        <v>5.6739999999999999E-2</v>
      </c>
    </row>
    <row r="1611" spans="1:5" x14ac:dyDescent="0.3">
      <c r="A1611">
        <v>42</v>
      </c>
      <c r="B1611">
        <v>310000</v>
      </c>
      <c r="C1611" t="s">
        <v>46</v>
      </c>
      <c r="D1611" t="s">
        <v>37</v>
      </c>
      <c r="E1611">
        <v>7971.3716350000004</v>
      </c>
    </row>
    <row r="1612" spans="1:5" x14ac:dyDescent="0.3">
      <c r="A1612">
        <v>42</v>
      </c>
      <c r="B1612">
        <v>310000</v>
      </c>
      <c r="C1612" t="s">
        <v>46</v>
      </c>
      <c r="D1612" t="s">
        <v>38</v>
      </c>
      <c r="E1612">
        <v>0.24893199999999999</v>
      </c>
    </row>
    <row r="1613" spans="1:5" x14ac:dyDescent="0.3">
      <c r="A1613">
        <v>42</v>
      </c>
      <c r="B1613">
        <v>310000</v>
      </c>
      <c r="C1613" t="s">
        <v>46</v>
      </c>
      <c r="D1613" t="s">
        <v>39</v>
      </c>
      <c r="E1613">
        <v>0.18194399999999999</v>
      </c>
    </row>
    <row r="1614" spans="1:5" x14ac:dyDescent="0.3">
      <c r="A1614">
        <v>42</v>
      </c>
      <c r="B1614">
        <v>310000</v>
      </c>
      <c r="C1614" t="s">
        <v>46</v>
      </c>
      <c r="D1614" t="s">
        <v>40</v>
      </c>
      <c r="E1614">
        <v>0.38759399999999999</v>
      </c>
    </row>
    <row r="1615" spans="1:5" x14ac:dyDescent="0.3">
      <c r="A1615">
        <v>42</v>
      </c>
      <c r="B1615">
        <v>310000</v>
      </c>
      <c r="C1615" t="s">
        <v>46</v>
      </c>
      <c r="D1615" t="s">
        <v>41</v>
      </c>
      <c r="E1615">
        <v>0.12895300000000001</v>
      </c>
    </row>
    <row r="1616" spans="1:5" x14ac:dyDescent="0.3">
      <c r="A1616">
        <v>42</v>
      </c>
      <c r="B1616">
        <v>310000</v>
      </c>
      <c r="C1616" t="s">
        <v>46</v>
      </c>
      <c r="D1616" t="s">
        <v>42</v>
      </c>
      <c r="E1616">
        <v>7.4402999999999997E-2</v>
      </c>
    </row>
    <row r="1617" spans="1:5" x14ac:dyDescent="0.3">
      <c r="A1617">
        <v>42</v>
      </c>
      <c r="B1617">
        <v>310000</v>
      </c>
      <c r="C1617" t="s">
        <v>46</v>
      </c>
      <c r="D1617" t="s">
        <v>43</v>
      </c>
      <c r="E1617">
        <v>2.6554999999999999E-2</v>
      </c>
    </row>
    <row r="1618" spans="1:5" x14ac:dyDescent="0.3">
      <c r="A1618">
        <v>43</v>
      </c>
      <c r="B1618">
        <v>315000</v>
      </c>
      <c r="C1618" t="s">
        <v>45</v>
      </c>
      <c r="D1618" t="s">
        <v>28</v>
      </c>
      <c r="E1618">
        <v>149520.524172</v>
      </c>
    </row>
    <row r="1619" spans="1:5" x14ac:dyDescent="0.3">
      <c r="A1619">
        <v>43</v>
      </c>
      <c r="B1619">
        <v>315000</v>
      </c>
      <c r="C1619" t="s">
        <v>45</v>
      </c>
      <c r="D1619" t="s">
        <v>29</v>
      </c>
      <c r="E1619">
        <v>0.58185299999999995</v>
      </c>
    </row>
    <row r="1620" spans="1:5" x14ac:dyDescent="0.3">
      <c r="A1620">
        <v>43</v>
      </c>
      <c r="B1620">
        <v>315000</v>
      </c>
      <c r="C1620" t="s">
        <v>45</v>
      </c>
      <c r="D1620" t="s">
        <v>30</v>
      </c>
      <c r="E1620">
        <v>0.211897</v>
      </c>
    </row>
    <row r="1621" spans="1:5" x14ac:dyDescent="0.3">
      <c r="A1621">
        <v>43</v>
      </c>
      <c r="B1621">
        <v>315000</v>
      </c>
      <c r="C1621" t="s">
        <v>45</v>
      </c>
      <c r="D1621" t="s">
        <v>31</v>
      </c>
      <c r="E1621">
        <v>4.1744000000000003E-2</v>
      </c>
    </row>
    <row r="1622" spans="1:5" x14ac:dyDescent="0.3">
      <c r="A1622">
        <v>43</v>
      </c>
      <c r="B1622">
        <v>315000</v>
      </c>
      <c r="C1622" t="s">
        <v>45</v>
      </c>
      <c r="D1622" t="s">
        <v>32</v>
      </c>
      <c r="E1622">
        <v>4.9981999999999999E-2</v>
      </c>
    </row>
    <row r="1623" spans="1:5" x14ac:dyDescent="0.3">
      <c r="A1623">
        <v>43</v>
      </c>
      <c r="B1623">
        <v>315000</v>
      </c>
      <c r="C1623" t="s">
        <v>45</v>
      </c>
      <c r="D1623" t="s">
        <v>33</v>
      </c>
      <c r="E1623">
        <v>99387.519297000006</v>
      </c>
    </row>
    <row r="1624" spans="1:5" x14ac:dyDescent="0.3">
      <c r="A1624">
        <v>43</v>
      </c>
      <c r="B1624">
        <v>315000</v>
      </c>
      <c r="C1624" t="s">
        <v>45</v>
      </c>
      <c r="D1624" t="s">
        <v>34</v>
      </c>
      <c r="E1624">
        <v>0.155084</v>
      </c>
    </row>
    <row r="1625" spans="1:5" x14ac:dyDescent="0.3">
      <c r="A1625">
        <v>43</v>
      </c>
      <c r="B1625">
        <v>315000</v>
      </c>
      <c r="C1625" t="s">
        <v>45</v>
      </c>
      <c r="D1625" t="s">
        <v>35</v>
      </c>
      <c r="E1625">
        <v>48271.483733000001</v>
      </c>
    </row>
    <row r="1626" spans="1:5" x14ac:dyDescent="0.3">
      <c r="A1626">
        <v>43</v>
      </c>
      <c r="B1626">
        <v>315000</v>
      </c>
      <c r="C1626" t="s">
        <v>45</v>
      </c>
      <c r="D1626" t="s">
        <v>36</v>
      </c>
      <c r="E1626">
        <v>2.7813999999999998E-2</v>
      </c>
    </row>
    <row r="1627" spans="1:5" x14ac:dyDescent="0.3">
      <c r="A1627">
        <v>43</v>
      </c>
      <c r="B1627">
        <v>315000</v>
      </c>
      <c r="C1627" t="s">
        <v>45</v>
      </c>
      <c r="D1627" t="s">
        <v>37</v>
      </c>
      <c r="E1627">
        <v>17818.904025</v>
      </c>
    </row>
    <row r="1628" spans="1:5" x14ac:dyDescent="0.3">
      <c r="A1628">
        <v>43</v>
      </c>
      <c r="B1628">
        <v>315000</v>
      </c>
      <c r="C1628" t="s">
        <v>45</v>
      </c>
      <c r="D1628" t="s">
        <v>38</v>
      </c>
      <c r="E1628">
        <v>0.1409</v>
      </c>
    </row>
    <row r="1629" spans="1:5" x14ac:dyDescent="0.3">
      <c r="A1629">
        <v>43</v>
      </c>
      <c r="B1629">
        <v>315000</v>
      </c>
      <c r="C1629" t="s">
        <v>45</v>
      </c>
      <c r="D1629" t="s">
        <v>39</v>
      </c>
      <c r="E1629">
        <v>8.9550000000000005E-2</v>
      </c>
    </row>
    <row r="1630" spans="1:5" x14ac:dyDescent="0.3">
      <c r="A1630">
        <v>43</v>
      </c>
      <c r="B1630">
        <v>315000</v>
      </c>
      <c r="C1630" t="s">
        <v>45</v>
      </c>
      <c r="D1630" t="s">
        <v>40</v>
      </c>
      <c r="E1630">
        <v>0.186997</v>
      </c>
    </row>
    <row r="1631" spans="1:5" x14ac:dyDescent="0.3">
      <c r="A1631">
        <v>43</v>
      </c>
      <c r="B1631">
        <v>315000</v>
      </c>
      <c r="C1631" t="s">
        <v>45</v>
      </c>
      <c r="D1631" t="s">
        <v>41</v>
      </c>
      <c r="E1631">
        <v>6.7460999999999993E-2</v>
      </c>
    </row>
    <row r="1632" spans="1:5" x14ac:dyDescent="0.3">
      <c r="A1632">
        <v>43</v>
      </c>
      <c r="B1632">
        <v>315000</v>
      </c>
      <c r="C1632" t="s">
        <v>45</v>
      </c>
      <c r="D1632" t="s">
        <v>42</v>
      </c>
      <c r="E1632">
        <v>3.4547000000000001E-2</v>
      </c>
    </row>
    <row r="1633" spans="1:5" x14ac:dyDescent="0.3">
      <c r="A1633">
        <v>43</v>
      </c>
      <c r="B1633">
        <v>315000</v>
      </c>
      <c r="C1633" t="s">
        <v>45</v>
      </c>
      <c r="D1633" t="s">
        <v>43</v>
      </c>
      <c r="E1633">
        <v>1.2744E-2</v>
      </c>
    </row>
    <row r="1634" spans="1:5" x14ac:dyDescent="0.3">
      <c r="A1634">
        <v>43</v>
      </c>
      <c r="B1634">
        <v>315000</v>
      </c>
      <c r="C1634" t="s">
        <v>46</v>
      </c>
      <c r="D1634" t="s">
        <v>28</v>
      </c>
      <c r="E1634">
        <v>155217.82350100001</v>
      </c>
    </row>
    <row r="1635" spans="1:5" x14ac:dyDescent="0.3">
      <c r="A1635">
        <v>43</v>
      </c>
      <c r="B1635">
        <v>315000</v>
      </c>
      <c r="C1635" t="s">
        <v>46</v>
      </c>
      <c r="D1635" t="s">
        <v>29</v>
      </c>
      <c r="E1635">
        <v>1.8264750000000001</v>
      </c>
    </row>
    <row r="1636" spans="1:5" x14ac:dyDescent="0.3">
      <c r="A1636">
        <v>43</v>
      </c>
      <c r="B1636">
        <v>315000</v>
      </c>
      <c r="C1636" t="s">
        <v>46</v>
      </c>
      <c r="D1636" t="s">
        <v>30</v>
      </c>
      <c r="E1636">
        <v>0.73477599999999998</v>
      </c>
    </row>
    <row r="1637" spans="1:5" x14ac:dyDescent="0.3">
      <c r="A1637">
        <v>43</v>
      </c>
      <c r="B1637">
        <v>315000</v>
      </c>
      <c r="C1637" t="s">
        <v>46</v>
      </c>
      <c r="D1637" t="s">
        <v>31</v>
      </c>
      <c r="E1637">
        <v>0.16386600000000001</v>
      </c>
    </row>
    <row r="1638" spans="1:5" x14ac:dyDescent="0.3">
      <c r="A1638">
        <v>43</v>
      </c>
      <c r="B1638">
        <v>315000</v>
      </c>
      <c r="C1638" t="s">
        <v>46</v>
      </c>
      <c r="D1638" t="s">
        <v>32</v>
      </c>
      <c r="E1638">
        <v>0.19104299999999999</v>
      </c>
    </row>
    <row r="1639" spans="1:5" x14ac:dyDescent="0.3">
      <c r="A1639">
        <v>43</v>
      </c>
      <c r="B1639">
        <v>315000</v>
      </c>
      <c r="C1639" t="s">
        <v>46</v>
      </c>
      <c r="D1639" t="s">
        <v>33</v>
      </c>
      <c r="E1639">
        <v>99387.107569</v>
      </c>
    </row>
    <row r="1640" spans="1:5" x14ac:dyDescent="0.3">
      <c r="A1640">
        <v>43</v>
      </c>
      <c r="B1640">
        <v>315000</v>
      </c>
      <c r="C1640" t="s">
        <v>46</v>
      </c>
      <c r="D1640" t="s">
        <v>34</v>
      </c>
      <c r="E1640">
        <v>1.0564260000000001</v>
      </c>
    </row>
    <row r="1641" spans="1:5" x14ac:dyDescent="0.3">
      <c r="A1641">
        <v>43</v>
      </c>
      <c r="B1641">
        <v>315000</v>
      </c>
      <c r="C1641" t="s">
        <v>46</v>
      </c>
      <c r="D1641" t="s">
        <v>35</v>
      </c>
      <c r="E1641">
        <v>48271.222816000001</v>
      </c>
    </row>
    <row r="1642" spans="1:5" x14ac:dyDescent="0.3">
      <c r="A1642">
        <v>43</v>
      </c>
      <c r="B1642">
        <v>315000</v>
      </c>
      <c r="C1642" t="s">
        <v>46</v>
      </c>
      <c r="D1642" t="s">
        <v>36</v>
      </c>
      <c r="E1642">
        <v>0.115328</v>
      </c>
    </row>
    <row r="1643" spans="1:5" x14ac:dyDescent="0.3">
      <c r="A1643">
        <v>43</v>
      </c>
      <c r="B1643">
        <v>315000</v>
      </c>
      <c r="C1643" t="s">
        <v>46</v>
      </c>
      <c r="D1643" t="s">
        <v>37</v>
      </c>
      <c r="E1643">
        <v>12117.791802</v>
      </c>
    </row>
    <row r="1644" spans="1:5" x14ac:dyDescent="0.3">
      <c r="A1644">
        <v>43</v>
      </c>
      <c r="B1644">
        <v>315000</v>
      </c>
      <c r="C1644" t="s">
        <v>46</v>
      </c>
      <c r="D1644" t="s">
        <v>38</v>
      </c>
      <c r="E1644">
        <v>0.47931299999999999</v>
      </c>
    </row>
    <row r="1645" spans="1:5" x14ac:dyDescent="0.3">
      <c r="A1645">
        <v>43</v>
      </c>
      <c r="B1645">
        <v>315000</v>
      </c>
      <c r="C1645" t="s">
        <v>46</v>
      </c>
      <c r="D1645" t="s">
        <v>39</v>
      </c>
      <c r="E1645">
        <v>0.36278300000000002</v>
      </c>
    </row>
    <row r="1646" spans="1:5" x14ac:dyDescent="0.3">
      <c r="A1646">
        <v>43</v>
      </c>
      <c r="B1646">
        <v>315000</v>
      </c>
      <c r="C1646" t="s">
        <v>46</v>
      </c>
      <c r="D1646" t="s">
        <v>40</v>
      </c>
      <c r="E1646">
        <v>0.77425900000000003</v>
      </c>
    </row>
    <row r="1647" spans="1:5" x14ac:dyDescent="0.3">
      <c r="A1647">
        <v>43</v>
      </c>
      <c r="B1647">
        <v>315000</v>
      </c>
      <c r="C1647" t="s">
        <v>46</v>
      </c>
      <c r="D1647" t="s">
        <v>41</v>
      </c>
      <c r="E1647">
        <v>0.264959</v>
      </c>
    </row>
    <row r="1648" spans="1:5" x14ac:dyDescent="0.3">
      <c r="A1648">
        <v>43</v>
      </c>
      <c r="B1648">
        <v>315000</v>
      </c>
      <c r="C1648" t="s">
        <v>46</v>
      </c>
      <c r="D1648" t="s">
        <v>42</v>
      </c>
      <c r="E1648">
        <v>0.146093</v>
      </c>
    </row>
    <row r="1649" spans="1:5" x14ac:dyDescent="0.3">
      <c r="A1649">
        <v>43</v>
      </c>
      <c r="B1649">
        <v>315000</v>
      </c>
      <c r="C1649" t="s">
        <v>46</v>
      </c>
      <c r="D1649" t="s">
        <v>43</v>
      </c>
      <c r="E1649">
        <v>5.1540999999999997E-2</v>
      </c>
    </row>
    <row r="1650" spans="1:5" x14ac:dyDescent="0.3">
      <c r="A1650">
        <v>44</v>
      </c>
      <c r="B1650">
        <v>320000</v>
      </c>
      <c r="C1650" t="s">
        <v>45</v>
      </c>
      <c r="D1650" t="s">
        <v>28</v>
      </c>
      <c r="E1650">
        <v>149706.15247599999</v>
      </c>
    </row>
    <row r="1651" spans="1:5" x14ac:dyDescent="0.3">
      <c r="A1651">
        <v>44</v>
      </c>
      <c r="B1651">
        <v>320000</v>
      </c>
      <c r="C1651" t="s">
        <v>45</v>
      </c>
      <c r="D1651" t="s">
        <v>29</v>
      </c>
      <c r="E1651">
        <v>7.5151999999999997E-2</v>
      </c>
    </row>
    <row r="1652" spans="1:5" x14ac:dyDescent="0.3">
      <c r="A1652">
        <v>44</v>
      </c>
      <c r="B1652">
        <v>320000</v>
      </c>
      <c r="C1652" t="s">
        <v>45</v>
      </c>
      <c r="D1652" t="s">
        <v>30</v>
      </c>
      <c r="E1652">
        <v>2.4372999999999999E-2</v>
      </c>
    </row>
    <row r="1653" spans="1:5" x14ac:dyDescent="0.3">
      <c r="A1653">
        <v>44</v>
      </c>
      <c r="B1653">
        <v>320000</v>
      </c>
      <c r="C1653" t="s">
        <v>45</v>
      </c>
      <c r="D1653" t="s">
        <v>31</v>
      </c>
      <c r="E1653">
        <v>5.4929999999999996E-3</v>
      </c>
    </row>
    <row r="1654" spans="1:5" x14ac:dyDescent="0.3">
      <c r="A1654">
        <v>44</v>
      </c>
      <c r="B1654">
        <v>320000</v>
      </c>
      <c r="C1654" t="s">
        <v>45</v>
      </c>
      <c r="D1654" t="s">
        <v>32</v>
      </c>
      <c r="E1654">
        <v>6.3049999999999998E-3</v>
      </c>
    </row>
    <row r="1655" spans="1:5" x14ac:dyDescent="0.3">
      <c r="A1655">
        <v>44</v>
      </c>
      <c r="B1655">
        <v>320000</v>
      </c>
      <c r="C1655" t="s">
        <v>45</v>
      </c>
      <c r="D1655" t="s">
        <v>33</v>
      </c>
      <c r="E1655">
        <v>99387.583008000001</v>
      </c>
    </row>
    <row r="1656" spans="1:5" x14ac:dyDescent="0.3">
      <c r="A1656">
        <v>44</v>
      </c>
      <c r="B1656">
        <v>320000</v>
      </c>
      <c r="C1656" t="s">
        <v>45</v>
      </c>
      <c r="D1656" t="s">
        <v>34</v>
      </c>
      <c r="E1656">
        <v>2.0974E-2</v>
      </c>
    </row>
    <row r="1657" spans="1:5" x14ac:dyDescent="0.3">
      <c r="A1657">
        <v>44</v>
      </c>
      <c r="B1657">
        <v>320000</v>
      </c>
      <c r="C1657" t="s">
        <v>45</v>
      </c>
      <c r="D1657" t="s">
        <v>35</v>
      </c>
      <c r="E1657">
        <v>48271.628831000002</v>
      </c>
    </row>
    <row r="1658" spans="1:5" x14ac:dyDescent="0.3">
      <c r="A1658">
        <v>44</v>
      </c>
      <c r="B1658">
        <v>320000</v>
      </c>
      <c r="C1658" t="s">
        <v>45</v>
      </c>
      <c r="D1658" t="s">
        <v>36</v>
      </c>
      <c r="E1658">
        <v>3.7060000000000001E-3</v>
      </c>
    </row>
    <row r="1659" spans="1:5" x14ac:dyDescent="0.3">
      <c r="A1659">
        <v>44</v>
      </c>
      <c r="B1659">
        <v>320000</v>
      </c>
      <c r="C1659" t="s">
        <v>45</v>
      </c>
      <c r="D1659" t="s">
        <v>37</v>
      </c>
      <c r="E1659">
        <v>22634.431326999998</v>
      </c>
    </row>
    <row r="1660" spans="1:5" x14ac:dyDescent="0.3">
      <c r="A1660">
        <v>44</v>
      </c>
      <c r="B1660">
        <v>320000</v>
      </c>
      <c r="C1660" t="s">
        <v>45</v>
      </c>
      <c r="D1660" t="s">
        <v>38</v>
      </c>
      <c r="E1660">
        <v>1.7253000000000001E-2</v>
      </c>
    </row>
    <row r="1661" spans="1:5" x14ac:dyDescent="0.3">
      <c r="A1661">
        <v>44</v>
      </c>
      <c r="B1661">
        <v>320000</v>
      </c>
      <c r="C1661" t="s">
        <v>45</v>
      </c>
      <c r="D1661" t="s">
        <v>39</v>
      </c>
      <c r="E1661">
        <v>1.1825E-2</v>
      </c>
    </row>
    <row r="1662" spans="1:5" x14ac:dyDescent="0.3">
      <c r="A1662">
        <v>44</v>
      </c>
      <c r="B1662">
        <v>320000</v>
      </c>
      <c r="C1662" t="s">
        <v>45</v>
      </c>
      <c r="D1662" t="s">
        <v>40</v>
      </c>
      <c r="E1662">
        <v>2.4664999999999999E-2</v>
      </c>
    </row>
    <row r="1663" spans="1:5" x14ac:dyDescent="0.3">
      <c r="A1663">
        <v>44</v>
      </c>
      <c r="B1663">
        <v>320000</v>
      </c>
      <c r="C1663" t="s">
        <v>45</v>
      </c>
      <c r="D1663" t="s">
        <v>41</v>
      </c>
      <c r="E1663">
        <v>8.8179999999999994E-3</v>
      </c>
    </row>
    <row r="1664" spans="1:5" x14ac:dyDescent="0.3">
      <c r="A1664">
        <v>44</v>
      </c>
      <c r="B1664">
        <v>320000</v>
      </c>
      <c r="C1664" t="s">
        <v>45</v>
      </c>
      <c r="D1664" t="s">
        <v>42</v>
      </c>
      <c r="E1664">
        <v>4.646E-3</v>
      </c>
    </row>
    <row r="1665" spans="1:5" x14ac:dyDescent="0.3">
      <c r="A1665">
        <v>44</v>
      </c>
      <c r="B1665">
        <v>320000</v>
      </c>
      <c r="C1665" t="s">
        <v>45</v>
      </c>
      <c r="D1665" t="s">
        <v>43</v>
      </c>
      <c r="E1665">
        <v>1.722E-3</v>
      </c>
    </row>
    <row r="1666" spans="1:5" x14ac:dyDescent="0.3">
      <c r="A1666">
        <v>44</v>
      </c>
      <c r="B1666">
        <v>320000</v>
      </c>
      <c r="C1666" t="s">
        <v>46</v>
      </c>
      <c r="D1666" t="s">
        <v>28</v>
      </c>
      <c r="E1666">
        <v>155986.08184699999</v>
      </c>
    </row>
    <row r="1667" spans="1:5" x14ac:dyDescent="0.3">
      <c r="A1667">
        <v>44</v>
      </c>
      <c r="B1667">
        <v>320000</v>
      </c>
      <c r="C1667" t="s">
        <v>46</v>
      </c>
      <c r="D1667" t="s">
        <v>29</v>
      </c>
      <c r="E1667">
        <v>1.160309</v>
      </c>
    </row>
    <row r="1668" spans="1:5" x14ac:dyDescent="0.3">
      <c r="A1668">
        <v>44</v>
      </c>
      <c r="B1668">
        <v>320000</v>
      </c>
      <c r="C1668" t="s">
        <v>46</v>
      </c>
      <c r="D1668" t="s">
        <v>30</v>
      </c>
      <c r="E1668">
        <v>0.43351899999999999</v>
      </c>
    </row>
    <row r="1669" spans="1:5" x14ac:dyDescent="0.3">
      <c r="A1669">
        <v>44</v>
      </c>
      <c r="B1669">
        <v>320000</v>
      </c>
      <c r="C1669" t="s">
        <v>46</v>
      </c>
      <c r="D1669" t="s">
        <v>31</v>
      </c>
      <c r="E1669">
        <v>8.7691000000000005E-2</v>
      </c>
    </row>
    <row r="1670" spans="1:5" x14ac:dyDescent="0.3">
      <c r="A1670">
        <v>44</v>
      </c>
      <c r="B1670">
        <v>320000</v>
      </c>
      <c r="C1670" t="s">
        <v>46</v>
      </c>
      <c r="D1670" t="s">
        <v>32</v>
      </c>
      <c r="E1670">
        <v>0.104297</v>
      </c>
    </row>
    <row r="1671" spans="1:5" x14ac:dyDescent="0.3">
      <c r="A1671">
        <v>44</v>
      </c>
      <c r="B1671">
        <v>320000</v>
      </c>
      <c r="C1671" t="s">
        <v>46</v>
      </c>
      <c r="D1671" t="s">
        <v>33</v>
      </c>
      <c r="E1671">
        <v>99387.792337000006</v>
      </c>
    </row>
    <row r="1672" spans="1:5" x14ac:dyDescent="0.3">
      <c r="A1672">
        <v>44</v>
      </c>
      <c r="B1672">
        <v>320000</v>
      </c>
      <c r="C1672" t="s">
        <v>46</v>
      </c>
      <c r="D1672" t="s">
        <v>34</v>
      </c>
      <c r="E1672">
        <v>0.64592899999999998</v>
      </c>
    </row>
    <row r="1673" spans="1:5" x14ac:dyDescent="0.3">
      <c r="A1673">
        <v>44</v>
      </c>
      <c r="B1673">
        <v>320000</v>
      </c>
      <c r="C1673" t="s">
        <v>46</v>
      </c>
      <c r="D1673" t="s">
        <v>35</v>
      </c>
      <c r="E1673">
        <v>48271.338754999997</v>
      </c>
    </row>
    <row r="1674" spans="1:5" x14ac:dyDescent="0.3">
      <c r="A1674">
        <v>44</v>
      </c>
      <c r="B1674">
        <v>320000</v>
      </c>
      <c r="C1674" t="s">
        <v>46</v>
      </c>
      <c r="D1674" t="s">
        <v>36</v>
      </c>
      <c r="E1674">
        <v>6.0588000000000003E-2</v>
      </c>
    </row>
    <row r="1675" spans="1:5" x14ac:dyDescent="0.3">
      <c r="A1675">
        <v>44</v>
      </c>
      <c r="B1675">
        <v>320000</v>
      </c>
      <c r="C1675" t="s">
        <v>46</v>
      </c>
      <c r="D1675" t="s">
        <v>37</v>
      </c>
      <c r="E1675">
        <v>16351.245387999999</v>
      </c>
    </row>
    <row r="1676" spans="1:5" x14ac:dyDescent="0.3">
      <c r="A1676">
        <v>44</v>
      </c>
      <c r="B1676">
        <v>320000</v>
      </c>
      <c r="C1676" t="s">
        <v>46</v>
      </c>
      <c r="D1676" t="s">
        <v>38</v>
      </c>
      <c r="E1676">
        <v>0.27934100000000001</v>
      </c>
    </row>
    <row r="1677" spans="1:5" x14ac:dyDescent="0.3">
      <c r="A1677">
        <v>44</v>
      </c>
      <c r="B1677">
        <v>320000</v>
      </c>
      <c r="C1677" t="s">
        <v>46</v>
      </c>
      <c r="D1677" t="s">
        <v>39</v>
      </c>
      <c r="E1677">
        <v>0.19506399999999999</v>
      </c>
    </row>
    <row r="1678" spans="1:5" x14ac:dyDescent="0.3">
      <c r="A1678">
        <v>44</v>
      </c>
      <c r="B1678">
        <v>320000</v>
      </c>
      <c r="C1678" t="s">
        <v>46</v>
      </c>
      <c r="D1678" t="s">
        <v>40</v>
      </c>
      <c r="E1678">
        <v>0.39155299999999998</v>
      </c>
    </row>
    <row r="1679" spans="1:5" x14ac:dyDescent="0.3">
      <c r="A1679">
        <v>44</v>
      </c>
      <c r="B1679">
        <v>320000</v>
      </c>
      <c r="C1679" t="s">
        <v>46</v>
      </c>
      <c r="D1679" t="s">
        <v>41</v>
      </c>
      <c r="E1679">
        <v>0.144207</v>
      </c>
    </row>
    <row r="1680" spans="1:5" x14ac:dyDescent="0.3">
      <c r="A1680">
        <v>44</v>
      </c>
      <c r="B1680">
        <v>320000</v>
      </c>
      <c r="C1680" t="s">
        <v>46</v>
      </c>
      <c r="D1680" t="s">
        <v>42</v>
      </c>
      <c r="E1680">
        <v>7.7337000000000003E-2</v>
      </c>
    </row>
    <row r="1681" spans="1:5" x14ac:dyDescent="0.3">
      <c r="A1681">
        <v>44</v>
      </c>
      <c r="B1681">
        <v>320000</v>
      </c>
      <c r="C1681" t="s">
        <v>46</v>
      </c>
      <c r="D1681" t="s">
        <v>43</v>
      </c>
      <c r="E1681">
        <v>2.8093E-2</v>
      </c>
    </row>
    <row r="1682" spans="1:5" x14ac:dyDescent="0.3">
      <c r="A1682">
        <v>45</v>
      </c>
      <c r="B1682">
        <v>325000</v>
      </c>
      <c r="C1682" t="s">
        <v>45</v>
      </c>
      <c r="D1682" t="s">
        <v>28</v>
      </c>
      <c r="E1682">
        <v>149888.591205</v>
      </c>
    </row>
    <row r="1683" spans="1:5" x14ac:dyDescent="0.3">
      <c r="A1683">
        <v>45</v>
      </c>
      <c r="B1683">
        <v>325000</v>
      </c>
      <c r="C1683" t="s">
        <v>45</v>
      </c>
      <c r="D1683" t="s">
        <v>29</v>
      </c>
      <c r="E1683">
        <v>1.4720340000000001</v>
      </c>
    </row>
    <row r="1684" spans="1:5" x14ac:dyDescent="0.3">
      <c r="A1684">
        <v>45</v>
      </c>
      <c r="B1684">
        <v>325000</v>
      </c>
      <c r="C1684" t="s">
        <v>45</v>
      </c>
      <c r="D1684" t="s">
        <v>30</v>
      </c>
      <c r="E1684">
        <v>0.52834499999999995</v>
      </c>
    </row>
    <row r="1685" spans="1:5" x14ac:dyDescent="0.3">
      <c r="A1685">
        <v>45</v>
      </c>
      <c r="B1685">
        <v>325000</v>
      </c>
      <c r="C1685" t="s">
        <v>45</v>
      </c>
      <c r="D1685" t="s">
        <v>31</v>
      </c>
      <c r="E1685">
        <v>0.105098</v>
      </c>
    </row>
    <row r="1686" spans="1:5" x14ac:dyDescent="0.3">
      <c r="A1686">
        <v>45</v>
      </c>
      <c r="B1686">
        <v>325000</v>
      </c>
      <c r="C1686" t="s">
        <v>45</v>
      </c>
      <c r="D1686" t="s">
        <v>32</v>
      </c>
      <c r="E1686">
        <v>0.123025</v>
      </c>
    </row>
    <row r="1687" spans="1:5" x14ac:dyDescent="0.3">
      <c r="A1687">
        <v>45</v>
      </c>
      <c r="B1687">
        <v>325000</v>
      </c>
      <c r="C1687" t="s">
        <v>45</v>
      </c>
      <c r="D1687" t="s">
        <v>33</v>
      </c>
      <c r="E1687">
        <v>99387.269981999998</v>
      </c>
    </row>
    <row r="1688" spans="1:5" x14ac:dyDescent="0.3">
      <c r="A1688">
        <v>45</v>
      </c>
      <c r="B1688">
        <v>325000</v>
      </c>
      <c r="C1688" t="s">
        <v>45</v>
      </c>
      <c r="D1688" t="s">
        <v>34</v>
      </c>
      <c r="E1688">
        <v>0.40098200000000001</v>
      </c>
    </row>
    <row r="1689" spans="1:5" x14ac:dyDescent="0.3">
      <c r="A1689">
        <v>45</v>
      </c>
      <c r="B1689">
        <v>325000</v>
      </c>
      <c r="C1689" t="s">
        <v>45</v>
      </c>
      <c r="D1689" t="s">
        <v>35</v>
      </c>
      <c r="E1689">
        <v>48271.187195999999</v>
      </c>
    </row>
    <row r="1690" spans="1:5" x14ac:dyDescent="0.3">
      <c r="A1690">
        <v>45</v>
      </c>
      <c r="B1690">
        <v>325000</v>
      </c>
      <c r="C1690" t="s">
        <v>45</v>
      </c>
      <c r="D1690" t="s">
        <v>36</v>
      </c>
      <c r="E1690">
        <v>6.9270999999999999E-2</v>
      </c>
    </row>
    <row r="1691" spans="1:5" x14ac:dyDescent="0.3">
      <c r="A1691">
        <v>45</v>
      </c>
      <c r="B1691">
        <v>325000</v>
      </c>
      <c r="C1691" t="s">
        <v>45</v>
      </c>
      <c r="D1691" t="s">
        <v>37</v>
      </c>
      <c r="E1691">
        <v>27448.987410000002</v>
      </c>
    </row>
    <row r="1692" spans="1:5" x14ac:dyDescent="0.3">
      <c r="A1692">
        <v>45</v>
      </c>
      <c r="B1692">
        <v>325000</v>
      </c>
      <c r="C1692" t="s">
        <v>45</v>
      </c>
      <c r="D1692" t="s">
        <v>38</v>
      </c>
      <c r="E1692">
        <v>0.323382</v>
      </c>
    </row>
    <row r="1693" spans="1:5" x14ac:dyDescent="0.3">
      <c r="A1693">
        <v>45</v>
      </c>
      <c r="B1693">
        <v>325000</v>
      </c>
      <c r="C1693" t="s">
        <v>45</v>
      </c>
      <c r="D1693" t="s">
        <v>39</v>
      </c>
      <c r="E1693">
        <v>0.23997499999999999</v>
      </c>
    </row>
    <row r="1694" spans="1:5" x14ac:dyDescent="0.3">
      <c r="A1694">
        <v>45</v>
      </c>
      <c r="B1694">
        <v>325000</v>
      </c>
      <c r="C1694" t="s">
        <v>45</v>
      </c>
      <c r="D1694" t="s">
        <v>40</v>
      </c>
      <c r="E1694">
        <v>0.45282299999999998</v>
      </c>
    </row>
    <row r="1695" spans="1:5" x14ac:dyDescent="0.3">
      <c r="A1695">
        <v>45</v>
      </c>
      <c r="B1695">
        <v>325000</v>
      </c>
      <c r="C1695" t="s">
        <v>45</v>
      </c>
      <c r="D1695" t="s">
        <v>41</v>
      </c>
      <c r="E1695">
        <v>0.16294600000000001</v>
      </c>
    </row>
    <row r="1696" spans="1:5" x14ac:dyDescent="0.3">
      <c r="A1696">
        <v>45</v>
      </c>
      <c r="B1696">
        <v>325000</v>
      </c>
      <c r="C1696" t="s">
        <v>45</v>
      </c>
      <c r="D1696" t="s">
        <v>42</v>
      </c>
      <c r="E1696">
        <v>8.7000999999999995E-2</v>
      </c>
    </row>
    <row r="1697" spans="1:5" x14ac:dyDescent="0.3">
      <c r="A1697">
        <v>45</v>
      </c>
      <c r="B1697">
        <v>325000</v>
      </c>
      <c r="C1697" t="s">
        <v>45</v>
      </c>
      <c r="D1697" t="s">
        <v>43</v>
      </c>
      <c r="E1697">
        <v>3.1178000000000001E-2</v>
      </c>
    </row>
    <row r="1698" spans="1:5" x14ac:dyDescent="0.3">
      <c r="A1698">
        <v>45</v>
      </c>
      <c r="B1698">
        <v>325000</v>
      </c>
      <c r="C1698" t="s">
        <v>46</v>
      </c>
      <c r="D1698" t="s">
        <v>28</v>
      </c>
      <c r="E1698">
        <v>156690.889558</v>
      </c>
    </row>
    <row r="1699" spans="1:5" x14ac:dyDescent="0.3">
      <c r="A1699">
        <v>45</v>
      </c>
      <c r="B1699">
        <v>325000</v>
      </c>
      <c r="C1699" t="s">
        <v>46</v>
      </c>
      <c r="D1699" t="s">
        <v>29</v>
      </c>
      <c r="E1699">
        <v>1.1046769999999999</v>
      </c>
    </row>
    <row r="1700" spans="1:5" x14ac:dyDescent="0.3">
      <c r="A1700">
        <v>45</v>
      </c>
      <c r="B1700">
        <v>325000</v>
      </c>
      <c r="C1700" t="s">
        <v>46</v>
      </c>
      <c r="D1700" t="s">
        <v>30</v>
      </c>
      <c r="E1700">
        <v>0.38231500000000002</v>
      </c>
    </row>
    <row r="1701" spans="1:5" x14ac:dyDescent="0.3">
      <c r="A1701">
        <v>45</v>
      </c>
      <c r="B1701">
        <v>325000</v>
      </c>
      <c r="C1701" t="s">
        <v>46</v>
      </c>
      <c r="D1701" t="s">
        <v>31</v>
      </c>
      <c r="E1701">
        <v>8.0308000000000004E-2</v>
      </c>
    </row>
    <row r="1702" spans="1:5" x14ac:dyDescent="0.3">
      <c r="A1702">
        <v>45</v>
      </c>
      <c r="B1702">
        <v>325000</v>
      </c>
      <c r="C1702" t="s">
        <v>46</v>
      </c>
      <c r="D1702" t="s">
        <v>32</v>
      </c>
      <c r="E1702">
        <v>9.0702000000000005E-2</v>
      </c>
    </row>
    <row r="1703" spans="1:5" x14ac:dyDescent="0.3">
      <c r="A1703">
        <v>45</v>
      </c>
      <c r="B1703">
        <v>325000</v>
      </c>
      <c r="C1703" t="s">
        <v>46</v>
      </c>
      <c r="D1703" t="s">
        <v>33</v>
      </c>
      <c r="E1703">
        <v>99387.722317000007</v>
      </c>
    </row>
    <row r="1704" spans="1:5" x14ac:dyDescent="0.3">
      <c r="A1704">
        <v>45</v>
      </c>
      <c r="B1704">
        <v>325000</v>
      </c>
      <c r="C1704" t="s">
        <v>46</v>
      </c>
      <c r="D1704" t="s">
        <v>34</v>
      </c>
      <c r="E1704">
        <v>0.44040200000000002</v>
      </c>
    </row>
    <row r="1705" spans="1:5" x14ac:dyDescent="0.3">
      <c r="A1705">
        <v>45</v>
      </c>
      <c r="B1705">
        <v>325000</v>
      </c>
      <c r="C1705" t="s">
        <v>46</v>
      </c>
      <c r="D1705" t="s">
        <v>35</v>
      </c>
      <c r="E1705">
        <v>48271.325655000001</v>
      </c>
    </row>
    <row r="1706" spans="1:5" x14ac:dyDescent="0.3">
      <c r="A1706">
        <v>45</v>
      </c>
      <c r="B1706">
        <v>325000</v>
      </c>
      <c r="C1706" t="s">
        <v>46</v>
      </c>
      <c r="D1706" t="s">
        <v>36</v>
      </c>
      <c r="E1706">
        <v>5.3691999999999997E-2</v>
      </c>
    </row>
    <row r="1707" spans="1:5" x14ac:dyDescent="0.3">
      <c r="A1707">
        <v>45</v>
      </c>
      <c r="B1707">
        <v>325000</v>
      </c>
      <c r="C1707" t="s">
        <v>46</v>
      </c>
      <c r="D1707" t="s">
        <v>37</v>
      </c>
      <c r="E1707">
        <v>20646.928881</v>
      </c>
    </row>
    <row r="1708" spans="1:5" x14ac:dyDescent="0.3">
      <c r="A1708">
        <v>45</v>
      </c>
      <c r="B1708">
        <v>325000</v>
      </c>
      <c r="C1708" t="s">
        <v>46</v>
      </c>
      <c r="D1708" t="s">
        <v>38</v>
      </c>
      <c r="E1708">
        <v>0.24186199999999999</v>
      </c>
    </row>
    <row r="1709" spans="1:5" x14ac:dyDescent="0.3">
      <c r="A1709">
        <v>45</v>
      </c>
      <c r="B1709">
        <v>325000</v>
      </c>
      <c r="C1709" t="s">
        <v>46</v>
      </c>
      <c r="D1709" t="s">
        <v>39</v>
      </c>
      <c r="E1709">
        <v>0.181336</v>
      </c>
    </row>
    <row r="1710" spans="1:5" x14ac:dyDescent="0.3">
      <c r="A1710">
        <v>45</v>
      </c>
      <c r="B1710">
        <v>325000</v>
      </c>
      <c r="C1710" t="s">
        <v>46</v>
      </c>
      <c r="D1710" t="s">
        <v>40</v>
      </c>
      <c r="E1710">
        <v>0.36313699999999999</v>
      </c>
    </row>
    <row r="1711" spans="1:5" x14ac:dyDescent="0.3">
      <c r="A1711">
        <v>45</v>
      </c>
      <c r="B1711">
        <v>325000</v>
      </c>
      <c r="C1711" t="s">
        <v>46</v>
      </c>
      <c r="D1711" t="s">
        <v>41</v>
      </c>
      <c r="E1711">
        <v>0.12716</v>
      </c>
    </row>
    <row r="1712" spans="1:5" x14ac:dyDescent="0.3">
      <c r="A1712">
        <v>45</v>
      </c>
      <c r="B1712">
        <v>325000</v>
      </c>
      <c r="C1712" t="s">
        <v>46</v>
      </c>
      <c r="D1712" t="s">
        <v>42</v>
      </c>
      <c r="E1712">
        <v>6.7433999999999994E-2</v>
      </c>
    </row>
    <row r="1713" spans="1:5" x14ac:dyDescent="0.3">
      <c r="A1713">
        <v>45</v>
      </c>
      <c r="B1713">
        <v>325000</v>
      </c>
      <c r="C1713" t="s">
        <v>46</v>
      </c>
      <c r="D1713" t="s">
        <v>43</v>
      </c>
      <c r="E1713">
        <v>2.2790999999999999E-2</v>
      </c>
    </row>
    <row r="1714" spans="1:5" x14ac:dyDescent="0.3">
      <c r="A1714">
        <v>46</v>
      </c>
      <c r="B1714">
        <v>330000</v>
      </c>
      <c r="C1714" t="s">
        <v>45</v>
      </c>
      <c r="D1714" t="s">
        <v>28</v>
      </c>
      <c r="E1714">
        <v>150063.17996400001</v>
      </c>
    </row>
    <row r="1715" spans="1:5" x14ac:dyDescent="0.3">
      <c r="A1715">
        <v>46</v>
      </c>
      <c r="B1715">
        <v>330000</v>
      </c>
      <c r="C1715" t="s">
        <v>45</v>
      </c>
      <c r="D1715" t="s">
        <v>29</v>
      </c>
      <c r="E1715">
        <v>0.37632900000000002</v>
      </c>
    </row>
    <row r="1716" spans="1:5" x14ac:dyDescent="0.3">
      <c r="A1716">
        <v>46</v>
      </c>
      <c r="B1716">
        <v>330000</v>
      </c>
      <c r="C1716" t="s">
        <v>45</v>
      </c>
      <c r="D1716" t="s">
        <v>30</v>
      </c>
      <c r="E1716">
        <v>0.12784899999999999</v>
      </c>
    </row>
    <row r="1717" spans="1:5" x14ac:dyDescent="0.3">
      <c r="A1717">
        <v>46</v>
      </c>
      <c r="B1717">
        <v>330000</v>
      </c>
      <c r="C1717" t="s">
        <v>45</v>
      </c>
      <c r="D1717" t="s">
        <v>31</v>
      </c>
      <c r="E1717">
        <v>2.8296000000000002E-2</v>
      </c>
    </row>
    <row r="1718" spans="1:5" x14ac:dyDescent="0.3">
      <c r="A1718">
        <v>46</v>
      </c>
      <c r="B1718">
        <v>330000</v>
      </c>
      <c r="C1718" t="s">
        <v>45</v>
      </c>
      <c r="D1718" t="s">
        <v>32</v>
      </c>
      <c r="E1718">
        <v>3.2847000000000001E-2</v>
      </c>
    </row>
    <row r="1719" spans="1:5" x14ac:dyDescent="0.3">
      <c r="A1719">
        <v>46</v>
      </c>
      <c r="B1719">
        <v>330000</v>
      </c>
      <c r="C1719" t="s">
        <v>45</v>
      </c>
      <c r="D1719" t="s">
        <v>33</v>
      </c>
      <c r="E1719">
        <v>99387.544787000006</v>
      </c>
    </row>
    <row r="1720" spans="1:5" x14ac:dyDescent="0.3">
      <c r="A1720">
        <v>46</v>
      </c>
      <c r="B1720">
        <v>330000</v>
      </c>
      <c r="C1720" t="s">
        <v>45</v>
      </c>
      <c r="D1720" t="s">
        <v>34</v>
      </c>
      <c r="E1720">
        <v>0.112511</v>
      </c>
    </row>
    <row r="1721" spans="1:5" x14ac:dyDescent="0.3">
      <c r="A1721">
        <v>46</v>
      </c>
      <c r="B1721">
        <v>330000</v>
      </c>
      <c r="C1721" t="s">
        <v>45</v>
      </c>
      <c r="D1721" t="s">
        <v>35</v>
      </c>
      <c r="E1721">
        <v>48271.526728999997</v>
      </c>
    </row>
    <row r="1722" spans="1:5" x14ac:dyDescent="0.3">
      <c r="A1722">
        <v>46</v>
      </c>
      <c r="B1722">
        <v>330000</v>
      </c>
      <c r="C1722" t="s">
        <v>45</v>
      </c>
      <c r="D1722" t="s">
        <v>36</v>
      </c>
      <c r="E1722">
        <v>1.8971999999999999E-2</v>
      </c>
    </row>
    <row r="1723" spans="1:5" x14ac:dyDescent="0.3">
      <c r="A1723">
        <v>46</v>
      </c>
      <c r="B1723">
        <v>330000</v>
      </c>
      <c r="C1723" t="s">
        <v>45</v>
      </c>
      <c r="D1723" t="s">
        <v>37</v>
      </c>
      <c r="E1723">
        <v>32276.713371000002</v>
      </c>
    </row>
    <row r="1724" spans="1:5" x14ac:dyDescent="0.3">
      <c r="A1724">
        <v>46</v>
      </c>
      <c r="B1724">
        <v>330000</v>
      </c>
      <c r="C1724" t="s">
        <v>45</v>
      </c>
      <c r="D1724" t="s">
        <v>38</v>
      </c>
      <c r="E1724">
        <v>8.4210999999999994E-2</v>
      </c>
    </row>
    <row r="1725" spans="1:5" x14ac:dyDescent="0.3">
      <c r="A1725">
        <v>46</v>
      </c>
      <c r="B1725">
        <v>330000</v>
      </c>
      <c r="C1725" t="s">
        <v>45</v>
      </c>
      <c r="D1725" t="s">
        <v>39</v>
      </c>
      <c r="E1725">
        <v>5.9894999999999997E-2</v>
      </c>
    </row>
    <row r="1726" spans="1:5" x14ac:dyDescent="0.3">
      <c r="A1726">
        <v>46</v>
      </c>
      <c r="B1726">
        <v>330000</v>
      </c>
      <c r="C1726" t="s">
        <v>45</v>
      </c>
      <c r="D1726" t="s">
        <v>40</v>
      </c>
      <c r="E1726">
        <v>0.12444</v>
      </c>
    </row>
    <row r="1727" spans="1:5" x14ac:dyDescent="0.3">
      <c r="A1727">
        <v>46</v>
      </c>
      <c r="B1727">
        <v>330000</v>
      </c>
      <c r="C1727" t="s">
        <v>45</v>
      </c>
      <c r="D1727" t="s">
        <v>41</v>
      </c>
      <c r="E1727">
        <v>4.3555999999999997E-2</v>
      </c>
    </row>
    <row r="1728" spans="1:5" x14ac:dyDescent="0.3">
      <c r="A1728">
        <v>46</v>
      </c>
      <c r="B1728">
        <v>330000</v>
      </c>
      <c r="C1728" t="s">
        <v>45</v>
      </c>
      <c r="D1728" t="s">
        <v>42</v>
      </c>
      <c r="E1728">
        <v>2.3716999999999998E-2</v>
      </c>
    </row>
    <row r="1729" spans="1:5" x14ac:dyDescent="0.3">
      <c r="A1729">
        <v>46</v>
      </c>
      <c r="B1729">
        <v>330000</v>
      </c>
      <c r="C1729" t="s">
        <v>45</v>
      </c>
      <c r="D1729" t="s">
        <v>43</v>
      </c>
      <c r="E1729">
        <v>8.8249999999999995E-3</v>
      </c>
    </row>
    <row r="1730" spans="1:5" x14ac:dyDescent="0.3">
      <c r="A1730">
        <v>46</v>
      </c>
      <c r="B1730">
        <v>330000</v>
      </c>
      <c r="C1730" t="s">
        <v>46</v>
      </c>
      <c r="D1730" t="s">
        <v>28</v>
      </c>
      <c r="E1730">
        <v>156971.51222599999</v>
      </c>
    </row>
    <row r="1731" spans="1:5" x14ac:dyDescent="0.3">
      <c r="A1731">
        <v>46</v>
      </c>
      <c r="B1731">
        <v>330000</v>
      </c>
      <c r="C1731" t="s">
        <v>46</v>
      </c>
      <c r="D1731" t="s">
        <v>29</v>
      </c>
      <c r="E1731">
        <v>0.75671699999999997</v>
      </c>
    </row>
    <row r="1732" spans="1:5" x14ac:dyDescent="0.3">
      <c r="A1732">
        <v>46</v>
      </c>
      <c r="B1732">
        <v>330000</v>
      </c>
      <c r="C1732" t="s">
        <v>46</v>
      </c>
      <c r="D1732" t="s">
        <v>30</v>
      </c>
      <c r="E1732">
        <v>0.335401</v>
      </c>
    </row>
    <row r="1733" spans="1:5" x14ac:dyDescent="0.3">
      <c r="A1733">
        <v>46</v>
      </c>
      <c r="B1733">
        <v>330000</v>
      </c>
      <c r="C1733" t="s">
        <v>46</v>
      </c>
      <c r="D1733" t="s">
        <v>31</v>
      </c>
      <c r="E1733">
        <v>6.3042000000000001E-2</v>
      </c>
    </row>
    <row r="1734" spans="1:5" x14ac:dyDescent="0.3">
      <c r="A1734">
        <v>46</v>
      </c>
      <c r="B1734">
        <v>330000</v>
      </c>
      <c r="C1734" t="s">
        <v>46</v>
      </c>
      <c r="D1734" t="s">
        <v>32</v>
      </c>
      <c r="E1734">
        <v>7.2682999999999998E-2</v>
      </c>
    </row>
    <row r="1735" spans="1:5" x14ac:dyDescent="0.3">
      <c r="A1735">
        <v>46</v>
      </c>
      <c r="B1735">
        <v>330000</v>
      </c>
      <c r="C1735" t="s">
        <v>46</v>
      </c>
      <c r="D1735" t="s">
        <v>33</v>
      </c>
      <c r="E1735">
        <v>99387.360407999993</v>
      </c>
    </row>
    <row r="1736" spans="1:5" x14ac:dyDescent="0.3">
      <c r="A1736">
        <v>46</v>
      </c>
      <c r="B1736">
        <v>330000</v>
      </c>
      <c r="C1736" t="s">
        <v>46</v>
      </c>
      <c r="D1736" t="s">
        <v>34</v>
      </c>
      <c r="E1736">
        <v>0.39414100000000002</v>
      </c>
    </row>
    <row r="1737" spans="1:5" x14ac:dyDescent="0.3">
      <c r="A1737">
        <v>46</v>
      </c>
      <c r="B1737">
        <v>330000</v>
      </c>
      <c r="C1737" t="s">
        <v>46</v>
      </c>
      <c r="D1737" t="s">
        <v>35</v>
      </c>
      <c r="E1737">
        <v>48271.467046999998</v>
      </c>
    </row>
    <row r="1738" spans="1:5" x14ac:dyDescent="0.3">
      <c r="A1738">
        <v>46</v>
      </c>
      <c r="B1738">
        <v>330000</v>
      </c>
      <c r="C1738" t="s">
        <v>46</v>
      </c>
      <c r="D1738" t="s">
        <v>36</v>
      </c>
      <c r="E1738">
        <v>4.2181000000000003E-2</v>
      </c>
    </row>
    <row r="1739" spans="1:5" x14ac:dyDescent="0.3">
      <c r="A1739">
        <v>46</v>
      </c>
      <c r="B1739">
        <v>330000</v>
      </c>
      <c r="C1739" t="s">
        <v>46</v>
      </c>
      <c r="D1739" t="s">
        <v>37</v>
      </c>
      <c r="E1739">
        <v>22339.666805000001</v>
      </c>
    </row>
    <row r="1740" spans="1:5" x14ac:dyDescent="0.3">
      <c r="A1740">
        <v>46</v>
      </c>
      <c r="B1740">
        <v>330000</v>
      </c>
      <c r="C1740" t="s">
        <v>46</v>
      </c>
      <c r="D1740" t="s">
        <v>38</v>
      </c>
      <c r="E1740">
        <v>0.187607</v>
      </c>
    </row>
    <row r="1741" spans="1:5" x14ac:dyDescent="0.3">
      <c r="A1741">
        <v>46</v>
      </c>
      <c r="B1741">
        <v>330000</v>
      </c>
      <c r="C1741" t="s">
        <v>46</v>
      </c>
      <c r="D1741" t="s">
        <v>39</v>
      </c>
      <c r="E1741">
        <v>0.13805899999999999</v>
      </c>
    </row>
    <row r="1742" spans="1:5" x14ac:dyDescent="0.3">
      <c r="A1742">
        <v>46</v>
      </c>
      <c r="B1742">
        <v>330000</v>
      </c>
      <c r="C1742" t="s">
        <v>46</v>
      </c>
      <c r="D1742" t="s">
        <v>40</v>
      </c>
      <c r="E1742">
        <v>0.29988300000000001</v>
      </c>
    </row>
    <row r="1743" spans="1:5" x14ac:dyDescent="0.3">
      <c r="A1743">
        <v>46</v>
      </c>
      <c r="B1743">
        <v>330000</v>
      </c>
      <c r="C1743" t="s">
        <v>46</v>
      </c>
      <c r="D1743" t="s">
        <v>41</v>
      </c>
      <c r="E1743">
        <v>9.819E-2</v>
      </c>
    </row>
    <row r="1744" spans="1:5" x14ac:dyDescent="0.3">
      <c r="A1744">
        <v>46</v>
      </c>
      <c r="B1744">
        <v>330000</v>
      </c>
      <c r="C1744" t="s">
        <v>46</v>
      </c>
      <c r="D1744" t="s">
        <v>42</v>
      </c>
      <c r="E1744">
        <v>5.3620000000000001E-2</v>
      </c>
    </row>
    <row r="1745" spans="1:5" x14ac:dyDescent="0.3">
      <c r="A1745">
        <v>46</v>
      </c>
      <c r="B1745">
        <v>330000</v>
      </c>
      <c r="C1745" t="s">
        <v>46</v>
      </c>
      <c r="D1745" t="s">
        <v>43</v>
      </c>
      <c r="E1745">
        <v>1.9134000000000002E-2</v>
      </c>
    </row>
    <row r="1746" spans="1:5" x14ac:dyDescent="0.3">
      <c r="A1746">
        <v>47</v>
      </c>
      <c r="B1746">
        <v>335000</v>
      </c>
      <c r="C1746" t="s">
        <v>45</v>
      </c>
      <c r="D1746" t="s">
        <v>28</v>
      </c>
      <c r="E1746">
        <v>150232.53136299999</v>
      </c>
    </row>
    <row r="1747" spans="1:5" x14ac:dyDescent="0.3">
      <c r="A1747">
        <v>47</v>
      </c>
      <c r="B1747">
        <v>335000</v>
      </c>
      <c r="C1747" t="s">
        <v>45</v>
      </c>
      <c r="D1747" t="s">
        <v>29</v>
      </c>
      <c r="E1747">
        <v>0.42997000000000002</v>
      </c>
    </row>
    <row r="1748" spans="1:5" x14ac:dyDescent="0.3">
      <c r="A1748">
        <v>47</v>
      </c>
      <c r="B1748">
        <v>335000</v>
      </c>
      <c r="C1748" t="s">
        <v>45</v>
      </c>
      <c r="D1748" t="s">
        <v>30</v>
      </c>
      <c r="E1748">
        <v>0.137937</v>
      </c>
    </row>
    <row r="1749" spans="1:5" x14ac:dyDescent="0.3">
      <c r="A1749">
        <v>47</v>
      </c>
      <c r="B1749">
        <v>335000</v>
      </c>
      <c r="C1749" t="s">
        <v>45</v>
      </c>
      <c r="D1749" t="s">
        <v>31</v>
      </c>
      <c r="E1749">
        <v>3.2571000000000003E-2</v>
      </c>
    </row>
    <row r="1750" spans="1:5" x14ac:dyDescent="0.3">
      <c r="A1750">
        <v>47</v>
      </c>
      <c r="B1750">
        <v>335000</v>
      </c>
      <c r="C1750" t="s">
        <v>45</v>
      </c>
      <c r="D1750" t="s">
        <v>32</v>
      </c>
      <c r="E1750">
        <v>3.7117999999999998E-2</v>
      </c>
    </row>
    <row r="1751" spans="1:5" x14ac:dyDescent="0.3">
      <c r="A1751">
        <v>47</v>
      </c>
      <c r="B1751">
        <v>335000</v>
      </c>
      <c r="C1751" t="s">
        <v>45</v>
      </c>
      <c r="D1751" t="s">
        <v>33</v>
      </c>
      <c r="E1751">
        <v>99387.509466999996</v>
      </c>
    </row>
    <row r="1752" spans="1:5" x14ac:dyDescent="0.3">
      <c r="A1752">
        <v>47</v>
      </c>
      <c r="B1752">
        <v>335000</v>
      </c>
      <c r="C1752" t="s">
        <v>45</v>
      </c>
      <c r="D1752" t="s">
        <v>34</v>
      </c>
      <c r="E1752">
        <v>0.12221</v>
      </c>
    </row>
    <row r="1753" spans="1:5" x14ac:dyDescent="0.3">
      <c r="A1753">
        <v>47</v>
      </c>
      <c r="B1753">
        <v>335000</v>
      </c>
      <c r="C1753" t="s">
        <v>45</v>
      </c>
      <c r="D1753" t="s">
        <v>35</v>
      </c>
      <c r="E1753">
        <v>48271.502329000003</v>
      </c>
    </row>
    <row r="1754" spans="1:5" x14ac:dyDescent="0.3">
      <c r="A1754">
        <v>47</v>
      </c>
      <c r="B1754">
        <v>335000</v>
      </c>
      <c r="C1754" t="s">
        <v>45</v>
      </c>
      <c r="D1754" t="s">
        <v>36</v>
      </c>
      <c r="E1754">
        <v>2.2714999999999999E-2</v>
      </c>
    </row>
    <row r="1755" spans="1:5" x14ac:dyDescent="0.3">
      <c r="A1755">
        <v>47</v>
      </c>
      <c r="B1755">
        <v>335000</v>
      </c>
      <c r="C1755" t="s">
        <v>45</v>
      </c>
      <c r="D1755" t="s">
        <v>37</v>
      </c>
      <c r="E1755">
        <v>37107.281196000004</v>
      </c>
    </row>
    <row r="1756" spans="1:5" x14ac:dyDescent="0.3">
      <c r="A1756">
        <v>47</v>
      </c>
      <c r="B1756">
        <v>335000</v>
      </c>
      <c r="C1756" t="s">
        <v>45</v>
      </c>
      <c r="D1756" t="s">
        <v>38</v>
      </c>
      <c r="E1756">
        <v>9.2952999999999994E-2</v>
      </c>
    </row>
    <row r="1757" spans="1:5" x14ac:dyDescent="0.3">
      <c r="A1757">
        <v>47</v>
      </c>
      <c r="B1757">
        <v>335000</v>
      </c>
      <c r="C1757" t="s">
        <v>45</v>
      </c>
      <c r="D1757" t="s">
        <v>39</v>
      </c>
      <c r="E1757">
        <v>7.1473999999999996E-2</v>
      </c>
    </row>
    <row r="1758" spans="1:5" x14ac:dyDescent="0.3">
      <c r="A1758">
        <v>47</v>
      </c>
      <c r="B1758">
        <v>335000</v>
      </c>
      <c r="C1758" t="s">
        <v>45</v>
      </c>
      <c r="D1758" t="s">
        <v>40</v>
      </c>
      <c r="E1758">
        <v>0.14352599999999999</v>
      </c>
    </row>
    <row r="1759" spans="1:5" x14ac:dyDescent="0.3">
      <c r="A1759">
        <v>47</v>
      </c>
      <c r="B1759">
        <v>335000</v>
      </c>
      <c r="C1759" t="s">
        <v>45</v>
      </c>
      <c r="D1759" t="s">
        <v>41</v>
      </c>
      <c r="E1759">
        <v>5.2422000000000003E-2</v>
      </c>
    </row>
    <row r="1760" spans="1:5" x14ac:dyDescent="0.3">
      <c r="A1760">
        <v>47</v>
      </c>
      <c r="B1760">
        <v>335000</v>
      </c>
      <c r="C1760" t="s">
        <v>45</v>
      </c>
      <c r="D1760" t="s">
        <v>42</v>
      </c>
      <c r="E1760">
        <v>2.7961E-2</v>
      </c>
    </row>
    <row r="1761" spans="1:5" x14ac:dyDescent="0.3">
      <c r="A1761">
        <v>47</v>
      </c>
      <c r="B1761">
        <v>335000</v>
      </c>
      <c r="C1761" t="s">
        <v>45</v>
      </c>
      <c r="D1761" t="s">
        <v>43</v>
      </c>
      <c r="E1761">
        <v>1.0609E-2</v>
      </c>
    </row>
    <row r="1762" spans="1:5" x14ac:dyDescent="0.3">
      <c r="A1762">
        <v>47</v>
      </c>
      <c r="B1762">
        <v>335000</v>
      </c>
      <c r="C1762" t="s">
        <v>46</v>
      </c>
      <c r="D1762" t="s">
        <v>28</v>
      </c>
      <c r="E1762">
        <v>156971.632102</v>
      </c>
    </row>
    <row r="1763" spans="1:5" x14ac:dyDescent="0.3">
      <c r="A1763">
        <v>47</v>
      </c>
      <c r="B1763">
        <v>335000</v>
      </c>
      <c r="C1763" t="s">
        <v>46</v>
      </c>
      <c r="D1763" t="s">
        <v>29</v>
      </c>
      <c r="E1763">
        <v>1.0888949999999999</v>
      </c>
    </row>
    <row r="1764" spans="1:5" x14ac:dyDescent="0.3">
      <c r="A1764">
        <v>47</v>
      </c>
      <c r="B1764">
        <v>335000</v>
      </c>
      <c r="C1764" t="s">
        <v>46</v>
      </c>
      <c r="D1764" t="s">
        <v>30</v>
      </c>
      <c r="E1764">
        <v>0.37763200000000002</v>
      </c>
    </row>
    <row r="1765" spans="1:5" x14ac:dyDescent="0.3">
      <c r="A1765">
        <v>47</v>
      </c>
      <c r="B1765">
        <v>335000</v>
      </c>
      <c r="C1765" t="s">
        <v>46</v>
      </c>
      <c r="D1765" t="s">
        <v>31</v>
      </c>
      <c r="E1765">
        <v>8.3528000000000005E-2</v>
      </c>
    </row>
    <row r="1766" spans="1:5" x14ac:dyDescent="0.3">
      <c r="A1766">
        <v>47</v>
      </c>
      <c r="B1766">
        <v>335000</v>
      </c>
      <c r="C1766" t="s">
        <v>46</v>
      </c>
      <c r="D1766" t="s">
        <v>32</v>
      </c>
      <c r="E1766">
        <v>9.5910999999999996E-2</v>
      </c>
    </row>
    <row r="1767" spans="1:5" x14ac:dyDescent="0.3">
      <c r="A1767">
        <v>47</v>
      </c>
      <c r="B1767">
        <v>335000</v>
      </c>
      <c r="C1767" t="s">
        <v>46</v>
      </c>
      <c r="D1767" t="s">
        <v>33</v>
      </c>
      <c r="E1767">
        <v>99387.282982999997</v>
      </c>
    </row>
    <row r="1768" spans="1:5" x14ac:dyDescent="0.3">
      <c r="A1768">
        <v>47</v>
      </c>
      <c r="B1768">
        <v>335000</v>
      </c>
      <c r="C1768" t="s">
        <v>46</v>
      </c>
      <c r="D1768" t="s">
        <v>34</v>
      </c>
      <c r="E1768">
        <v>0.40237699999999998</v>
      </c>
    </row>
    <row r="1769" spans="1:5" x14ac:dyDescent="0.3">
      <c r="A1769">
        <v>47</v>
      </c>
      <c r="B1769">
        <v>335000</v>
      </c>
      <c r="C1769" t="s">
        <v>46</v>
      </c>
      <c r="D1769" t="s">
        <v>35</v>
      </c>
      <c r="E1769">
        <v>48271.372436999998</v>
      </c>
    </row>
    <row r="1770" spans="1:5" x14ac:dyDescent="0.3">
      <c r="A1770">
        <v>47</v>
      </c>
      <c r="B1770">
        <v>335000</v>
      </c>
      <c r="C1770" t="s">
        <v>46</v>
      </c>
      <c r="D1770" t="s">
        <v>36</v>
      </c>
      <c r="E1770">
        <v>5.8694999999999997E-2</v>
      </c>
    </row>
    <row r="1771" spans="1:5" x14ac:dyDescent="0.3">
      <c r="A1771">
        <v>47</v>
      </c>
      <c r="B1771">
        <v>335000</v>
      </c>
      <c r="C1771" t="s">
        <v>46</v>
      </c>
      <c r="D1771" t="s">
        <v>37</v>
      </c>
      <c r="E1771">
        <v>22339.030832</v>
      </c>
    </row>
    <row r="1772" spans="1:5" x14ac:dyDescent="0.3">
      <c r="A1772">
        <v>47</v>
      </c>
      <c r="B1772">
        <v>335000</v>
      </c>
      <c r="C1772" t="s">
        <v>46</v>
      </c>
      <c r="D1772" t="s">
        <v>38</v>
      </c>
      <c r="E1772">
        <v>0.25122100000000003</v>
      </c>
    </row>
    <row r="1773" spans="1:5" x14ac:dyDescent="0.3">
      <c r="A1773">
        <v>47</v>
      </c>
      <c r="B1773">
        <v>335000</v>
      </c>
      <c r="C1773" t="s">
        <v>46</v>
      </c>
      <c r="D1773" t="s">
        <v>39</v>
      </c>
      <c r="E1773">
        <v>0.18599299999999999</v>
      </c>
    </row>
    <row r="1774" spans="1:5" x14ac:dyDescent="0.3">
      <c r="A1774">
        <v>47</v>
      </c>
      <c r="B1774">
        <v>335000</v>
      </c>
      <c r="C1774" t="s">
        <v>46</v>
      </c>
      <c r="D1774" t="s">
        <v>40</v>
      </c>
      <c r="E1774">
        <v>0.367143</v>
      </c>
    </row>
    <row r="1775" spans="1:5" x14ac:dyDescent="0.3">
      <c r="A1775">
        <v>47</v>
      </c>
      <c r="B1775">
        <v>335000</v>
      </c>
      <c r="C1775" t="s">
        <v>46</v>
      </c>
      <c r="D1775" t="s">
        <v>41</v>
      </c>
      <c r="E1775">
        <v>0.14084199999999999</v>
      </c>
    </row>
    <row r="1776" spans="1:5" x14ac:dyDescent="0.3">
      <c r="A1776">
        <v>47</v>
      </c>
      <c r="B1776">
        <v>335000</v>
      </c>
      <c r="C1776" t="s">
        <v>46</v>
      </c>
      <c r="D1776" t="s">
        <v>42</v>
      </c>
      <c r="E1776">
        <v>7.3486999999999997E-2</v>
      </c>
    </row>
    <row r="1777" spans="1:5" x14ac:dyDescent="0.3">
      <c r="A1777">
        <v>47</v>
      </c>
      <c r="B1777">
        <v>335000</v>
      </c>
      <c r="C1777" t="s">
        <v>46</v>
      </c>
      <c r="D1777" t="s">
        <v>43</v>
      </c>
      <c r="E1777">
        <v>2.6556E-2</v>
      </c>
    </row>
    <row r="1778" spans="1:5" x14ac:dyDescent="0.3">
      <c r="A1778">
        <v>48</v>
      </c>
      <c r="B1778">
        <v>340000</v>
      </c>
      <c r="C1778" t="s">
        <v>45</v>
      </c>
      <c r="D1778" t="s">
        <v>28</v>
      </c>
      <c r="E1778">
        <v>150412.086756</v>
      </c>
    </row>
    <row r="1779" spans="1:5" x14ac:dyDescent="0.3">
      <c r="A1779">
        <v>48</v>
      </c>
      <c r="B1779">
        <v>340000</v>
      </c>
      <c r="C1779" t="s">
        <v>45</v>
      </c>
      <c r="D1779" t="s">
        <v>29</v>
      </c>
      <c r="E1779">
        <v>0.64998500000000003</v>
      </c>
    </row>
    <row r="1780" spans="1:5" x14ac:dyDescent="0.3">
      <c r="A1780">
        <v>48</v>
      </c>
      <c r="B1780">
        <v>340000</v>
      </c>
      <c r="C1780" t="s">
        <v>45</v>
      </c>
      <c r="D1780" t="s">
        <v>30</v>
      </c>
      <c r="E1780">
        <v>0.214619</v>
      </c>
    </row>
    <row r="1781" spans="1:5" x14ac:dyDescent="0.3">
      <c r="A1781">
        <v>48</v>
      </c>
      <c r="B1781">
        <v>340000</v>
      </c>
      <c r="C1781" t="s">
        <v>45</v>
      </c>
      <c r="D1781" t="s">
        <v>31</v>
      </c>
      <c r="E1781">
        <v>4.7286000000000002E-2</v>
      </c>
    </row>
    <row r="1782" spans="1:5" x14ac:dyDescent="0.3">
      <c r="A1782">
        <v>48</v>
      </c>
      <c r="B1782">
        <v>340000</v>
      </c>
      <c r="C1782" t="s">
        <v>45</v>
      </c>
      <c r="D1782" t="s">
        <v>32</v>
      </c>
      <c r="E1782">
        <v>5.5896000000000001E-2</v>
      </c>
    </row>
    <row r="1783" spans="1:5" x14ac:dyDescent="0.3">
      <c r="A1783">
        <v>48</v>
      </c>
      <c r="B1783">
        <v>340000</v>
      </c>
      <c r="C1783" t="s">
        <v>45</v>
      </c>
      <c r="D1783" t="s">
        <v>33</v>
      </c>
      <c r="E1783">
        <v>99387.431261999998</v>
      </c>
    </row>
    <row r="1784" spans="1:5" x14ac:dyDescent="0.3">
      <c r="A1784">
        <v>48</v>
      </c>
      <c r="B1784">
        <v>340000</v>
      </c>
      <c r="C1784" t="s">
        <v>45</v>
      </c>
      <c r="D1784" t="s">
        <v>34</v>
      </c>
      <c r="E1784">
        <v>0.169431</v>
      </c>
    </row>
    <row r="1785" spans="1:5" x14ac:dyDescent="0.3">
      <c r="A1785">
        <v>48</v>
      </c>
      <c r="B1785">
        <v>340000</v>
      </c>
      <c r="C1785" t="s">
        <v>45</v>
      </c>
      <c r="D1785" t="s">
        <v>35</v>
      </c>
      <c r="E1785">
        <v>48271.441688999999</v>
      </c>
    </row>
    <row r="1786" spans="1:5" x14ac:dyDescent="0.3">
      <c r="A1786">
        <v>48</v>
      </c>
      <c r="B1786">
        <v>340000</v>
      </c>
      <c r="C1786" t="s">
        <v>45</v>
      </c>
      <c r="D1786" t="s">
        <v>36</v>
      </c>
      <c r="E1786">
        <v>3.2086999999999997E-2</v>
      </c>
    </row>
    <row r="1787" spans="1:5" x14ac:dyDescent="0.3">
      <c r="A1787">
        <v>48</v>
      </c>
      <c r="B1787">
        <v>340000</v>
      </c>
      <c r="C1787" t="s">
        <v>45</v>
      </c>
      <c r="D1787" t="s">
        <v>37</v>
      </c>
      <c r="E1787">
        <v>41927.308633000001</v>
      </c>
    </row>
    <row r="1788" spans="1:5" x14ac:dyDescent="0.3">
      <c r="A1788">
        <v>48</v>
      </c>
      <c r="B1788">
        <v>340000</v>
      </c>
      <c r="C1788" t="s">
        <v>45</v>
      </c>
      <c r="D1788" t="s">
        <v>38</v>
      </c>
      <c r="E1788">
        <v>0.14305300000000001</v>
      </c>
    </row>
    <row r="1789" spans="1:5" x14ac:dyDescent="0.3">
      <c r="A1789">
        <v>48</v>
      </c>
      <c r="B1789">
        <v>340000</v>
      </c>
      <c r="C1789" t="s">
        <v>45</v>
      </c>
      <c r="D1789" t="s">
        <v>39</v>
      </c>
      <c r="E1789">
        <v>9.955E-2</v>
      </c>
    </row>
    <row r="1790" spans="1:5" x14ac:dyDescent="0.3">
      <c r="A1790">
        <v>48</v>
      </c>
      <c r="B1790">
        <v>340000</v>
      </c>
      <c r="C1790" t="s">
        <v>45</v>
      </c>
      <c r="D1790" t="s">
        <v>40</v>
      </c>
      <c r="E1790">
        <v>0.206014</v>
      </c>
    </row>
    <row r="1791" spans="1:5" x14ac:dyDescent="0.3">
      <c r="A1791">
        <v>48</v>
      </c>
      <c r="B1791">
        <v>340000</v>
      </c>
      <c r="C1791" t="s">
        <v>45</v>
      </c>
      <c r="D1791" t="s">
        <v>41</v>
      </c>
      <c r="E1791">
        <v>7.6133000000000006E-2</v>
      </c>
    </row>
    <row r="1792" spans="1:5" x14ac:dyDescent="0.3">
      <c r="A1792">
        <v>48</v>
      </c>
      <c r="B1792">
        <v>340000</v>
      </c>
      <c r="C1792" t="s">
        <v>45</v>
      </c>
      <c r="D1792" t="s">
        <v>42</v>
      </c>
      <c r="E1792">
        <v>3.9528000000000001E-2</v>
      </c>
    </row>
    <row r="1793" spans="1:5" x14ac:dyDescent="0.3">
      <c r="A1793">
        <v>48</v>
      </c>
      <c r="B1793">
        <v>340000</v>
      </c>
      <c r="C1793" t="s">
        <v>45</v>
      </c>
      <c r="D1793" t="s">
        <v>43</v>
      </c>
      <c r="E1793">
        <v>1.5285999999999999E-2</v>
      </c>
    </row>
    <row r="1794" spans="1:5" x14ac:dyDescent="0.3">
      <c r="A1794">
        <v>48</v>
      </c>
      <c r="B1794">
        <v>340000</v>
      </c>
      <c r="C1794" t="s">
        <v>46</v>
      </c>
      <c r="D1794" t="s">
        <v>28</v>
      </c>
      <c r="E1794">
        <v>156971.57967499999</v>
      </c>
    </row>
    <row r="1795" spans="1:5" x14ac:dyDescent="0.3">
      <c r="A1795">
        <v>48</v>
      </c>
      <c r="B1795">
        <v>340000</v>
      </c>
      <c r="C1795" t="s">
        <v>46</v>
      </c>
      <c r="D1795" t="s">
        <v>29</v>
      </c>
      <c r="E1795">
        <v>0.80718000000000001</v>
      </c>
    </row>
    <row r="1796" spans="1:5" x14ac:dyDescent="0.3">
      <c r="A1796">
        <v>48</v>
      </c>
      <c r="B1796">
        <v>340000</v>
      </c>
      <c r="C1796" t="s">
        <v>46</v>
      </c>
      <c r="D1796" t="s">
        <v>30</v>
      </c>
      <c r="E1796">
        <v>0.33556200000000003</v>
      </c>
    </row>
    <row r="1797" spans="1:5" x14ac:dyDescent="0.3">
      <c r="A1797">
        <v>48</v>
      </c>
      <c r="B1797">
        <v>340000</v>
      </c>
      <c r="C1797" t="s">
        <v>46</v>
      </c>
      <c r="D1797" t="s">
        <v>31</v>
      </c>
      <c r="E1797">
        <v>7.0008000000000001E-2</v>
      </c>
    </row>
    <row r="1798" spans="1:5" x14ac:dyDescent="0.3">
      <c r="A1798">
        <v>48</v>
      </c>
      <c r="B1798">
        <v>340000</v>
      </c>
      <c r="C1798" t="s">
        <v>46</v>
      </c>
      <c r="D1798" t="s">
        <v>32</v>
      </c>
      <c r="E1798">
        <v>8.3586999999999995E-2</v>
      </c>
    </row>
    <row r="1799" spans="1:5" x14ac:dyDescent="0.3">
      <c r="A1799">
        <v>48</v>
      </c>
      <c r="B1799">
        <v>340000</v>
      </c>
      <c r="C1799" t="s">
        <v>46</v>
      </c>
      <c r="D1799" t="s">
        <v>33</v>
      </c>
      <c r="E1799">
        <v>99387.351475999996</v>
      </c>
    </row>
    <row r="1800" spans="1:5" x14ac:dyDescent="0.3">
      <c r="A1800">
        <v>48</v>
      </c>
      <c r="B1800">
        <v>340000</v>
      </c>
      <c r="C1800" t="s">
        <v>46</v>
      </c>
      <c r="D1800" t="s">
        <v>34</v>
      </c>
      <c r="E1800">
        <v>0.33701999999999999</v>
      </c>
    </row>
    <row r="1801" spans="1:5" x14ac:dyDescent="0.3">
      <c r="A1801">
        <v>48</v>
      </c>
      <c r="B1801">
        <v>340000</v>
      </c>
      <c r="C1801" t="s">
        <v>46</v>
      </c>
      <c r="D1801" t="s">
        <v>35</v>
      </c>
      <c r="E1801">
        <v>48271.456778</v>
      </c>
    </row>
    <row r="1802" spans="1:5" x14ac:dyDescent="0.3">
      <c r="A1802">
        <v>48</v>
      </c>
      <c r="B1802">
        <v>340000</v>
      </c>
      <c r="C1802" t="s">
        <v>46</v>
      </c>
      <c r="D1802" t="s">
        <v>36</v>
      </c>
      <c r="E1802">
        <v>5.0642E-2</v>
      </c>
    </row>
    <row r="1803" spans="1:5" x14ac:dyDescent="0.3">
      <c r="A1803">
        <v>48</v>
      </c>
      <c r="B1803">
        <v>340000</v>
      </c>
      <c r="C1803" t="s">
        <v>46</v>
      </c>
      <c r="D1803" t="s">
        <v>37</v>
      </c>
      <c r="E1803">
        <v>22339.504276</v>
      </c>
    </row>
    <row r="1804" spans="1:5" x14ac:dyDescent="0.3">
      <c r="A1804">
        <v>48</v>
      </c>
      <c r="B1804">
        <v>340000</v>
      </c>
      <c r="C1804" t="s">
        <v>46</v>
      </c>
      <c r="D1804" t="s">
        <v>38</v>
      </c>
      <c r="E1804">
        <v>0.21248700000000001</v>
      </c>
    </row>
    <row r="1805" spans="1:5" x14ac:dyDescent="0.3">
      <c r="A1805">
        <v>48</v>
      </c>
      <c r="B1805">
        <v>340000</v>
      </c>
      <c r="C1805" t="s">
        <v>46</v>
      </c>
      <c r="D1805" t="s">
        <v>39</v>
      </c>
      <c r="E1805">
        <v>0.155996</v>
      </c>
    </row>
    <row r="1806" spans="1:5" x14ac:dyDescent="0.3">
      <c r="A1806">
        <v>48</v>
      </c>
      <c r="B1806">
        <v>340000</v>
      </c>
      <c r="C1806" t="s">
        <v>46</v>
      </c>
      <c r="D1806" t="s">
        <v>40</v>
      </c>
      <c r="E1806">
        <v>0.34894199999999997</v>
      </c>
    </row>
    <row r="1807" spans="1:5" x14ac:dyDescent="0.3">
      <c r="A1807">
        <v>48</v>
      </c>
      <c r="B1807">
        <v>340000</v>
      </c>
      <c r="C1807" t="s">
        <v>46</v>
      </c>
      <c r="D1807" t="s">
        <v>41</v>
      </c>
      <c r="E1807">
        <v>0.11615499999999999</v>
      </c>
    </row>
    <row r="1808" spans="1:5" x14ac:dyDescent="0.3">
      <c r="A1808">
        <v>48</v>
      </c>
      <c r="B1808">
        <v>340000</v>
      </c>
      <c r="C1808" t="s">
        <v>46</v>
      </c>
      <c r="D1808" t="s">
        <v>42</v>
      </c>
      <c r="E1808">
        <v>6.3464999999999994E-2</v>
      </c>
    </row>
    <row r="1809" spans="1:5" x14ac:dyDescent="0.3">
      <c r="A1809">
        <v>48</v>
      </c>
      <c r="B1809">
        <v>340000</v>
      </c>
      <c r="C1809" t="s">
        <v>46</v>
      </c>
      <c r="D1809" t="s">
        <v>43</v>
      </c>
      <c r="E1809">
        <v>2.3657000000000001E-2</v>
      </c>
    </row>
    <row r="1810" spans="1:5" x14ac:dyDescent="0.3">
      <c r="A1810">
        <v>49</v>
      </c>
      <c r="B1810">
        <v>345000</v>
      </c>
      <c r="C1810" t="s">
        <v>45</v>
      </c>
      <c r="D1810" t="s">
        <v>28</v>
      </c>
      <c r="E1810">
        <v>150540.289728</v>
      </c>
    </row>
    <row r="1811" spans="1:5" x14ac:dyDescent="0.3">
      <c r="A1811">
        <v>49</v>
      </c>
      <c r="B1811">
        <v>345000</v>
      </c>
      <c r="C1811" t="s">
        <v>45</v>
      </c>
      <c r="D1811" t="s">
        <v>29</v>
      </c>
      <c r="E1811">
        <v>1.3716299999999999</v>
      </c>
    </row>
    <row r="1812" spans="1:5" x14ac:dyDescent="0.3">
      <c r="A1812">
        <v>49</v>
      </c>
      <c r="B1812">
        <v>345000</v>
      </c>
      <c r="C1812" t="s">
        <v>45</v>
      </c>
      <c r="D1812" t="s">
        <v>30</v>
      </c>
      <c r="E1812">
        <v>0.46289000000000002</v>
      </c>
    </row>
    <row r="1813" spans="1:5" x14ac:dyDescent="0.3">
      <c r="A1813">
        <v>49</v>
      </c>
      <c r="B1813">
        <v>345000</v>
      </c>
      <c r="C1813" t="s">
        <v>45</v>
      </c>
      <c r="D1813" t="s">
        <v>31</v>
      </c>
      <c r="E1813">
        <v>0.10557900000000001</v>
      </c>
    </row>
    <row r="1814" spans="1:5" x14ac:dyDescent="0.3">
      <c r="A1814">
        <v>49</v>
      </c>
      <c r="B1814">
        <v>345000</v>
      </c>
      <c r="C1814" t="s">
        <v>45</v>
      </c>
      <c r="D1814" t="s">
        <v>32</v>
      </c>
      <c r="E1814">
        <v>0.122019</v>
      </c>
    </row>
    <row r="1815" spans="1:5" x14ac:dyDescent="0.3">
      <c r="A1815">
        <v>49</v>
      </c>
      <c r="B1815">
        <v>345000</v>
      </c>
      <c r="C1815" t="s">
        <v>45</v>
      </c>
      <c r="D1815" t="s">
        <v>33</v>
      </c>
      <c r="E1815">
        <v>99387.357006000006</v>
      </c>
    </row>
    <row r="1816" spans="1:5" x14ac:dyDescent="0.3">
      <c r="A1816">
        <v>49</v>
      </c>
      <c r="B1816">
        <v>345000</v>
      </c>
      <c r="C1816" t="s">
        <v>45</v>
      </c>
      <c r="D1816" t="s">
        <v>34</v>
      </c>
      <c r="E1816">
        <v>0.46535199999999999</v>
      </c>
    </row>
    <row r="1817" spans="1:5" x14ac:dyDescent="0.3">
      <c r="A1817">
        <v>49</v>
      </c>
      <c r="B1817">
        <v>345000</v>
      </c>
      <c r="C1817" t="s">
        <v>45</v>
      </c>
      <c r="D1817" t="s">
        <v>35</v>
      </c>
      <c r="E1817">
        <v>48271.189985999998</v>
      </c>
    </row>
    <row r="1818" spans="1:5" x14ac:dyDescent="0.3">
      <c r="A1818">
        <v>49</v>
      </c>
      <c r="B1818">
        <v>345000</v>
      </c>
      <c r="C1818" t="s">
        <v>45</v>
      </c>
      <c r="D1818" t="s">
        <v>36</v>
      </c>
      <c r="E1818">
        <v>7.1403999999999995E-2</v>
      </c>
    </row>
    <row r="1819" spans="1:5" x14ac:dyDescent="0.3">
      <c r="A1819">
        <v>49</v>
      </c>
      <c r="B1819">
        <v>345000</v>
      </c>
      <c r="C1819" t="s">
        <v>45</v>
      </c>
      <c r="D1819" t="s">
        <v>37</v>
      </c>
      <c r="E1819">
        <v>46797.308703000002</v>
      </c>
    </row>
    <row r="1820" spans="1:5" x14ac:dyDescent="0.3">
      <c r="A1820">
        <v>49</v>
      </c>
      <c r="B1820">
        <v>345000</v>
      </c>
      <c r="C1820" t="s">
        <v>45</v>
      </c>
      <c r="D1820" t="s">
        <v>38</v>
      </c>
      <c r="E1820">
        <v>0.30334299999999997</v>
      </c>
    </row>
    <row r="1821" spans="1:5" x14ac:dyDescent="0.3">
      <c r="A1821">
        <v>49</v>
      </c>
      <c r="B1821">
        <v>345000</v>
      </c>
      <c r="C1821" t="s">
        <v>45</v>
      </c>
      <c r="D1821" t="s">
        <v>39</v>
      </c>
      <c r="E1821">
        <v>0.23073099999999999</v>
      </c>
    </row>
    <row r="1822" spans="1:5" x14ac:dyDescent="0.3">
      <c r="A1822">
        <v>49</v>
      </c>
      <c r="B1822">
        <v>345000</v>
      </c>
      <c r="C1822" t="s">
        <v>45</v>
      </c>
      <c r="D1822" t="s">
        <v>40</v>
      </c>
      <c r="E1822">
        <v>0.46737099999999998</v>
      </c>
    </row>
    <row r="1823" spans="1:5" x14ac:dyDescent="0.3">
      <c r="A1823">
        <v>49</v>
      </c>
      <c r="B1823">
        <v>345000</v>
      </c>
      <c r="C1823" t="s">
        <v>45</v>
      </c>
      <c r="D1823" t="s">
        <v>41</v>
      </c>
      <c r="E1823">
        <v>0.15642400000000001</v>
      </c>
    </row>
    <row r="1824" spans="1:5" x14ac:dyDescent="0.3">
      <c r="A1824">
        <v>49</v>
      </c>
      <c r="B1824">
        <v>345000</v>
      </c>
      <c r="C1824" t="s">
        <v>45</v>
      </c>
      <c r="D1824" t="s">
        <v>42</v>
      </c>
      <c r="E1824">
        <v>9.1802999999999996E-2</v>
      </c>
    </row>
    <row r="1825" spans="1:5" x14ac:dyDescent="0.3">
      <c r="A1825">
        <v>49</v>
      </c>
      <c r="B1825">
        <v>345000</v>
      </c>
      <c r="C1825" t="s">
        <v>45</v>
      </c>
      <c r="D1825" t="s">
        <v>43</v>
      </c>
      <c r="E1825">
        <v>3.4856999999999999E-2</v>
      </c>
    </row>
    <row r="1826" spans="1:5" x14ac:dyDescent="0.3">
      <c r="A1826">
        <v>49</v>
      </c>
      <c r="B1826">
        <v>345000</v>
      </c>
      <c r="C1826" t="s">
        <v>46</v>
      </c>
      <c r="D1826" t="s">
        <v>28</v>
      </c>
      <c r="E1826">
        <v>156971.61265900001</v>
      </c>
    </row>
    <row r="1827" spans="1:5" x14ac:dyDescent="0.3">
      <c r="A1827">
        <v>49</v>
      </c>
      <c r="B1827">
        <v>345000</v>
      </c>
      <c r="C1827" t="s">
        <v>46</v>
      </c>
      <c r="D1827" t="s">
        <v>29</v>
      </c>
      <c r="E1827">
        <v>0.87043300000000001</v>
      </c>
    </row>
    <row r="1828" spans="1:5" x14ac:dyDescent="0.3">
      <c r="A1828">
        <v>49</v>
      </c>
      <c r="B1828">
        <v>345000</v>
      </c>
      <c r="C1828" t="s">
        <v>46</v>
      </c>
      <c r="D1828" t="s">
        <v>30</v>
      </c>
      <c r="E1828">
        <v>0.31760699999999997</v>
      </c>
    </row>
    <row r="1829" spans="1:5" x14ac:dyDescent="0.3">
      <c r="A1829">
        <v>49</v>
      </c>
      <c r="B1829">
        <v>345000</v>
      </c>
      <c r="C1829" t="s">
        <v>46</v>
      </c>
      <c r="D1829" t="s">
        <v>31</v>
      </c>
      <c r="E1829">
        <v>7.0619000000000001E-2</v>
      </c>
    </row>
    <row r="1830" spans="1:5" x14ac:dyDescent="0.3">
      <c r="A1830">
        <v>49</v>
      </c>
      <c r="B1830">
        <v>345000</v>
      </c>
      <c r="C1830" t="s">
        <v>46</v>
      </c>
      <c r="D1830" t="s">
        <v>32</v>
      </c>
      <c r="E1830">
        <v>8.2804000000000003E-2</v>
      </c>
    </row>
    <row r="1831" spans="1:5" x14ac:dyDescent="0.3">
      <c r="A1831">
        <v>49</v>
      </c>
      <c r="B1831">
        <v>345000</v>
      </c>
      <c r="C1831" t="s">
        <v>46</v>
      </c>
      <c r="D1831" t="s">
        <v>33</v>
      </c>
      <c r="E1831">
        <v>99387.324735999995</v>
      </c>
    </row>
    <row r="1832" spans="1:5" x14ac:dyDescent="0.3">
      <c r="A1832">
        <v>49</v>
      </c>
      <c r="B1832">
        <v>345000</v>
      </c>
      <c r="C1832" t="s">
        <v>46</v>
      </c>
      <c r="D1832" t="s">
        <v>34</v>
      </c>
      <c r="E1832">
        <v>0.51445200000000002</v>
      </c>
    </row>
    <row r="1833" spans="1:5" x14ac:dyDescent="0.3">
      <c r="A1833">
        <v>49</v>
      </c>
      <c r="B1833">
        <v>345000</v>
      </c>
      <c r="C1833" t="s">
        <v>46</v>
      </c>
      <c r="D1833" t="s">
        <v>35</v>
      </c>
      <c r="E1833">
        <v>48271.395254000003</v>
      </c>
    </row>
    <row r="1834" spans="1:5" x14ac:dyDescent="0.3">
      <c r="A1834">
        <v>49</v>
      </c>
      <c r="B1834">
        <v>345000</v>
      </c>
      <c r="C1834" t="s">
        <v>46</v>
      </c>
      <c r="D1834" t="s">
        <v>36</v>
      </c>
      <c r="E1834">
        <v>4.9454999999999999E-2</v>
      </c>
    </row>
    <row r="1835" spans="1:5" x14ac:dyDescent="0.3">
      <c r="A1835">
        <v>49</v>
      </c>
      <c r="B1835">
        <v>345000</v>
      </c>
      <c r="C1835" t="s">
        <v>46</v>
      </c>
      <c r="D1835" t="s">
        <v>37</v>
      </c>
      <c r="E1835">
        <v>22339.273748</v>
      </c>
    </row>
    <row r="1836" spans="1:5" x14ac:dyDescent="0.3">
      <c r="A1836">
        <v>49</v>
      </c>
      <c r="B1836">
        <v>345000</v>
      </c>
      <c r="C1836" t="s">
        <v>46</v>
      </c>
      <c r="D1836" t="s">
        <v>38</v>
      </c>
      <c r="E1836">
        <v>0.212175</v>
      </c>
    </row>
    <row r="1837" spans="1:5" x14ac:dyDescent="0.3">
      <c r="A1837">
        <v>49</v>
      </c>
      <c r="B1837">
        <v>345000</v>
      </c>
      <c r="C1837" t="s">
        <v>46</v>
      </c>
      <c r="D1837" t="s">
        <v>39</v>
      </c>
      <c r="E1837">
        <v>0.15489700000000001</v>
      </c>
    </row>
    <row r="1838" spans="1:5" x14ac:dyDescent="0.3">
      <c r="A1838">
        <v>49</v>
      </c>
      <c r="B1838">
        <v>345000</v>
      </c>
      <c r="C1838" t="s">
        <v>46</v>
      </c>
      <c r="D1838" t="s">
        <v>40</v>
      </c>
      <c r="E1838">
        <v>0.31687300000000002</v>
      </c>
    </row>
    <row r="1839" spans="1:5" x14ac:dyDescent="0.3">
      <c r="A1839">
        <v>49</v>
      </c>
      <c r="B1839">
        <v>345000</v>
      </c>
      <c r="C1839" t="s">
        <v>46</v>
      </c>
      <c r="D1839" t="s">
        <v>41</v>
      </c>
      <c r="E1839">
        <v>0.11373900000000001</v>
      </c>
    </row>
    <row r="1840" spans="1:5" x14ac:dyDescent="0.3">
      <c r="A1840">
        <v>49</v>
      </c>
      <c r="B1840">
        <v>345000</v>
      </c>
      <c r="C1840" t="s">
        <v>46</v>
      </c>
      <c r="D1840" t="s">
        <v>42</v>
      </c>
      <c r="E1840">
        <v>6.4156000000000005E-2</v>
      </c>
    </row>
    <row r="1841" spans="1:5" x14ac:dyDescent="0.3">
      <c r="A1841">
        <v>49</v>
      </c>
      <c r="B1841">
        <v>345000</v>
      </c>
      <c r="C1841" t="s">
        <v>46</v>
      </c>
      <c r="D1841" t="s">
        <v>43</v>
      </c>
      <c r="E1841">
        <v>2.3616000000000002E-2</v>
      </c>
    </row>
    <row r="1842" spans="1:5" x14ac:dyDescent="0.3">
      <c r="A1842">
        <v>50</v>
      </c>
      <c r="B1842">
        <v>350000</v>
      </c>
      <c r="C1842" t="s">
        <v>45</v>
      </c>
      <c r="D1842" t="s">
        <v>28</v>
      </c>
      <c r="E1842">
        <v>150672.015858</v>
      </c>
    </row>
    <row r="1843" spans="1:5" x14ac:dyDescent="0.3">
      <c r="A1843">
        <v>50</v>
      </c>
      <c r="B1843">
        <v>350000</v>
      </c>
      <c r="C1843" t="s">
        <v>45</v>
      </c>
      <c r="D1843" t="s">
        <v>29</v>
      </c>
      <c r="E1843">
        <v>0.43652999999999997</v>
      </c>
    </row>
    <row r="1844" spans="1:5" x14ac:dyDescent="0.3">
      <c r="A1844">
        <v>50</v>
      </c>
      <c r="B1844">
        <v>350000</v>
      </c>
      <c r="C1844" t="s">
        <v>45</v>
      </c>
      <c r="D1844" t="s">
        <v>30</v>
      </c>
      <c r="E1844">
        <v>0.17011999999999999</v>
      </c>
    </row>
    <row r="1845" spans="1:5" x14ac:dyDescent="0.3">
      <c r="A1845">
        <v>50</v>
      </c>
      <c r="B1845">
        <v>350000</v>
      </c>
      <c r="C1845" t="s">
        <v>45</v>
      </c>
      <c r="D1845" t="s">
        <v>31</v>
      </c>
      <c r="E1845">
        <v>3.1958E-2</v>
      </c>
    </row>
    <row r="1846" spans="1:5" x14ac:dyDescent="0.3">
      <c r="A1846">
        <v>50</v>
      </c>
      <c r="B1846">
        <v>350000</v>
      </c>
      <c r="C1846" t="s">
        <v>45</v>
      </c>
      <c r="D1846" t="s">
        <v>32</v>
      </c>
      <c r="E1846">
        <v>3.8379999999999997E-2</v>
      </c>
    </row>
    <row r="1847" spans="1:5" x14ac:dyDescent="0.3">
      <c r="A1847">
        <v>50</v>
      </c>
      <c r="B1847">
        <v>350000</v>
      </c>
      <c r="C1847" t="s">
        <v>45</v>
      </c>
      <c r="D1847" t="s">
        <v>33</v>
      </c>
      <c r="E1847">
        <v>99387.492083999998</v>
      </c>
    </row>
    <row r="1848" spans="1:5" x14ac:dyDescent="0.3">
      <c r="A1848">
        <v>50</v>
      </c>
      <c r="B1848">
        <v>350000</v>
      </c>
      <c r="C1848" t="s">
        <v>45</v>
      </c>
      <c r="D1848" t="s">
        <v>34</v>
      </c>
      <c r="E1848">
        <v>0.160801</v>
      </c>
    </row>
    <row r="1849" spans="1:5" x14ac:dyDescent="0.3">
      <c r="A1849">
        <v>50</v>
      </c>
      <c r="B1849">
        <v>350000</v>
      </c>
      <c r="C1849" t="s">
        <v>45</v>
      </c>
      <c r="D1849" t="s">
        <v>35</v>
      </c>
      <c r="E1849">
        <v>48271.522061999996</v>
      </c>
    </row>
    <row r="1850" spans="1:5" x14ac:dyDescent="0.3">
      <c r="A1850">
        <v>50</v>
      </c>
      <c r="B1850">
        <v>350000</v>
      </c>
      <c r="C1850" t="s">
        <v>45</v>
      </c>
      <c r="D1850" t="s">
        <v>36</v>
      </c>
      <c r="E1850">
        <v>2.1464E-2</v>
      </c>
    </row>
    <row r="1851" spans="1:5" x14ac:dyDescent="0.3">
      <c r="A1851">
        <v>50</v>
      </c>
      <c r="B1851">
        <v>350000</v>
      </c>
      <c r="C1851" t="s">
        <v>45</v>
      </c>
      <c r="D1851" t="s">
        <v>37</v>
      </c>
      <c r="E1851">
        <v>51667.727189999998</v>
      </c>
    </row>
    <row r="1852" spans="1:5" x14ac:dyDescent="0.3">
      <c r="A1852">
        <v>50</v>
      </c>
      <c r="B1852">
        <v>350000</v>
      </c>
      <c r="C1852" t="s">
        <v>45</v>
      </c>
      <c r="D1852" t="s">
        <v>38</v>
      </c>
      <c r="E1852">
        <v>0.100065</v>
      </c>
    </row>
    <row r="1853" spans="1:5" x14ac:dyDescent="0.3">
      <c r="A1853">
        <v>50</v>
      </c>
      <c r="B1853">
        <v>350000</v>
      </c>
      <c r="C1853" t="s">
        <v>45</v>
      </c>
      <c r="D1853" t="s">
        <v>39</v>
      </c>
      <c r="E1853">
        <v>6.7846000000000004E-2</v>
      </c>
    </row>
    <row r="1854" spans="1:5" x14ac:dyDescent="0.3">
      <c r="A1854">
        <v>50</v>
      </c>
      <c r="B1854">
        <v>350000</v>
      </c>
      <c r="C1854" t="s">
        <v>45</v>
      </c>
      <c r="D1854" t="s">
        <v>40</v>
      </c>
      <c r="E1854">
        <v>0.14341899999999999</v>
      </c>
    </row>
    <row r="1855" spans="1:5" x14ac:dyDescent="0.3">
      <c r="A1855">
        <v>50</v>
      </c>
      <c r="B1855">
        <v>350000</v>
      </c>
      <c r="C1855" t="s">
        <v>45</v>
      </c>
      <c r="D1855" t="s">
        <v>41</v>
      </c>
      <c r="E1855">
        <v>4.9071999999999998E-2</v>
      </c>
    </row>
    <row r="1856" spans="1:5" x14ac:dyDescent="0.3">
      <c r="A1856">
        <v>50</v>
      </c>
      <c r="B1856">
        <v>350000</v>
      </c>
      <c r="C1856" t="s">
        <v>45</v>
      </c>
      <c r="D1856" t="s">
        <v>42</v>
      </c>
      <c r="E1856">
        <v>2.7349999999999999E-2</v>
      </c>
    </row>
    <row r="1857" spans="1:5" x14ac:dyDescent="0.3">
      <c r="A1857">
        <v>50</v>
      </c>
      <c r="B1857">
        <v>350000</v>
      </c>
      <c r="C1857" t="s">
        <v>45</v>
      </c>
      <c r="D1857" t="s">
        <v>43</v>
      </c>
      <c r="E1857">
        <v>1.0206E-2</v>
      </c>
    </row>
    <row r="1858" spans="1:5" x14ac:dyDescent="0.3">
      <c r="A1858">
        <v>50</v>
      </c>
      <c r="B1858">
        <v>350000</v>
      </c>
      <c r="C1858" t="s">
        <v>46</v>
      </c>
      <c r="D1858" t="s">
        <v>28</v>
      </c>
      <c r="E1858">
        <v>156971.71946299999</v>
      </c>
    </row>
    <row r="1859" spans="1:5" x14ac:dyDescent="0.3">
      <c r="A1859">
        <v>50</v>
      </c>
      <c r="B1859">
        <v>350000</v>
      </c>
      <c r="C1859" t="s">
        <v>46</v>
      </c>
      <c r="D1859" t="s">
        <v>29</v>
      </c>
      <c r="E1859">
        <v>1.6594070000000001</v>
      </c>
    </row>
    <row r="1860" spans="1:5" x14ac:dyDescent="0.3">
      <c r="A1860">
        <v>50</v>
      </c>
      <c r="B1860">
        <v>350000</v>
      </c>
      <c r="C1860" t="s">
        <v>46</v>
      </c>
      <c r="D1860" t="s">
        <v>30</v>
      </c>
      <c r="E1860">
        <v>0.63530900000000001</v>
      </c>
    </row>
    <row r="1861" spans="1:5" x14ac:dyDescent="0.3">
      <c r="A1861">
        <v>50</v>
      </c>
      <c r="B1861">
        <v>350000</v>
      </c>
      <c r="C1861" t="s">
        <v>46</v>
      </c>
      <c r="D1861" t="s">
        <v>31</v>
      </c>
      <c r="E1861">
        <v>0.131413</v>
      </c>
    </row>
    <row r="1862" spans="1:5" x14ac:dyDescent="0.3">
      <c r="A1862">
        <v>50</v>
      </c>
      <c r="B1862">
        <v>350000</v>
      </c>
      <c r="C1862" t="s">
        <v>46</v>
      </c>
      <c r="D1862" t="s">
        <v>32</v>
      </c>
      <c r="E1862">
        <v>0.15506500000000001</v>
      </c>
    </row>
    <row r="1863" spans="1:5" x14ac:dyDescent="0.3">
      <c r="A1863">
        <v>50</v>
      </c>
      <c r="B1863">
        <v>350000</v>
      </c>
      <c r="C1863" t="s">
        <v>46</v>
      </c>
      <c r="D1863" t="s">
        <v>33</v>
      </c>
      <c r="E1863">
        <v>99387.239117000005</v>
      </c>
    </row>
    <row r="1864" spans="1:5" x14ac:dyDescent="0.3">
      <c r="A1864">
        <v>50</v>
      </c>
      <c r="B1864">
        <v>350000</v>
      </c>
      <c r="C1864" t="s">
        <v>46</v>
      </c>
      <c r="D1864" t="s">
        <v>34</v>
      </c>
      <c r="E1864">
        <v>0.75134599999999996</v>
      </c>
    </row>
    <row r="1865" spans="1:5" x14ac:dyDescent="0.3">
      <c r="A1865">
        <v>50</v>
      </c>
      <c r="B1865">
        <v>350000</v>
      </c>
      <c r="C1865" t="s">
        <v>46</v>
      </c>
      <c r="D1865" t="s">
        <v>35</v>
      </c>
      <c r="E1865">
        <v>48271.198402000002</v>
      </c>
    </row>
    <row r="1866" spans="1:5" x14ac:dyDescent="0.3">
      <c r="A1866">
        <v>50</v>
      </c>
      <c r="B1866">
        <v>350000</v>
      </c>
      <c r="C1866" t="s">
        <v>46</v>
      </c>
      <c r="D1866" t="s">
        <v>36</v>
      </c>
      <c r="E1866">
        <v>8.838E-2</v>
      </c>
    </row>
    <row r="1867" spans="1:5" x14ac:dyDescent="0.3">
      <c r="A1867">
        <v>50</v>
      </c>
      <c r="B1867">
        <v>350000</v>
      </c>
      <c r="C1867" t="s">
        <v>46</v>
      </c>
      <c r="D1867" t="s">
        <v>37</v>
      </c>
      <c r="E1867">
        <v>22337.239764999998</v>
      </c>
    </row>
    <row r="1868" spans="1:5" x14ac:dyDescent="0.3">
      <c r="A1868">
        <v>50</v>
      </c>
      <c r="B1868">
        <v>350000</v>
      </c>
      <c r="C1868" t="s">
        <v>46</v>
      </c>
      <c r="D1868" t="s">
        <v>38</v>
      </c>
      <c r="E1868">
        <v>0.38600699999999999</v>
      </c>
    </row>
    <row r="1869" spans="1:5" x14ac:dyDescent="0.3">
      <c r="A1869">
        <v>50</v>
      </c>
      <c r="B1869">
        <v>350000</v>
      </c>
      <c r="C1869" t="s">
        <v>46</v>
      </c>
      <c r="D1869" t="s">
        <v>39</v>
      </c>
      <c r="E1869">
        <v>0.29290300000000002</v>
      </c>
    </row>
    <row r="1870" spans="1:5" x14ac:dyDescent="0.3">
      <c r="A1870">
        <v>50</v>
      </c>
      <c r="B1870">
        <v>350000</v>
      </c>
      <c r="C1870" t="s">
        <v>46</v>
      </c>
      <c r="D1870" t="s">
        <v>40</v>
      </c>
      <c r="E1870">
        <v>0.59880500000000003</v>
      </c>
    </row>
    <row r="1871" spans="1:5" x14ac:dyDescent="0.3">
      <c r="A1871">
        <v>50</v>
      </c>
      <c r="B1871">
        <v>350000</v>
      </c>
      <c r="C1871" t="s">
        <v>46</v>
      </c>
      <c r="D1871" t="s">
        <v>41</v>
      </c>
      <c r="E1871">
        <v>0.19870099999999999</v>
      </c>
    </row>
    <row r="1872" spans="1:5" x14ac:dyDescent="0.3">
      <c r="A1872">
        <v>50</v>
      </c>
      <c r="B1872">
        <v>350000</v>
      </c>
      <c r="C1872" t="s">
        <v>46</v>
      </c>
      <c r="D1872" t="s">
        <v>42</v>
      </c>
      <c r="E1872">
        <v>0.112956</v>
      </c>
    </row>
    <row r="1873" spans="1:5" x14ac:dyDescent="0.3">
      <c r="A1873">
        <v>50</v>
      </c>
      <c r="B1873">
        <v>350000</v>
      </c>
      <c r="C1873" t="s">
        <v>46</v>
      </c>
      <c r="D1873" t="s">
        <v>43</v>
      </c>
      <c r="E1873">
        <v>4.1093999999999999E-2</v>
      </c>
    </row>
    <row r="1874" spans="1:5" x14ac:dyDescent="0.3">
      <c r="A1874">
        <v>51</v>
      </c>
      <c r="B1874">
        <v>355000</v>
      </c>
      <c r="C1874" t="s">
        <v>45</v>
      </c>
      <c r="D1874" t="s">
        <v>28</v>
      </c>
      <c r="E1874">
        <v>150805.80696300001</v>
      </c>
    </row>
    <row r="1875" spans="1:5" x14ac:dyDescent="0.3">
      <c r="A1875">
        <v>51</v>
      </c>
      <c r="B1875">
        <v>355000</v>
      </c>
      <c r="C1875" t="s">
        <v>45</v>
      </c>
      <c r="D1875" t="s">
        <v>29</v>
      </c>
      <c r="E1875">
        <v>0.70678700000000005</v>
      </c>
    </row>
    <row r="1876" spans="1:5" x14ac:dyDescent="0.3">
      <c r="A1876">
        <v>51</v>
      </c>
      <c r="B1876">
        <v>355000</v>
      </c>
      <c r="C1876" t="s">
        <v>45</v>
      </c>
      <c r="D1876" t="s">
        <v>30</v>
      </c>
      <c r="E1876">
        <v>0.23810700000000001</v>
      </c>
    </row>
    <row r="1877" spans="1:5" x14ac:dyDescent="0.3">
      <c r="A1877">
        <v>51</v>
      </c>
      <c r="B1877">
        <v>355000</v>
      </c>
      <c r="C1877" t="s">
        <v>45</v>
      </c>
      <c r="D1877" t="s">
        <v>31</v>
      </c>
      <c r="E1877">
        <v>4.9342999999999998E-2</v>
      </c>
    </row>
    <row r="1878" spans="1:5" x14ac:dyDescent="0.3">
      <c r="A1878">
        <v>51</v>
      </c>
      <c r="B1878">
        <v>355000</v>
      </c>
      <c r="C1878" t="s">
        <v>45</v>
      </c>
      <c r="D1878" t="s">
        <v>32</v>
      </c>
      <c r="E1878">
        <v>5.6225999999999998E-2</v>
      </c>
    </row>
    <row r="1879" spans="1:5" x14ac:dyDescent="0.3">
      <c r="A1879">
        <v>51</v>
      </c>
      <c r="B1879">
        <v>355000</v>
      </c>
      <c r="C1879" t="s">
        <v>45</v>
      </c>
      <c r="D1879" t="s">
        <v>33</v>
      </c>
      <c r="E1879">
        <v>99387.445989</v>
      </c>
    </row>
    <row r="1880" spans="1:5" x14ac:dyDescent="0.3">
      <c r="A1880">
        <v>51</v>
      </c>
      <c r="B1880">
        <v>355000</v>
      </c>
      <c r="C1880" t="s">
        <v>45</v>
      </c>
      <c r="D1880" t="s">
        <v>34</v>
      </c>
      <c r="E1880">
        <v>0.216226</v>
      </c>
    </row>
    <row r="1881" spans="1:5" x14ac:dyDescent="0.3">
      <c r="A1881">
        <v>51</v>
      </c>
      <c r="B1881">
        <v>355000</v>
      </c>
      <c r="C1881" t="s">
        <v>45</v>
      </c>
      <c r="D1881" t="s">
        <v>35</v>
      </c>
      <c r="E1881">
        <v>48271.429062000003</v>
      </c>
    </row>
    <row r="1882" spans="1:5" x14ac:dyDescent="0.3">
      <c r="A1882">
        <v>51</v>
      </c>
      <c r="B1882">
        <v>355000</v>
      </c>
      <c r="C1882" t="s">
        <v>45</v>
      </c>
      <c r="D1882" t="s">
        <v>36</v>
      </c>
      <c r="E1882">
        <v>3.2697999999999998E-2</v>
      </c>
    </row>
    <row r="1883" spans="1:5" x14ac:dyDescent="0.3">
      <c r="A1883">
        <v>51</v>
      </c>
      <c r="B1883">
        <v>355000</v>
      </c>
      <c r="C1883" t="s">
        <v>45</v>
      </c>
      <c r="D1883" t="s">
        <v>37</v>
      </c>
      <c r="E1883">
        <v>56533.424364999999</v>
      </c>
    </row>
    <row r="1884" spans="1:5" x14ac:dyDescent="0.3">
      <c r="A1884">
        <v>51</v>
      </c>
      <c r="B1884">
        <v>355000</v>
      </c>
      <c r="C1884" t="s">
        <v>45</v>
      </c>
      <c r="D1884" t="s">
        <v>38</v>
      </c>
      <c r="E1884">
        <v>0.14521800000000001</v>
      </c>
    </row>
    <row r="1885" spans="1:5" x14ac:dyDescent="0.3">
      <c r="A1885">
        <v>51</v>
      </c>
      <c r="B1885">
        <v>355000</v>
      </c>
      <c r="C1885" t="s">
        <v>45</v>
      </c>
      <c r="D1885" t="s">
        <v>39</v>
      </c>
      <c r="E1885">
        <v>0.110999</v>
      </c>
    </row>
    <row r="1886" spans="1:5" x14ac:dyDescent="0.3">
      <c r="A1886">
        <v>51</v>
      </c>
      <c r="B1886">
        <v>355000</v>
      </c>
      <c r="C1886" t="s">
        <v>45</v>
      </c>
      <c r="D1886" t="s">
        <v>40</v>
      </c>
      <c r="E1886">
        <v>0.21672</v>
      </c>
    </row>
    <row r="1887" spans="1:5" x14ac:dyDescent="0.3">
      <c r="A1887">
        <v>51</v>
      </c>
      <c r="B1887">
        <v>355000</v>
      </c>
      <c r="C1887" t="s">
        <v>45</v>
      </c>
      <c r="D1887" t="s">
        <v>41</v>
      </c>
      <c r="E1887">
        <v>7.6355000000000006E-2</v>
      </c>
    </row>
    <row r="1888" spans="1:5" x14ac:dyDescent="0.3">
      <c r="A1888">
        <v>51</v>
      </c>
      <c r="B1888">
        <v>355000</v>
      </c>
      <c r="C1888" t="s">
        <v>45</v>
      </c>
      <c r="D1888" t="s">
        <v>42</v>
      </c>
      <c r="E1888">
        <v>4.0552999999999999E-2</v>
      </c>
    </row>
    <row r="1889" spans="1:5" x14ac:dyDescent="0.3">
      <c r="A1889">
        <v>51</v>
      </c>
      <c r="B1889">
        <v>355000</v>
      </c>
      <c r="C1889" t="s">
        <v>45</v>
      </c>
      <c r="D1889" t="s">
        <v>43</v>
      </c>
      <c r="E1889">
        <v>1.5018E-2</v>
      </c>
    </row>
    <row r="1890" spans="1:5" x14ac:dyDescent="0.3">
      <c r="A1890">
        <v>52</v>
      </c>
      <c r="B1890">
        <v>360000</v>
      </c>
      <c r="C1890" t="s">
        <v>45</v>
      </c>
      <c r="D1890" t="s">
        <v>28</v>
      </c>
      <c r="E1890">
        <v>150925.708671</v>
      </c>
    </row>
    <row r="1891" spans="1:5" x14ac:dyDescent="0.3">
      <c r="A1891">
        <v>52</v>
      </c>
      <c r="B1891">
        <v>360000</v>
      </c>
      <c r="C1891" t="s">
        <v>45</v>
      </c>
      <c r="D1891" t="s">
        <v>29</v>
      </c>
      <c r="E1891">
        <v>90.676858999999993</v>
      </c>
    </row>
    <row r="1892" spans="1:5" x14ac:dyDescent="0.3">
      <c r="A1892">
        <v>52</v>
      </c>
      <c r="B1892">
        <v>360000</v>
      </c>
      <c r="C1892" t="s">
        <v>45</v>
      </c>
      <c r="D1892" t="s">
        <v>30</v>
      </c>
      <c r="E1892">
        <v>0.38367699999999999</v>
      </c>
    </row>
    <row r="1893" spans="1:5" x14ac:dyDescent="0.3">
      <c r="A1893">
        <v>52</v>
      </c>
      <c r="B1893">
        <v>360000</v>
      </c>
      <c r="C1893" t="s">
        <v>45</v>
      </c>
      <c r="D1893" t="s">
        <v>31</v>
      </c>
      <c r="E1893">
        <v>5.7507000000000003E-2</v>
      </c>
    </row>
    <row r="1894" spans="1:5" x14ac:dyDescent="0.3">
      <c r="A1894">
        <v>52</v>
      </c>
      <c r="B1894">
        <v>360000</v>
      </c>
      <c r="C1894" t="s">
        <v>45</v>
      </c>
      <c r="D1894" t="s">
        <v>32</v>
      </c>
      <c r="E1894">
        <v>6.3664999999999999E-2</v>
      </c>
    </row>
    <row r="1895" spans="1:5" x14ac:dyDescent="0.3">
      <c r="A1895">
        <v>52</v>
      </c>
      <c r="B1895">
        <v>360000</v>
      </c>
      <c r="C1895" t="s">
        <v>45</v>
      </c>
      <c r="D1895" t="s">
        <v>33</v>
      </c>
      <c r="E1895">
        <v>99387.497984000001</v>
      </c>
    </row>
    <row r="1896" spans="1:5" x14ac:dyDescent="0.3">
      <c r="A1896">
        <v>52</v>
      </c>
      <c r="B1896">
        <v>360000</v>
      </c>
      <c r="C1896" t="s">
        <v>45</v>
      </c>
      <c r="D1896" t="s">
        <v>34</v>
      </c>
      <c r="E1896">
        <v>1.049288</v>
      </c>
    </row>
    <row r="1897" spans="1:5" x14ac:dyDescent="0.3">
      <c r="A1897">
        <v>52</v>
      </c>
      <c r="B1897">
        <v>360000</v>
      </c>
      <c r="C1897" t="s">
        <v>45</v>
      </c>
      <c r="D1897" t="s">
        <v>35</v>
      </c>
      <c r="E1897">
        <v>48236.240375000001</v>
      </c>
    </row>
    <row r="1898" spans="1:5" x14ac:dyDescent="0.3">
      <c r="A1898">
        <v>52</v>
      </c>
      <c r="B1898">
        <v>360000</v>
      </c>
      <c r="C1898" t="s">
        <v>45</v>
      </c>
      <c r="D1898" t="s">
        <v>36</v>
      </c>
      <c r="E1898">
        <v>3.1656999999999998E-2</v>
      </c>
    </row>
    <row r="1899" spans="1:5" x14ac:dyDescent="0.3">
      <c r="A1899">
        <v>52</v>
      </c>
      <c r="B1899">
        <v>360000</v>
      </c>
      <c r="C1899" t="s">
        <v>45</v>
      </c>
      <c r="D1899" t="s">
        <v>37</v>
      </c>
      <c r="E1899">
        <v>61357.661994000002</v>
      </c>
    </row>
    <row r="1900" spans="1:5" x14ac:dyDescent="0.3">
      <c r="A1900">
        <v>52</v>
      </c>
      <c r="B1900">
        <v>360000</v>
      </c>
      <c r="C1900" t="s">
        <v>45</v>
      </c>
      <c r="D1900" t="s">
        <v>38</v>
      </c>
      <c r="E1900">
        <v>0.145096</v>
      </c>
    </row>
    <row r="1901" spans="1:5" x14ac:dyDescent="0.3">
      <c r="A1901">
        <v>52</v>
      </c>
      <c r="B1901">
        <v>360000</v>
      </c>
      <c r="C1901" t="s">
        <v>45</v>
      </c>
      <c r="D1901" t="s">
        <v>39</v>
      </c>
      <c r="E1901">
        <v>0.13813</v>
      </c>
    </row>
    <row r="1902" spans="1:5" x14ac:dyDescent="0.3">
      <c r="A1902">
        <v>52</v>
      </c>
      <c r="B1902">
        <v>360000</v>
      </c>
      <c r="C1902" t="s">
        <v>45</v>
      </c>
      <c r="D1902" t="s">
        <v>40</v>
      </c>
      <c r="E1902">
        <v>0.222437</v>
      </c>
    </row>
    <row r="1903" spans="1:5" x14ac:dyDescent="0.3">
      <c r="A1903">
        <v>52</v>
      </c>
      <c r="B1903">
        <v>360000</v>
      </c>
      <c r="C1903" t="s">
        <v>45</v>
      </c>
      <c r="D1903" t="s">
        <v>41</v>
      </c>
      <c r="E1903">
        <v>7.8380000000000005E-2</v>
      </c>
    </row>
    <row r="1904" spans="1:5" x14ac:dyDescent="0.3">
      <c r="A1904">
        <v>52</v>
      </c>
      <c r="B1904">
        <v>360000</v>
      </c>
      <c r="C1904" t="s">
        <v>45</v>
      </c>
      <c r="D1904" t="s">
        <v>42</v>
      </c>
      <c r="E1904">
        <v>4.3425999999999999E-2</v>
      </c>
    </row>
    <row r="1905" spans="1:5" x14ac:dyDescent="0.3">
      <c r="A1905">
        <v>52</v>
      </c>
      <c r="B1905">
        <v>360000</v>
      </c>
      <c r="C1905" t="s">
        <v>45</v>
      </c>
      <c r="D1905" t="s">
        <v>43</v>
      </c>
      <c r="E1905">
        <v>1.2777999999999999E-2</v>
      </c>
    </row>
    <row r="1906" spans="1:5" x14ac:dyDescent="0.3">
      <c r="A1906">
        <v>53</v>
      </c>
      <c r="B1906">
        <v>365000</v>
      </c>
      <c r="C1906" t="s">
        <v>45</v>
      </c>
      <c r="D1906" t="s">
        <v>28</v>
      </c>
      <c r="E1906">
        <v>151056.93924000001</v>
      </c>
    </row>
    <row r="1907" spans="1:5" x14ac:dyDescent="0.3">
      <c r="A1907">
        <v>53</v>
      </c>
      <c r="B1907">
        <v>365000</v>
      </c>
      <c r="C1907" t="s">
        <v>45</v>
      </c>
      <c r="D1907" t="s">
        <v>29</v>
      </c>
      <c r="E1907">
        <v>8955.0635170000005</v>
      </c>
    </row>
    <row r="1908" spans="1:5" x14ac:dyDescent="0.3">
      <c r="A1908">
        <v>53</v>
      </c>
      <c r="B1908">
        <v>365000</v>
      </c>
      <c r="C1908" t="s">
        <v>45</v>
      </c>
      <c r="D1908" t="s">
        <v>30</v>
      </c>
      <c r="E1908">
        <v>0.66710999999999998</v>
      </c>
    </row>
    <row r="1909" spans="1:5" x14ac:dyDescent="0.3">
      <c r="A1909">
        <v>53</v>
      </c>
      <c r="B1909">
        <v>365000</v>
      </c>
      <c r="C1909" t="s">
        <v>45</v>
      </c>
      <c r="D1909" t="s">
        <v>31</v>
      </c>
      <c r="E1909">
        <v>0.103635</v>
      </c>
    </row>
    <row r="1910" spans="1:5" x14ac:dyDescent="0.3">
      <c r="A1910">
        <v>53</v>
      </c>
      <c r="B1910">
        <v>365000</v>
      </c>
      <c r="C1910" t="s">
        <v>45</v>
      </c>
      <c r="D1910" t="s">
        <v>32</v>
      </c>
      <c r="E1910">
        <v>0.115477</v>
      </c>
    </row>
    <row r="1911" spans="1:5" x14ac:dyDescent="0.3">
      <c r="A1911">
        <v>53</v>
      </c>
      <c r="B1911">
        <v>365000</v>
      </c>
      <c r="C1911" t="s">
        <v>45</v>
      </c>
      <c r="D1911" t="s">
        <v>33</v>
      </c>
      <c r="E1911">
        <v>99387.374496999997</v>
      </c>
    </row>
    <row r="1912" spans="1:5" x14ac:dyDescent="0.3">
      <c r="A1912">
        <v>53</v>
      </c>
      <c r="B1912">
        <v>365000</v>
      </c>
      <c r="C1912" t="s">
        <v>45</v>
      </c>
      <c r="D1912" t="s">
        <v>34</v>
      </c>
      <c r="E1912">
        <v>1.9458249999999999</v>
      </c>
    </row>
    <row r="1913" spans="1:5" x14ac:dyDescent="0.3">
      <c r="A1913">
        <v>53</v>
      </c>
      <c r="B1913">
        <v>365000</v>
      </c>
      <c r="C1913" t="s">
        <v>45</v>
      </c>
      <c r="D1913" t="s">
        <v>35</v>
      </c>
      <c r="E1913">
        <v>44763.011895000003</v>
      </c>
    </row>
    <row r="1914" spans="1:5" x14ac:dyDescent="0.3">
      <c r="A1914">
        <v>53</v>
      </c>
      <c r="B1914">
        <v>365000</v>
      </c>
      <c r="C1914" t="s">
        <v>45</v>
      </c>
      <c r="D1914" t="s">
        <v>36</v>
      </c>
      <c r="E1914">
        <v>6.2096999999999999E-2</v>
      </c>
    </row>
    <row r="1915" spans="1:5" x14ac:dyDescent="0.3">
      <c r="A1915">
        <v>53</v>
      </c>
      <c r="B1915">
        <v>365000</v>
      </c>
      <c r="C1915" t="s">
        <v>45</v>
      </c>
      <c r="D1915" t="s">
        <v>37</v>
      </c>
      <c r="E1915">
        <v>60833.543277999997</v>
      </c>
    </row>
    <row r="1916" spans="1:5" x14ac:dyDescent="0.3">
      <c r="A1916">
        <v>53</v>
      </c>
      <c r="B1916">
        <v>365000</v>
      </c>
      <c r="C1916" t="s">
        <v>45</v>
      </c>
      <c r="D1916" t="s">
        <v>38</v>
      </c>
      <c r="E1916">
        <v>0.27207900000000002</v>
      </c>
    </row>
    <row r="1917" spans="1:5" x14ac:dyDescent="0.3">
      <c r="A1917">
        <v>53</v>
      </c>
      <c r="B1917">
        <v>365000</v>
      </c>
      <c r="C1917" t="s">
        <v>45</v>
      </c>
      <c r="D1917" t="s">
        <v>39</v>
      </c>
      <c r="E1917">
        <v>0.25064700000000001</v>
      </c>
    </row>
    <row r="1918" spans="1:5" x14ac:dyDescent="0.3">
      <c r="A1918">
        <v>53</v>
      </c>
      <c r="B1918">
        <v>365000</v>
      </c>
      <c r="C1918" t="s">
        <v>45</v>
      </c>
      <c r="D1918" t="s">
        <v>40</v>
      </c>
      <c r="E1918">
        <v>0.40926099999999999</v>
      </c>
    </row>
    <row r="1919" spans="1:5" x14ac:dyDescent="0.3">
      <c r="A1919">
        <v>53</v>
      </c>
      <c r="B1919">
        <v>365000</v>
      </c>
      <c r="C1919" t="s">
        <v>45</v>
      </c>
      <c r="D1919" t="s">
        <v>41</v>
      </c>
      <c r="E1919">
        <v>0.15540699999999999</v>
      </c>
    </row>
    <row r="1920" spans="1:5" x14ac:dyDescent="0.3">
      <c r="A1920">
        <v>53</v>
      </c>
      <c r="B1920">
        <v>365000</v>
      </c>
      <c r="C1920" t="s">
        <v>45</v>
      </c>
      <c r="D1920" t="s">
        <v>42</v>
      </c>
      <c r="E1920">
        <v>8.1642999999999993E-2</v>
      </c>
    </row>
    <row r="1921" spans="1:5" x14ac:dyDescent="0.3">
      <c r="A1921">
        <v>53</v>
      </c>
      <c r="B1921">
        <v>365000</v>
      </c>
      <c r="C1921" t="s">
        <v>45</v>
      </c>
      <c r="D1921" t="s">
        <v>43</v>
      </c>
      <c r="E1921">
        <v>2.5599E-2</v>
      </c>
    </row>
    <row r="1922" spans="1:5" x14ac:dyDescent="0.3">
      <c r="A1922">
        <v>54</v>
      </c>
      <c r="B1922">
        <v>370000</v>
      </c>
      <c r="C1922" t="s">
        <v>45</v>
      </c>
      <c r="D1922" t="s">
        <v>28</v>
      </c>
      <c r="E1922">
        <v>151181.072942</v>
      </c>
    </row>
    <row r="1923" spans="1:5" x14ac:dyDescent="0.3">
      <c r="A1923">
        <v>54</v>
      </c>
      <c r="B1923">
        <v>370000</v>
      </c>
      <c r="C1923" t="s">
        <v>45</v>
      </c>
      <c r="D1923" t="s">
        <v>29</v>
      </c>
      <c r="E1923">
        <v>20292.127401999998</v>
      </c>
    </row>
    <row r="1924" spans="1:5" x14ac:dyDescent="0.3">
      <c r="A1924">
        <v>54</v>
      </c>
      <c r="B1924">
        <v>370000</v>
      </c>
      <c r="C1924" t="s">
        <v>45</v>
      </c>
      <c r="D1924" t="s">
        <v>30</v>
      </c>
      <c r="E1924">
        <v>0.91820800000000002</v>
      </c>
    </row>
    <row r="1925" spans="1:5" x14ac:dyDescent="0.3">
      <c r="A1925">
        <v>54</v>
      </c>
      <c r="B1925">
        <v>370000</v>
      </c>
      <c r="C1925" t="s">
        <v>45</v>
      </c>
      <c r="D1925" t="s">
        <v>31</v>
      </c>
      <c r="E1925">
        <v>0.120895</v>
      </c>
    </row>
    <row r="1926" spans="1:5" x14ac:dyDescent="0.3">
      <c r="A1926">
        <v>54</v>
      </c>
      <c r="B1926">
        <v>370000</v>
      </c>
      <c r="C1926" t="s">
        <v>45</v>
      </c>
      <c r="D1926" t="s">
        <v>32</v>
      </c>
      <c r="E1926">
        <v>0.140485</v>
      </c>
    </row>
    <row r="1927" spans="1:5" x14ac:dyDescent="0.3">
      <c r="A1927">
        <v>54</v>
      </c>
      <c r="B1927">
        <v>370000</v>
      </c>
      <c r="C1927" t="s">
        <v>45</v>
      </c>
      <c r="D1927" t="s">
        <v>33</v>
      </c>
      <c r="E1927">
        <v>99387.373752</v>
      </c>
    </row>
    <row r="1928" spans="1:5" x14ac:dyDescent="0.3">
      <c r="A1928">
        <v>54</v>
      </c>
      <c r="B1928">
        <v>370000</v>
      </c>
      <c r="C1928" t="s">
        <v>45</v>
      </c>
      <c r="D1928" t="s">
        <v>34</v>
      </c>
      <c r="E1928">
        <v>3.2686280000000001</v>
      </c>
    </row>
    <row r="1929" spans="1:5" x14ac:dyDescent="0.3">
      <c r="A1929">
        <v>54</v>
      </c>
      <c r="B1929">
        <v>370000</v>
      </c>
      <c r="C1929" t="s">
        <v>45</v>
      </c>
      <c r="D1929" t="s">
        <v>35</v>
      </c>
      <c r="E1929">
        <v>40320.952186000002</v>
      </c>
    </row>
    <row r="1930" spans="1:5" x14ac:dyDescent="0.3">
      <c r="A1930">
        <v>54</v>
      </c>
      <c r="B1930">
        <v>370000</v>
      </c>
      <c r="C1930" t="s">
        <v>45</v>
      </c>
      <c r="D1930" t="s">
        <v>36</v>
      </c>
      <c r="E1930">
        <v>7.0158999999999999E-2</v>
      </c>
    </row>
    <row r="1931" spans="1:5" x14ac:dyDescent="0.3">
      <c r="A1931">
        <v>54</v>
      </c>
      <c r="B1931">
        <v>370000</v>
      </c>
      <c r="C1931" t="s">
        <v>45</v>
      </c>
      <c r="D1931" t="s">
        <v>37</v>
      </c>
      <c r="E1931">
        <v>58812.619658000003</v>
      </c>
    </row>
    <row r="1932" spans="1:5" x14ac:dyDescent="0.3">
      <c r="A1932">
        <v>54</v>
      </c>
      <c r="B1932">
        <v>370000</v>
      </c>
      <c r="C1932" t="s">
        <v>45</v>
      </c>
      <c r="D1932" t="s">
        <v>38</v>
      </c>
      <c r="E1932">
        <v>0.31593399999999999</v>
      </c>
    </row>
    <row r="1933" spans="1:5" x14ac:dyDescent="0.3">
      <c r="A1933">
        <v>54</v>
      </c>
      <c r="B1933">
        <v>370000</v>
      </c>
      <c r="C1933" t="s">
        <v>45</v>
      </c>
      <c r="D1933" t="s">
        <v>39</v>
      </c>
      <c r="E1933">
        <v>0.28990300000000002</v>
      </c>
    </row>
    <row r="1934" spans="1:5" x14ac:dyDescent="0.3">
      <c r="A1934">
        <v>54</v>
      </c>
      <c r="B1934">
        <v>370000</v>
      </c>
      <c r="C1934" t="s">
        <v>45</v>
      </c>
      <c r="D1934" t="s">
        <v>40</v>
      </c>
      <c r="E1934">
        <v>0.48858400000000002</v>
      </c>
    </row>
    <row r="1935" spans="1:5" x14ac:dyDescent="0.3">
      <c r="A1935">
        <v>54</v>
      </c>
      <c r="B1935">
        <v>370000</v>
      </c>
      <c r="C1935" t="s">
        <v>45</v>
      </c>
      <c r="D1935" t="s">
        <v>41</v>
      </c>
      <c r="E1935">
        <v>0.17150499999999999</v>
      </c>
    </row>
    <row r="1936" spans="1:5" x14ac:dyDescent="0.3">
      <c r="A1936">
        <v>54</v>
      </c>
      <c r="B1936">
        <v>370000</v>
      </c>
      <c r="C1936" t="s">
        <v>45</v>
      </c>
      <c r="D1936" t="s">
        <v>42</v>
      </c>
      <c r="E1936">
        <v>9.2911999999999995E-2</v>
      </c>
    </row>
    <row r="1937" spans="1:5" x14ac:dyDescent="0.3">
      <c r="A1937">
        <v>54</v>
      </c>
      <c r="B1937">
        <v>370000</v>
      </c>
      <c r="C1937" t="s">
        <v>45</v>
      </c>
      <c r="D1937" t="s">
        <v>43</v>
      </c>
      <c r="E1937">
        <v>2.997E-2</v>
      </c>
    </row>
    <row r="1938" spans="1:5" x14ac:dyDescent="0.3">
      <c r="A1938">
        <v>55</v>
      </c>
      <c r="B1938">
        <v>375000</v>
      </c>
      <c r="C1938" t="s">
        <v>45</v>
      </c>
      <c r="D1938" t="s">
        <v>28</v>
      </c>
      <c r="E1938">
        <v>151308.326776</v>
      </c>
    </row>
    <row r="1939" spans="1:5" x14ac:dyDescent="0.3">
      <c r="A1939">
        <v>55</v>
      </c>
      <c r="B1939">
        <v>375000</v>
      </c>
      <c r="C1939" t="s">
        <v>45</v>
      </c>
      <c r="D1939" t="s">
        <v>29</v>
      </c>
      <c r="E1939">
        <v>32178.320583000001</v>
      </c>
    </row>
    <row r="1940" spans="1:5" x14ac:dyDescent="0.3">
      <c r="A1940">
        <v>55</v>
      </c>
      <c r="B1940">
        <v>375000</v>
      </c>
      <c r="C1940" t="s">
        <v>45</v>
      </c>
      <c r="D1940" t="s">
        <v>30</v>
      </c>
      <c r="E1940">
        <v>1.0355259999999999</v>
      </c>
    </row>
    <row r="1941" spans="1:5" x14ac:dyDescent="0.3">
      <c r="A1941">
        <v>55</v>
      </c>
      <c r="B1941">
        <v>375000</v>
      </c>
      <c r="C1941" t="s">
        <v>45</v>
      </c>
      <c r="D1941" t="s">
        <v>31</v>
      </c>
      <c r="E1941">
        <v>0.16087799999999999</v>
      </c>
    </row>
    <row r="1942" spans="1:5" x14ac:dyDescent="0.3">
      <c r="A1942">
        <v>55</v>
      </c>
      <c r="B1942">
        <v>375000</v>
      </c>
      <c r="C1942" t="s">
        <v>45</v>
      </c>
      <c r="D1942" t="s">
        <v>32</v>
      </c>
      <c r="E1942">
        <v>0.17758499999999999</v>
      </c>
    </row>
    <row r="1943" spans="1:5" x14ac:dyDescent="0.3">
      <c r="A1943">
        <v>55</v>
      </c>
      <c r="B1943">
        <v>375000</v>
      </c>
      <c r="C1943" t="s">
        <v>45</v>
      </c>
      <c r="D1943" t="s">
        <v>33</v>
      </c>
      <c r="E1943">
        <v>99387.276578999998</v>
      </c>
    </row>
    <row r="1944" spans="1:5" x14ac:dyDescent="0.3">
      <c r="A1944">
        <v>55</v>
      </c>
      <c r="B1944">
        <v>375000</v>
      </c>
      <c r="C1944" t="s">
        <v>45</v>
      </c>
      <c r="D1944" t="s">
        <v>34</v>
      </c>
      <c r="E1944">
        <v>876.90522399999998</v>
      </c>
    </row>
    <row r="1945" spans="1:5" x14ac:dyDescent="0.3">
      <c r="A1945">
        <v>55</v>
      </c>
      <c r="B1945">
        <v>375000</v>
      </c>
      <c r="C1945" t="s">
        <v>45</v>
      </c>
      <c r="D1945" t="s">
        <v>35</v>
      </c>
      <c r="E1945">
        <v>35663.629443999998</v>
      </c>
    </row>
    <row r="1946" spans="1:5" x14ac:dyDescent="0.3">
      <c r="A1946">
        <v>55</v>
      </c>
      <c r="B1946">
        <v>375000</v>
      </c>
      <c r="C1946" t="s">
        <v>45</v>
      </c>
      <c r="D1946" t="s">
        <v>36</v>
      </c>
      <c r="E1946">
        <v>9.2756000000000005E-2</v>
      </c>
    </row>
    <row r="1947" spans="1:5" x14ac:dyDescent="0.3">
      <c r="A1947">
        <v>55</v>
      </c>
      <c r="B1947">
        <v>375000</v>
      </c>
      <c r="C1947" t="s">
        <v>45</v>
      </c>
      <c r="D1947" t="s">
        <v>37</v>
      </c>
      <c r="E1947">
        <v>55582.279890999998</v>
      </c>
    </row>
    <row r="1948" spans="1:5" x14ac:dyDescent="0.3">
      <c r="A1948">
        <v>55</v>
      </c>
      <c r="B1948">
        <v>375000</v>
      </c>
      <c r="C1948" t="s">
        <v>45</v>
      </c>
      <c r="D1948" t="s">
        <v>38</v>
      </c>
      <c r="E1948">
        <v>0.41967199999999999</v>
      </c>
    </row>
    <row r="1949" spans="1:5" x14ac:dyDescent="0.3">
      <c r="A1949">
        <v>55</v>
      </c>
      <c r="B1949">
        <v>375000</v>
      </c>
      <c r="C1949" t="s">
        <v>45</v>
      </c>
      <c r="D1949" t="s">
        <v>39</v>
      </c>
      <c r="E1949">
        <v>0.39302599999999999</v>
      </c>
    </row>
    <row r="1950" spans="1:5" x14ac:dyDescent="0.3">
      <c r="A1950">
        <v>55</v>
      </c>
      <c r="B1950">
        <v>375000</v>
      </c>
      <c r="C1950" t="s">
        <v>45</v>
      </c>
      <c r="D1950" t="s">
        <v>40</v>
      </c>
      <c r="E1950">
        <v>0.61890199999999995</v>
      </c>
    </row>
    <row r="1951" spans="1:5" x14ac:dyDescent="0.3">
      <c r="A1951">
        <v>55</v>
      </c>
      <c r="B1951">
        <v>375000</v>
      </c>
      <c r="C1951" t="s">
        <v>45</v>
      </c>
      <c r="D1951" t="s">
        <v>41</v>
      </c>
      <c r="E1951">
        <v>0.23131399999999999</v>
      </c>
    </row>
    <row r="1952" spans="1:5" x14ac:dyDescent="0.3">
      <c r="A1952">
        <v>55</v>
      </c>
      <c r="B1952">
        <v>375000</v>
      </c>
      <c r="C1952" t="s">
        <v>45</v>
      </c>
      <c r="D1952" t="s">
        <v>42</v>
      </c>
      <c r="E1952">
        <v>0.123721</v>
      </c>
    </row>
    <row r="1953" spans="1:5" x14ac:dyDescent="0.3">
      <c r="A1953">
        <v>55</v>
      </c>
      <c r="B1953">
        <v>375000</v>
      </c>
      <c r="C1953" t="s">
        <v>45</v>
      </c>
      <c r="D1953" t="s">
        <v>43</v>
      </c>
      <c r="E1953">
        <v>3.8169000000000002E-2</v>
      </c>
    </row>
    <row r="1954" spans="1:5" x14ac:dyDescent="0.3">
      <c r="A1954">
        <v>56</v>
      </c>
      <c r="B1954">
        <v>380000</v>
      </c>
      <c r="C1954" t="s">
        <v>45</v>
      </c>
      <c r="D1954" t="s">
        <v>28</v>
      </c>
      <c r="E1954">
        <v>151486.57618500001</v>
      </c>
    </row>
    <row r="1955" spans="1:5" x14ac:dyDescent="0.3">
      <c r="A1955">
        <v>56</v>
      </c>
      <c r="B1955">
        <v>380000</v>
      </c>
      <c r="C1955" t="s">
        <v>45</v>
      </c>
      <c r="D1955" t="s">
        <v>29</v>
      </c>
      <c r="E1955">
        <v>36350.208049000001</v>
      </c>
    </row>
    <row r="1956" spans="1:5" x14ac:dyDescent="0.3">
      <c r="A1956">
        <v>56</v>
      </c>
      <c r="B1956">
        <v>380000</v>
      </c>
      <c r="C1956" t="s">
        <v>45</v>
      </c>
      <c r="D1956" t="s">
        <v>30</v>
      </c>
      <c r="E1956">
        <v>0.34181</v>
      </c>
    </row>
    <row r="1957" spans="1:5" x14ac:dyDescent="0.3">
      <c r="A1957">
        <v>56</v>
      </c>
      <c r="B1957">
        <v>380000</v>
      </c>
      <c r="C1957" t="s">
        <v>45</v>
      </c>
      <c r="D1957" t="s">
        <v>31</v>
      </c>
      <c r="E1957">
        <v>4.4824999999999997E-2</v>
      </c>
    </row>
    <row r="1958" spans="1:5" x14ac:dyDescent="0.3">
      <c r="A1958">
        <v>56</v>
      </c>
      <c r="B1958">
        <v>380000</v>
      </c>
      <c r="C1958" t="s">
        <v>45</v>
      </c>
      <c r="D1958" t="s">
        <v>32</v>
      </c>
      <c r="E1958">
        <v>5.1257999999999998E-2</v>
      </c>
    </row>
    <row r="1959" spans="1:5" x14ac:dyDescent="0.3">
      <c r="A1959">
        <v>56</v>
      </c>
      <c r="B1959">
        <v>380000</v>
      </c>
      <c r="C1959" t="s">
        <v>45</v>
      </c>
      <c r="D1959" t="s">
        <v>33</v>
      </c>
      <c r="E1959">
        <v>99387.507410000006</v>
      </c>
    </row>
    <row r="1960" spans="1:5" x14ac:dyDescent="0.3">
      <c r="A1960">
        <v>56</v>
      </c>
      <c r="B1960">
        <v>380000</v>
      </c>
      <c r="C1960" t="s">
        <v>45</v>
      </c>
      <c r="D1960" t="s">
        <v>34</v>
      </c>
      <c r="E1960">
        <v>3247.8321729999998</v>
      </c>
    </row>
    <row r="1961" spans="1:5" x14ac:dyDescent="0.3">
      <c r="A1961">
        <v>56</v>
      </c>
      <c r="B1961">
        <v>380000</v>
      </c>
      <c r="C1961" t="s">
        <v>45</v>
      </c>
      <c r="D1961" t="s">
        <v>35</v>
      </c>
      <c r="E1961">
        <v>34028.768966000003</v>
      </c>
    </row>
    <row r="1962" spans="1:5" x14ac:dyDescent="0.3">
      <c r="A1962">
        <v>56</v>
      </c>
      <c r="B1962">
        <v>380000</v>
      </c>
      <c r="C1962" t="s">
        <v>45</v>
      </c>
      <c r="D1962" t="s">
        <v>36</v>
      </c>
      <c r="E1962">
        <v>2.5932E-2</v>
      </c>
    </row>
    <row r="1963" spans="1:5" x14ac:dyDescent="0.3">
      <c r="A1963">
        <v>56</v>
      </c>
      <c r="B1963">
        <v>380000</v>
      </c>
      <c r="C1963" t="s">
        <v>45</v>
      </c>
      <c r="D1963" t="s">
        <v>37</v>
      </c>
      <c r="E1963">
        <v>55498.137484999999</v>
      </c>
    </row>
    <row r="1964" spans="1:5" x14ac:dyDescent="0.3">
      <c r="A1964">
        <v>56</v>
      </c>
      <c r="B1964">
        <v>380000</v>
      </c>
      <c r="C1964" t="s">
        <v>45</v>
      </c>
      <c r="D1964" t="s">
        <v>38</v>
      </c>
      <c r="E1964">
        <v>0.119047</v>
      </c>
    </row>
    <row r="1965" spans="1:5" x14ac:dyDescent="0.3">
      <c r="A1965">
        <v>56</v>
      </c>
      <c r="B1965">
        <v>380000</v>
      </c>
      <c r="C1965" t="s">
        <v>45</v>
      </c>
      <c r="D1965" t="s">
        <v>39</v>
      </c>
      <c r="E1965">
        <v>0.103656</v>
      </c>
    </row>
    <row r="1966" spans="1:5" x14ac:dyDescent="0.3">
      <c r="A1966">
        <v>56</v>
      </c>
      <c r="B1966">
        <v>380000</v>
      </c>
      <c r="C1966" t="s">
        <v>45</v>
      </c>
      <c r="D1966" t="s">
        <v>40</v>
      </c>
      <c r="E1966">
        <v>0.185003</v>
      </c>
    </row>
    <row r="1967" spans="1:5" x14ac:dyDescent="0.3">
      <c r="A1967">
        <v>56</v>
      </c>
      <c r="B1967">
        <v>380000</v>
      </c>
      <c r="C1967" t="s">
        <v>45</v>
      </c>
      <c r="D1967" t="s">
        <v>41</v>
      </c>
      <c r="E1967">
        <v>6.2378000000000003E-2</v>
      </c>
    </row>
    <row r="1968" spans="1:5" x14ac:dyDescent="0.3">
      <c r="A1968">
        <v>56</v>
      </c>
      <c r="B1968">
        <v>380000</v>
      </c>
      <c r="C1968" t="s">
        <v>45</v>
      </c>
      <c r="D1968" t="s">
        <v>42</v>
      </c>
      <c r="E1968">
        <v>3.4459999999999998E-2</v>
      </c>
    </row>
    <row r="1969" spans="1:5" x14ac:dyDescent="0.3">
      <c r="A1969">
        <v>56</v>
      </c>
      <c r="B1969">
        <v>380000</v>
      </c>
      <c r="C1969" t="s">
        <v>45</v>
      </c>
      <c r="D1969" t="s">
        <v>43</v>
      </c>
      <c r="E1969">
        <v>1.1136E-2</v>
      </c>
    </row>
    <row r="1970" spans="1:5" x14ac:dyDescent="0.3">
      <c r="A1970">
        <v>57</v>
      </c>
      <c r="B1970">
        <v>385000</v>
      </c>
      <c r="C1970" t="s">
        <v>45</v>
      </c>
      <c r="D1970" t="s">
        <v>28</v>
      </c>
      <c r="E1970">
        <v>151666.15508299999</v>
      </c>
    </row>
    <row r="1971" spans="1:5" x14ac:dyDescent="0.3">
      <c r="A1971">
        <v>57</v>
      </c>
      <c r="B1971">
        <v>385000</v>
      </c>
      <c r="C1971" t="s">
        <v>45</v>
      </c>
      <c r="D1971" t="s">
        <v>29</v>
      </c>
      <c r="E1971">
        <v>41374.450791000003</v>
      </c>
    </row>
    <row r="1972" spans="1:5" x14ac:dyDescent="0.3">
      <c r="A1972">
        <v>57</v>
      </c>
      <c r="B1972">
        <v>385000</v>
      </c>
      <c r="C1972" t="s">
        <v>45</v>
      </c>
      <c r="D1972" t="s">
        <v>30</v>
      </c>
      <c r="E1972">
        <v>1.2625169999999999</v>
      </c>
    </row>
    <row r="1973" spans="1:5" x14ac:dyDescent="0.3">
      <c r="A1973">
        <v>57</v>
      </c>
      <c r="B1973">
        <v>385000</v>
      </c>
      <c r="C1973" t="s">
        <v>45</v>
      </c>
      <c r="D1973" t="s">
        <v>31</v>
      </c>
      <c r="E1973">
        <v>0.16844600000000001</v>
      </c>
    </row>
    <row r="1974" spans="1:5" x14ac:dyDescent="0.3">
      <c r="A1974">
        <v>57</v>
      </c>
      <c r="B1974">
        <v>385000</v>
      </c>
      <c r="C1974" t="s">
        <v>45</v>
      </c>
      <c r="D1974" t="s">
        <v>32</v>
      </c>
      <c r="E1974">
        <v>0.197017</v>
      </c>
    </row>
    <row r="1975" spans="1:5" x14ac:dyDescent="0.3">
      <c r="A1975">
        <v>57</v>
      </c>
      <c r="B1975">
        <v>385000</v>
      </c>
      <c r="C1975" t="s">
        <v>45</v>
      </c>
      <c r="D1975" t="s">
        <v>33</v>
      </c>
      <c r="E1975">
        <v>99387.240164999996</v>
      </c>
    </row>
    <row r="1976" spans="1:5" x14ac:dyDescent="0.3">
      <c r="A1976">
        <v>57</v>
      </c>
      <c r="B1976">
        <v>385000</v>
      </c>
      <c r="C1976" t="s">
        <v>45</v>
      </c>
      <c r="D1976" t="s">
        <v>34</v>
      </c>
      <c r="E1976">
        <v>5596.2778360000002</v>
      </c>
    </row>
    <row r="1977" spans="1:5" x14ac:dyDescent="0.3">
      <c r="A1977">
        <v>57</v>
      </c>
      <c r="B1977">
        <v>385000</v>
      </c>
      <c r="C1977" t="s">
        <v>45</v>
      </c>
      <c r="D1977" t="s">
        <v>35</v>
      </c>
      <c r="E1977">
        <v>32060.423069</v>
      </c>
    </row>
    <row r="1978" spans="1:5" x14ac:dyDescent="0.3">
      <c r="A1978">
        <v>57</v>
      </c>
      <c r="B1978">
        <v>385000</v>
      </c>
      <c r="C1978" t="s">
        <v>45</v>
      </c>
      <c r="D1978" t="s">
        <v>36</v>
      </c>
      <c r="E1978">
        <v>0.100331</v>
      </c>
    </row>
    <row r="1979" spans="1:5" x14ac:dyDescent="0.3">
      <c r="A1979">
        <v>57</v>
      </c>
      <c r="B1979">
        <v>385000</v>
      </c>
      <c r="C1979" t="s">
        <v>45</v>
      </c>
      <c r="D1979" t="s">
        <v>37</v>
      </c>
      <c r="E1979">
        <v>54911.843073999997</v>
      </c>
    </row>
    <row r="1980" spans="1:5" x14ac:dyDescent="0.3">
      <c r="A1980">
        <v>57</v>
      </c>
      <c r="B1980">
        <v>385000</v>
      </c>
      <c r="C1980" t="s">
        <v>45</v>
      </c>
      <c r="D1980" t="s">
        <v>38</v>
      </c>
      <c r="E1980">
        <v>0.45124599999999998</v>
      </c>
    </row>
    <row r="1981" spans="1:5" x14ac:dyDescent="0.3">
      <c r="A1981">
        <v>57</v>
      </c>
      <c r="B1981">
        <v>385000</v>
      </c>
      <c r="C1981" t="s">
        <v>45</v>
      </c>
      <c r="D1981" t="s">
        <v>39</v>
      </c>
      <c r="E1981">
        <v>0.39099400000000001</v>
      </c>
    </row>
    <row r="1982" spans="1:5" x14ac:dyDescent="0.3">
      <c r="A1982">
        <v>57</v>
      </c>
      <c r="B1982">
        <v>385000</v>
      </c>
      <c r="C1982" t="s">
        <v>45</v>
      </c>
      <c r="D1982" t="s">
        <v>40</v>
      </c>
      <c r="E1982">
        <v>0.69300799999999996</v>
      </c>
    </row>
    <row r="1983" spans="1:5" x14ac:dyDescent="0.3">
      <c r="A1983">
        <v>57</v>
      </c>
      <c r="B1983">
        <v>385000</v>
      </c>
      <c r="C1983" t="s">
        <v>45</v>
      </c>
      <c r="D1983" t="s">
        <v>41</v>
      </c>
      <c r="E1983">
        <v>0.24279400000000001</v>
      </c>
    </row>
    <row r="1984" spans="1:5" x14ac:dyDescent="0.3">
      <c r="A1984">
        <v>57</v>
      </c>
      <c r="B1984">
        <v>385000</v>
      </c>
      <c r="C1984" t="s">
        <v>45</v>
      </c>
      <c r="D1984" t="s">
        <v>42</v>
      </c>
      <c r="E1984">
        <v>0.134602</v>
      </c>
    </row>
    <row r="1985" spans="1:5" x14ac:dyDescent="0.3">
      <c r="A1985">
        <v>57</v>
      </c>
      <c r="B1985">
        <v>385000</v>
      </c>
      <c r="C1985" t="s">
        <v>45</v>
      </c>
      <c r="D1985" t="s">
        <v>43</v>
      </c>
      <c r="E1985">
        <v>4.3950000000000003E-2</v>
      </c>
    </row>
    <row r="1986" spans="1:5" x14ac:dyDescent="0.3">
      <c r="A1986">
        <v>58</v>
      </c>
      <c r="B1986">
        <v>390000</v>
      </c>
      <c r="C1986" t="s">
        <v>45</v>
      </c>
      <c r="D1986" t="s">
        <v>28</v>
      </c>
      <c r="E1986">
        <v>151842.327968</v>
      </c>
    </row>
    <row r="1987" spans="1:5" x14ac:dyDescent="0.3">
      <c r="A1987">
        <v>58</v>
      </c>
      <c r="B1987">
        <v>390000</v>
      </c>
      <c r="C1987" t="s">
        <v>45</v>
      </c>
      <c r="D1987" t="s">
        <v>29</v>
      </c>
      <c r="E1987">
        <v>48496.878189000003</v>
      </c>
    </row>
    <row r="1988" spans="1:5" x14ac:dyDescent="0.3">
      <c r="A1988">
        <v>58</v>
      </c>
      <c r="B1988">
        <v>390000</v>
      </c>
      <c r="C1988" t="s">
        <v>45</v>
      </c>
      <c r="D1988" t="s">
        <v>30</v>
      </c>
      <c r="E1988">
        <v>1.0009490000000001</v>
      </c>
    </row>
    <row r="1989" spans="1:5" x14ac:dyDescent="0.3">
      <c r="A1989">
        <v>58</v>
      </c>
      <c r="B1989">
        <v>390000</v>
      </c>
      <c r="C1989" t="s">
        <v>45</v>
      </c>
      <c r="D1989" t="s">
        <v>31</v>
      </c>
      <c r="E1989">
        <v>0.11476500000000001</v>
      </c>
    </row>
    <row r="1990" spans="1:5" x14ac:dyDescent="0.3">
      <c r="A1990">
        <v>58</v>
      </c>
      <c r="B1990">
        <v>390000</v>
      </c>
      <c r="C1990" t="s">
        <v>45</v>
      </c>
      <c r="D1990" t="s">
        <v>32</v>
      </c>
      <c r="E1990">
        <v>0.113829</v>
      </c>
    </row>
    <row r="1991" spans="1:5" x14ac:dyDescent="0.3">
      <c r="A1991">
        <v>58</v>
      </c>
      <c r="B1991">
        <v>390000</v>
      </c>
      <c r="C1991" t="s">
        <v>45</v>
      </c>
      <c r="D1991" t="s">
        <v>33</v>
      </c>
      <c r="E1991">
        <v>99387.346990999999</v>
      </c>
    </row>
    <row r="1992" spans="1:5" x14ac:dyDescent="0.3">
      <c r="A1992">
        <v>58</v>
      </c>
      <c r="B1992">
        <v>390000</v>
      </c>
      <c r="C1992" t="s">
        <v>45</v>
      </c>
      <c r="D1992" t="s">
        <v>34</v>
      </c>
      <c r="E1992">
        <v>7675.1255140000003</v>
      </c>
    </row>
    <row r="1993" spans="1:5" x14ac:dyDescent="0.3">
      <c r="A1993">
        <v>58</v>
      </c>
      <c r="B1993">
        <v>390000</v>
      </c>
      <c r="C1993" t="s">
        <v>45</v>
      </c>
      <c r="D1993" t="s">
        <v>35</v>
      </c>
      <c r="E1993">
        <v>29269.496127999999</v>
      </c>
    </row>
    <row r="1994" spans="1:5" x14ac:dyDescent="0.3">
      <c r="A1994">
        <v>58</v>
      </c>
      <c r="B1994">
        <v>390000</v>
      </c>
      <c r="C1994" t="s">
        <v>45</v>
      </c>
      <c r="D1994" t="s">
        <v>36</v>
      </c>
      <c r="E1994">
        <v>5.1816000000000001E-2</v>
      </c>
    </row>
    <row r="1995" spans="1:5" x14ac:dyDescent="0.3">
      <c r="A1995">
        <v>58</v>
      </c>
      <c r="B1995">
        <v>390000</v>
      </c>
      <c r="C1995" t="s">
        <v>45</v>
      </c>
      <c r="D1995" t="s">
        <v>37</v>
      </c>
      <c r="E1995">
        <v>53326.505991999999</v>
      </c>
    </row>
    <row r="1996" spans="1:5" x14ac:dyDescent="0.3">
      <c r="A1996">
        <v>58</v>
      </c>
      <c r="B1996">
        <v>390000</v>
      </c>
      <c r="C1996" t="s">
        <v>45</v>
      </c>
      <c r="D1996" t="s">
        <v>38</v>
      </c>
      <c r="E1996">
        <v>0.25182100000000002</v>
      </c>
    </row>
    <row r="1997" spans="1:5" x14ac:dyDescent="0.3">
      <c r="A1997">
        <v>58</v>
      </c>
      <c r="B1997">
        <v>390000</v>
      </c>
      <c r="C1997" t="s">
        <v>45</v>
      </c>
      <c r="D1997" t="s">
        <v>39</v>
      </c>
      <c r="E1997">
        <v>0.23028000000000001</v>
      </c>
    </row>
    <row r="1998" spans="1:5" x14ac:dyDescent="0.3">
      <c r="A1998">
        <v>58</v>
      </c>
      <c r="B1998">
        <v>390000</v>
      </c>
      <c r="C1998" t="s">
        <v>45</v>
      </c>
      <c r="D1998" t="s">
        <v>40</v>
      </c>
      <c r="E1998">
        <v>0.37184699999999998</v>
      </c>
    </row>
    <row r="1999" spans="1:5" x14ac:dyDescent="0.3">
      <c r="A1999">
        <v>58</v>
      </c>
      <c r="B1999">
        <v>390000</v>
      </c>
      <c r="C1999" t="s">
        <v>45</v>
      </c>
      <c r="D1999" t="s">
        <v>41</v>
      </c>
      <c r="E1999">
        <v>0.124345</v>
      </c>
    </row>
    <row r="2000" spans="1:5" x14ac:dyDescent="0.3">
      <c r="A2000">
        <v>58</v>
      </c>
      <c r="B2000">
        <v>390000</v>
      </c>
      <c r="C2000" t="s">
        <v>45</v>
      </c>
      <c r="D2000" t="s">
        <v>42</v>
      </c>
      <c r="E2000">
        <v>6.7594000000000001E-2</v>
      </c>
    </row>
    <row r="2001" spans="1:5" x14ac:dyDescent="0.3">
      <c r="A2001">
        <v>58</v>
      </c>
      <c r="B2001">
        <v>390000</v>
      </c>
      <c r="C2001" t="s">
        <v>45</v>
      </c>
      <c r="D2001" t="s">
        <v>43</v>
      </c>
      <c r="E2001">
        <v>2.1186E-2</v>
      </c>
    </row>
    <row r="2002" spans="1:5" x14ac:dyDescent="0.3">
      <c r="A2002">
        <v>59</v>
      </c>
      <c r="B2002">
        <v>395000</v>
      </c>
      <c r="C2002" t="s">
        <v>45</v>
      </c>
      <c r="D2002" t="s">
        <v>28</v>
      </c>
      <c r="E2002">
        <v>151988.74323299999</v>
      </c>
    </row>
    <row r="2003" spans="1:5" x14ac:dyDescent="0.3">
      <c r="A2003">
        <v>59</v>
      </c>
      <c r="B2003">
        <v>395000</v>
      </c>
      <c r="C2003" t="s">
        <v>45</v>
      </c>
      <c r="D2003" t="s">
        <v>29</v>
      </c>
      <c r="E2003">
        <v>57005.223897000003</v>
      </c>
    </row>
    <row r="2004" spans="1:5" x14ac:dyDescent="0.3">
      <c r="A2004">
        <v>59</v>
      </c>
      <c r="B2004">
        <v>395000</v>
      </c>
      <c r="C2004" t="s">
        <v>45</v>
      </c>
      <c r="D2004" t="s">
        <v>30</v>
      </c>
      <c r="E2004">
        <v>1.7590570000000001</v>
      </c>
    </row>
    <row r="2005" spans="1:5" x14ac:dyDescent="0.3">
      <c r="A2005">
        <v>59</v>
      </c>
      <c r="B2005">
        <v>395000</v>
      </c>
      <c r="C2005" t="s">
        <v>45</v>
      </c>
      <c r="D2005" t="s">
        <v>31</v>
      </c>
      <c r="E2005">
        <v>0.204626</v>
      </c>
    </row>
    <row r="2006" spans="1:5" x14ac:dyDescent="0.3">
      <c r="A2006">
        <v>59</v>
      </c>
      <c r="B2006">
        <v>395000</v>
      </c>
      <c r="C2006" t="s">
        <v>45</v>
      </c>
      <c r="D2006" t="s">
        <v>32</v>
      </c>
      <c r="E2006">
        <v>0.209258</v>
      </c>
    </row>
    <row r="2007" spans="1:5" x14ac:dyDescent="0.3">
      <c r="A2007">
        <v>59</v>
      </c>
      <c r="B2007">
        <v>395000</v>
      </c>
      <c r="C2007" t="s">
        <v>45</v>
      </c>
      <c r="D2007" t="s">
        <v>33</v>
      </c>
      <c r="E2007">
        <v>99387.219394999993</v>
      </c>
    </row>
    <row r="2008" spans="1:5" x14ac:dyDescent="0.3">
      <c r="A2008">
        <v>59</v>
      </c>
      <c r="B2008">
        <v>395000</v>
      </c>
      <c r="C2008" t="s">
        <v>45</v>
      </c>
      <c r="D2008" t="s">
        <v>34</v>
      </c>
      <c r="E2008">
        <v>8236.8988229999995</v>
      </c>
    </row>
    <row r="2009" spans="1:5" x14ac:dyDescent="0.3">
      <c r="A2009">
        <v>59</v>
      </c>
      <c r="B2009">
        <v>395000</v>
      </c>
      <c r="C2009" t="s">
        <v>45</v>
      </c>
      <c r="D2009" t="s">
        <v>35</v>
      </c>
      <c r="E2009">
        <v>25935.8907</v>
      </c>
    </row>
    <row r="2010" spans="1:5" x14ac:dyDescent="0.3">
      <c r="A2010">
        <v>59</v>
      </c>
      <c r="B2010">
        <v>395000</v>
      </c>
      <c r="C2010" t="s">
        <v>45</v>
      </c>
      <c r="D2010" t="s">
        <v>36</v>
      </c>
      <c r="E2010">
        <v>9.4978999999999994E-2</v>
      </c>
    </row>
    <row r="2011" spans="1:5" x14ac:dyDescent="0.3">
      <c r="A2011">
        <v>59</v>
      </c>
      <c r="B2011">
        <v>395000</v>
      </c>
      <c r="C2011" t="s">
        <v>45</v>
      </c>
      <c r="D2011" t="s">
        <v>37</v>
      </c>
      <c r="E2011">
        <v>52441.821953999999</v>
      </c>
    </row>
    <row r="2012" spans="1:5" x14ac:dyDescent="0.3">
      <c r="A2012">
        <v>59</v>
      </c>
      <c r="B2012">
        <v>395000</v>
      </c>
      <c r="C2012" t="s">
        <v>45</v>
      </c>
      <c r="D2012" t="s">
        <v>38</v>
      </c>
      <c r="E2012">
        <v>0.47443800000000003</v>
      </c>
    </row>
    <row r="2013" spans="1:5" x14ac:dyDescent="0.3">
      <c r="A2013">
        <v>59</v>
      </c>
      <c r="B2013">
        <v>395000</v>
      </c>
      <c r="C2013" t="s">
        <v>45</v>
      </c>
      <c r="D2013" t="s">
        <v>39</v>
      </c>
      <c r="E2013">
        <v>0.43057600000000001</v>
      </c>
    </row>
    <row r="2014" spans="1:5" x14ac:dyDescent="0.3">
      <c r="A2014">
        <v>59</v>
      </c>
      <c r="B2014">
        <v>395000</v>
      </c>
      <c r="C2014" t="s">
        <v>45</v>
      </c>
      <c r="D2014" t="s">
        <v>40</v>
      </c>
      <c r="E2014">
        <v>0.67598800000000003</v>
      </c>
    </row>
    <row r="2015" spans="1:5" x14ac:dyDescent="0.3">
      <c r="A2015">
        <v>59</v>
      </c>
      <c r="B2015">
        <v>395000</v>
      </c>
      <c r="C2015" t="s">
        <v>45</v>
      </c>
      <c r="D2015" t="s">
        <v>41</v>
      </c>
      <c r="E2015">
        <v>0.23438000000000001</v>
      </c>
    </row>
    <row r="2016" spans="1:5" x14ac:dyDescent="0.3">
      <c r="A2016">
        <v>59</v>
      </c>
      <c r="B2016">
        <v>395000</v>
      </c>
      <c r="C2016" t="s">
        <v>45</v>
      </c>
      <c r="D2016" t="s">
        <v>42</v>
      </c>
      <c r="E2016">
        <v>0.124926</v>
      </c>
    </row>
    <row r="2017" spans="1:5" x14ac:dyDescent="0.3">
      <c r="A2017">
        <v>59</v>
      </c>
      <c r="B2017">
        <v>395000</v>
      </c>
      <c r="C2017" t="s">
        <v>45</v>
      </c>
      <c r="D2017" t="s">
        <v>43</v>
      </c>
      <c r="E2017">
        <v>3.8455999999999997E-2</v>
      </c>
    </row>
    <row r="2018" spans="1:5" x14ac:dyDescent="0.3">
      <c r="A2018">
        <v>60</v>
      </c>
      <c r="B2018">
        <v>400000</v>
      </c>
      <c r="C2018" t="s">
        <v>45</v>
      </c>
      <c r="D2018" t="s">
        <v>28</v>
      </c>
      <c r="E2018">
        <v>152135.46984599999</v>
      </c>
    </row>
    <row r="2019" spans="1:5" x14ac:dyDescent="0.3">
      <c r="A2019">
        <v>60</v>
      </c>
      <c r="B2019">
        <v>400000</v>
      </c>
      <c r="C2019" t="s">
        <v>45</v>
      </c>
      <c r="D2019" t="s">
        <v>29</v>
      </c>
      <c r="E2019">
        <v>65789.916490000003</v>
      </c>
    </row>
    <row r="2020" spans="1:5" x14ac:dyDescent="0.3">
      <c r="A2020">
        <v>60</v>
      </c>
      <c r="B2020">
        <v>400000</v>
      </c>
      <c r="C2020" t="s">
        <v>45</v>
      </c>
      <c r="D2020" t="s">
        <v>30</v>
      </c>
      <c r="E2020">
        <v>0.745201</v>
      </c>
    </row>
    <row r="2021" spans="1:5" x14ac:dyDescent="0.3">
      <c r="A2021">
        <v>60</v>
      </c>
      <c r="B2021">
        <v>400000</v>
      </c>
      <c r="C2021" t="s">
        <v>45</v>
      </c>
      <c r="D2021" t="s">
        <v>31</v>
      </c>
      <c r="E2021">
        <v>9.4862000000000002E-2</v>
      </c>
    </row>
    <row r="2022" spans="1:5" x14ac:dyDescent="0.3">
      <c r="A2022">
        <v>60</v>
      </c>
      <c r="B2022">
        <v>400000</v>
      </c>
      <c r="C2022" t="s">
        <v>45</v>
      </c>
      <c r="D2022" t="s">
        <v>32</v>
      </c>
      <c r="E2022">
        <v>9.4577999999999995E-2</v>
      </c>
    </row>
    <row r="2023" spans="1:5" x14ac:dyDescent="0.3">
      <c r="A2023">
        <v>60</v>
      </c>
      <c r="B2023">
        <v>400000</v>
      </c>
      <c r="C2023" t="s">
        <v>45</v>
      </c>
      <c r="D2023" t="s">
        <v>33</v>
      </c>
      <c r="E2023">
        <v>99387.379033999998</v>
      </c>
    </row>
    <row r="2024" spans="1:5" x14ac:dyDescent="0.3">
      <c r="A2024">
        <v>60</v>
      </c>
      <c r="B2024">
        <v>400000</v>
      </c>
      <c r="C2024" t="s">
        <v>45</v>
      </c>
      <c r="D2024" t="s">
        <v>34</v>
      </c>
      <c r="E2024">
        <v>8779.9752860000008</v>
      </c>
    </row>
    <row r="2025" spans="1:5" x14ac:dyDescent="0.3">
      <c r="A2025">
        <v>60</v>
      </c>
      <c r="B2025">
        <v>400000</v>
      </c>
      <c r="C2025" t="s">
        <v>45</v>
      </c>
      <c r="D2025" t="s">
        <v>35</v>
      </c>
      <c r="E2025">
        <v>22493.569041999999</v>
      </c>
    </row>
    <row r="2026" spans="1:5" x14ac:dyDescent="0.3">
      <c r="A2026">
        <v>60</v>
      </c>
      <c r="B2026">
        <v>400000</v>
      </c>
      <c r="C2026" t="s">
        <v>45</v>
      </c>
      <c r="D2026" t="s">
        <v>36</v>
      </c>
      <c r="E2026">
        <v>4.4622000000000002E-2</v>
      </c>
    </row>
    <row r="2027" spans="1:5" x14ac:dyDescent="0.3">
      <c r="A2027">
        <v>60</v>
      </c>
      <c r="B2027">
        <v>400000</v>
      </c>
      <c r="C2027" t="s">
        <v>45</v>
      </c>
      <c r="D2027" t="s">
        <v>37</v>
      </c>
      <c r="E2027">
        <v>51411.832145</v>
      </c>
    </row>
    <row r="2028" spans="1:5" x14ac:dyDescent="0.3">
      <c r="A2028">
        <v>60</v>
      </c>
      <c r="B2028">
        <v>400000</v>
      </c>
      <c r="C2028" t="s">
        <v>45</v>
      </c>
      <c r="D2028" t="s">
        <v>38</v>
      </c>
      <c r="E2028">
        <v>0.20594499999999999</v>
      </c>
    </row>
    <row r="2029" spans="1:5" x14ac:dyDescent="0.3">
      <c r="A2029">
        <v>60</v>
      </c>
      <c r="B2029">
        <v>400000</v>
      </c>
      <c r="C2029" t="s">
        <v>45</v>
      </c>
      <c r="D2029" t="s">
        <v>39</v>
      </c>
      <c r="E2029">
        <v>0.199599</v>
      </c>
    </row>
    <row r="2030" spans="1:5" x14ac:dyDescent="0.3">
      <c r="A2030">
        <v>60</v>
      </c>
      <c r="B2030">
        <v>400000</v>
      </c>
      <c r="C2030" t="s">
        <v>45</v>
      </c>
      <c r="D2030" t="s">
        <v>40</v>
      </c>
      <c r="E2030">
        <v>0.30058299999999999</v>
      </c>
    </row>
    <row r="2031" spans="1:5" x14ac:dyDescent="0.3">
      <c r="A2031">
        <v>60</v>
      </c>
      <c r="B2031">
        <v>400000</v>
      </c>
      <c r="C2031" t="s">
        <v>45</v>
      </c>
      <c r="D2031" t="s">
        <v>41</v>
      </c>
      <c r="E2031">
        <v>0.109388</v>
      </c>
    </row>
    <row r="2032" spans="1:5" x14ac:dyDescent="0.3">
      <c r="A2032">
        <v>60</v>
      </c>
      <c r="B2032">
        <v>400000</v>
      </c>
      <c r="C2032" t="s">
        <v>45</v>
      </c>
      <c r="D2032" t="s">
        <v>42</v>
      </c>
      <c r="E2032">
        <v>5.8625999999999998E-2</v>
      </c>
    </row>
    <row r="2033" spans="1:5" x14ac:dyDescent="0.3">
      <c r="A2033">
        <v>60</v>
      </c>
      <c r="B2033">
        <v>400000</v>
      </c>
      <c r="C2033" t="s">
        <v>45</v>
      </c>
      <c r="D2033" t="s">
        <v>43</v>
      </c>
      <c r="E2033">
        <v>1.8596999999999999E-2</v>
      </c>
    </row>
    <row r="2034" spans="1:5" x14ac:dyDescent="0.3">
      <c r="A2034">
        <v>61</v>
      </c>
      <c r="B2034">
        <v>405000</v>
      </c>
      <c r="C2034" t="s">
        <v>45</v>
      </c>
      <c r="D2034" t="s">
        <v>28</v>
      </c>
      <c r="E2034">
        <v>152284.13819100001</v>
      </c>
    </row>
    <row r="2035" spans="1:5" x14ac:dyDescent="0.3">
      <c r="A2035">
        <v>61</v>
      </c>
      <c r="B2035">
        <v>405000</v>
      </c>
      <c r="C2035" t="s">
        <v>45</v>
      </c>
      <c r="D2035" t="s">
        <v>29</v>
      </c>
      <c r="E2035">
        <v>74756.874647999997</v>
      </c>
    </row>
    <row r="2036" spans="1:5" x14ac:dyDescent="0.3">
      <c r="A2036">
        <v>61</v>
      </c>
      <c r="B2036">
        <v>405000</v>
      </c>
      <c r="C2036" t="s">
        <v>45</v>
      </c>
      <c r="D2036" t="s">
        <v>30</v>
      </c>
      <c r="E2036">
        <v>0.16042999999999999</v>
      </c>
    </row>
    <row r="2037" spans="1:5" x14ac:dyDescent="0.3">
      <c r="A2037">
        <v>61</v>
      </c>
      <c r="B2037">
        <v>405000</v>
      </c>
      <c r="C2037" t="s">
        <v>45</v>
      </c>
      <c r="D2037" t="s">
        <v>31</v>
      </c>
      <c r="E2037">
        <v>1.7215999999999999E-2</v>
      </c>
    </row>
    <row r="2038" spans="1:5" x14ac:dyDescent="0.3">
      <c r="A2038">
        <v>61</v>
      </c>
      <c r="B2038">
        <v>405000</v>
      </c>
      <c r="C2038" t="s">
        <v>45</v>
      </c>
      <c r="D2038" t="s">
        <v>32</v>
      </c>
      <c r="E2038">
        <v>1.7939E-2</v>
      </c>
    </row>
    <row r="2039" spans="1:5" x14ac:dyDescent="0.3">
      <c r="A2039">
        <v>61</v>
      </c>
      <c r="B2039">
        <v>405000</v>
      </c>
      <c r="C2039" t="s">
        <v>45</v>
      </c>
      <c r="D2039" t="s">
        <v>33</v>
      </c>
      <c r="E2039">
        <v>99387.557249000005</v>
      </c>
    </row>
    <row r="2040" spans="1:5" x14ac:dyDescent="0.3">
      <c r="A2040">
        <v>61</v>
      </c>
      <c r="B2040">
        <v>405000</v>
      </c>
      <c r="C2040" t="s">
        <v>45</v>
      </c>
      <c r="D2040" t="s">
        <v>34</v>
      </c>
      <c r="E2040">
        <v>9295.8842700000005</v>
      </c>
    </row>
    <row r="2041" spans="1:5" x14ac:dyDescent="0.3">
      <c r="A2041">
        <v>61</v>
      </c>
      <c r="B2041">
        <v>405000</v>
      </c>
      <c r="C2041" t="s">
        <v>45</v>
      </c>
      <c r="D2041" t="s">
        <v>35</v>
      </c>
      <c r="E2041">
        <v>18979.951546</v>
      </c>
    </row>
    <row r="2042" spans="1:5" x14ac:dyDescent="0.3">
      <c r="A2042">
        <v>61</v>
      </c>
      <c r="B2042">
        <v>405000</v>
      </c>
      <c r="C2042" t="s">
        <v>45</v>
      </c>
      <c r="D2042" t="s">
        <v>36</v>
      </c>
      <c r="E2042">
        <v>8.3379999999999999E-3</v>
      </c>
    </row>
    <row r="2043" spans="1:5" x14ac:dyDescent="0.3">
      <c r="A2043">
        <v>61</v>
      </c>
      <c r="B2043">
        <v>405000</v>
      </c>
      <c r="C2043" t="s">
        <v>45</v>
      </c>
      <c r="D2043" t="s">
        <v>37</v>
      </c>
      <c r="E2043">
        <v>50295.224333999999</v>
      </c>
    </row>
    <row r="2044" spans="1:5" x14ac:dyDescent="0.3">
      <c r="A2044">
        <v>61</v>
      </c>
      <c r="B2044">
        <v>405000</v>
      </c>
      <c r="C2044" t="s">
        <v>45</v>
      </c>
      <c r="D2044" t="s">
        <v>38</v>
      </c>
      <c r="E2044">
        <v>4.2391999999999999E-2</v>
      </c>
    </row>
    <row r="2045" spans="1:5" x14ac:dyDescent="0.3">
      <c r="A2045">
        <v>61</v>
      </c>
      <c r="B2045">
        <v>405000</v>
      </c>
      <c r="C2045" t="s">
        <v>45</v>
      </c>
      <c r="D2045" t="s">
        <v>39</v>
      </c>
      <c r="E2045">
        <v>3.5133999999999999E-2</v>
      </c>
    </row>
    <row r="2046" spans="1:5" x14ac:dyDescent="0.3">
      <c r="A2046">
        <v>61</v>
      </c>
      <c r="B2046">
        <v>405000</v>
      </c>
      <c r="C2046" t="s">
        <v>45</v>
      </c>
      <c r="D2046" t="s">
        <v>40</v>
      </c>
      <c r="E2046">
        <v>5.9891E-2</v>
      </c>
    </row>
    <row r="2047" spans="1:5" x14ac:dyDescent="0.3">
      <c r="A2047">
        <v>61</v>
      </c>
      <c r="B2047">
        <v>405000</v>
      </c>
      <c r="C2047" t="s">
        <v>45</v>
      </c>
      <c r="D2047" t="s">
        <v>41</v>
      </c>
      <c r="E2047">
        <v>2.0219999999999998E-2</v>
      </c>
    </row>
    <row r="2048" spans="1:5" x14ac:dyDescent="0.3">
      <c r="A2048">
        <v>61</v>
      </c>
      <c r="B2048">
        <v>405000</v>
      </c>
      <c r="C2048" t="s">
        <v>45</v>
      </c>
      <c r="D2048" t="s">
        <v>42</v>
      </c>
      <c r="E2048">
        <v>1.1004999999999999E-2</v>
      </c>
    </row>
    <row r="2049" spans="1:5" x14ac:dyDescent="0.3">
      <c r="A2049">
        <v>61</v>
      </c>
      <c r="B2049">
        <v>405000</v>
      </c>
      <c r="C2049" t="s">
        <v>45</v>
      </c>
      <c r="D2049" t="s">
        <v>43</v>
      </c>
      <c r="E2049">
        <v>3.5509999999999999E-3</v>
      </c>
    </row>
    <row r="2050" spans="1:5" x14ac:dyDescent="0.3">
      <c r="A2050">
        <v>62</v>
      </c>
      <c r="B2050">
        <v>410000</v>
      </c>
      <c r="C2050" t="s">
        <v>45</v>
      </c>
      <c r="D2050" t="s">
        <v>28</v>
      </c>
      <c r="E2050">
        <v>152432.57886499999</v>
      </c>
    </row>
    <row r="2051" spans="1:5" x14ac:dyDescent="0.3">
      <c r="A2051">
        <v>62</v>
      </c>
      <c r="B2051">
        <v>410000</v>
      </c>
      <c r="C2051" t="s">
        <v>45</v>
      </c>
      <c r="D2051" t="s">
        <v>29</v>
      </c>
      <c r="E2051">
        <v>83586.002630999996</v>
      </c>
    </row>
    <row r="2052" spans="1:5" x14ac:dyDescent="0.3">
      <c r="A2052">
        <v>62</v>
      </c>
      <c r="B2052">
        <v>410000</v>
      </c>
      <c r="C2052" t="s">
        <v>45</v>
      </c>
      <c r="D2052" t="s">
        <v>30</v>
      </c>
      <c r="E2052">
        <v>0.60975500000000005</v>
      </c>
    </row>
    <row r="2053" spans="1:5" x14ac:dyDescent="0.3">
      <c r="A2053">
        <v>62</v>
      </c>
      <c r="B2053">
        <v>410000</v>
      </c>
      <c r="C2053" t="s">
        <v>45</v>
      </c>
      <c r="D2053" t="s">
        <v>31</v>
      </c>
      <c r="E2053">
        <v>7.5050000000000006E-2</v>
      </c>
    </row>
    <row r="2054" spans="1:5" x14ac:dyDescent="0.3">
      <c r="A2054">
        <v>62</v>
      </c>
      <c r="B2054">
        <v>410000</v>
      </c>
      <c r="C2054" t="s">
        <v>45</v>
      </c>
      <c r="D2054" t="s">
        <v>32</v>
      </c>
      <c r="E2054">
        <v>7.7557000000000001E-2</v>
      </c>
    </row>
    <row r="2055" spans="1:5" x14ac:dyDescent="0.3">
      <c r="A2055">
        <v>62</v>
      </c>
      <c r="B2055">
        <v>410000</v>
      </c>
      <c r="C2055" t="s">
        <v>45</v>
      </c>
      <c r="D2055" t="s">
        <v>33</v>
      </c>
      <c r="E2055">
        <v>99387.384355000002</v>
      </c>
    </row>
    <row r="2056" spans="1:5" x14ac:dyDescent="0.3">
      <c r="A2056">
        <v>62</v>
      </c>
      <c r="B2056">
        <v>410000</v>
      </c>
      <c r="C2056" t="s">
        <v>45</v>
      </c>
      <c r="D2056" t="s">
        <v>34</v>
      </c>
      <c r="E2056">
        <v>9828.0217069999999</v>
      </c>
    </row>
    <row r="2057" spans="1:5" x14ac:dyDescent="0.3">
      <c r="A2057">
        <v>62</v>
      </c>
      <c r="B2057">
        <v>410000</v>
      </c>
      <c r="C2057" t="s">
        <v>45</v>
      </c>
      <c r="D2057" t="s">
        <v>35</v>
      </c>
      <c r="E2057">
        <v>15520.5592</v>
      </c>
    </row>
    <row r="2058" spans="1:5" x14ac:dyDescent="0.3">
      <c r="A2058">
        <v>62</v>
      </c>
      <c r="B2058">
        <v>410000</v>
      </c>
      <c r="C2058" t="s">
        <v>45</v>
      </c>
      <c r="D2058" t="s">
        <v>36</v>
      </c>
      <c r="E2058">
        <v>3.6486999999999999E-2</v>
      </c>
    </row>
    <row r="2059" spans="1:5" x14ac:dyDescent="0.3">
      <c r="A2059">
        <v>62</v>
      </c>
      <c r="B2059">
        <v>410000</v>
      </c>
      <c r="C2059" t="s">
        <v>45</v>
      </c>
      <c r="D2059" t="s">
        <v>37</v>
      </c>
      <c r="E2059">
        <v>49243.932586000003</v>
      </c>
    </row>
    <row r="2060" spans="1:5" x14ac:dyDescent="0.3">
      <c r="A2060">
        <v>62</v>
      </c>
      <c r="B2060">
        <v>410000</v>
      </c>
      <c r="C2060" t="s">
        <v>45</v>
      </c>
      <c r="D2060" t="s">
        <v>38</v>
      </c>
      <c r="E2060">
        <v>0.171792</v>
      </c>
    </row>
    <row r="2061" spans="1:5" x14ac:dyDescent="0.3">
      <c r="A2061">
        <v>62</v>
      </c>
      <c r="B2061">
        <v>410000</v>
      </c>
      <c r="C2061" t="s">
        <v>45</v>
      </c>
      <c r="D2061" t="s">
        <v>39</v>
      </c>
      <c r="E2061">
        <v>0.158077</v>
      </c>
    </row>
    <row r="2062" spans="1:5" x14ac:dyDescent="0.3">
      <c r="A2062">
        <v>62</v>
      </c>
      <c r="B2062">
        <v>410000</v>
      </c>
      <c r="C2062" t="s">
        <v>45</v>
      </c>
      <c r="D2062" t="s">
        <v>40</v>
      </c>
      <c r="E2062">
        <v>0.26564900000000002</v>
      </c>
    </row>
    <row r="2063" spans="1:5" x14ac:dyDescent="0.3">
      <c r="A2063">
        <v>62</v>
      </c>
      <c r="B2063">
        <v>410000</v>
      </c>
      <c r="C2063" t="s">
        <v>45</v>
      </c>
      <c r="D2063" t="s">
        <v>41</v>
      </c>
      <c r="E2063">
        <v>8.6774000000000004E-2</v>
      </c>
    </row>
    <row r="2064" spans="1:5" x14ac:dyDescent="0.3">
      <c r="A2064">
        <v>62</v>
      </c>
      <c r="B2064">
        <v>410000</v>
      </c>
      <c r="C2064" t="s">
        <v>45</v>
      </c>
      <c r="D2064" t="s">
        <v>42</v>
      </c>
      <c r="E2064">
        <v>4.7696000000000002E-2</v>
      </c>
    </row>
    <row r="2065" spans="1:5" x14ac:dyDescent="0.3">
      <c r="A2065">
        <v>62</v>
      </c>
      <c r="B2065">
        <v>410000</v>
      </c>
      <c r="C2065" t="s">
        <v>45</v>
      </c>
      <c r="D2065" t="s">
        <v>43</v>
      </c>
      <c r="E2065">
        <v>1.5226E-2</v>
      </c>
    </row>
    <row r="2066" spans="1:5" x14ac:dyDescent="0.3">
      <c r="A2066">
        <v>63</v>
      </c>
      <c r="B2066">
        <v>415000</v>
      </c>
      <c r="C2066" t="s">
        <v>45</v>
      </c>
      <c r="D2066" t="s">
        <v>28</v>
      </c>
      <c r="E2066">
        <v>152581.26933099999</v>
      </c>
    </row>
    <row r="2067" spans="1:5" x14ac:dyDescent="0.3">
      <c r="A2067">
        <v>63</v>
      </c>
      <c r="B2067">
        <v>415000</v>
      </c>
      <c r="C2067" t="s">
        <v>45</v>
      </c>
      <c r="D2067" t="s">
        <v>29</v>
      </c>
      <c r="E2067">
        <v>92415.688548999999</v>
      </c>
    </row>
    <row r="2068" spans="1:5" x14ac:dyDescent="0.3">
      <c r="A2068">
        <v>63</v>
      </c>
      <c r="B2068">
        <v>415000</v>
      </c>
      <c r="C2068" t="s">
        <v>45</v>
      </c>
      <c r="D2068" t="s">
        <v>30</v>
      </c>
      <c r="E2068">
        <v>1.4066860000000001</v>
      </c>
    </row>
    <row r="2069" spans="1:5" x14ac:dyDescent="0.3">
      <c r="A2069">
        <v>63</v>
      </c>
      <c r="B2069">
        <v>415000</v>
      </c>
      <c r="C2069" t="s">
        <v>45</v>
      </c>
      <c r="D2069" t="s">
        <v>31</v>
      </c>
      <c r="E2069">
        <v>0.16527700000000001</v>
      </c>
    </row>
    <row r="2070" spans="1:5" x14ac:dyDescent="0.3">
      <c r="A2070">
        <v>63</v>
      </c>
      <c r="B2070">
        <v>415000</v>
      </c>
      <c r="C2070" t="s">
        <v>45</v>
      </c>
      <c r="D2070" t="s">
        <v>32</v>
      </c>
      <c r="E2070">
        <v>0.17324100000000001</v>
      </c>
    </row>
    <row r="2071" spans="1:5" x14ac:dyDescent="0.3">
      <c r="A2071">
        <v>63</v>
      </c>
      <c r="B2071">
        <v>415000</v>
      </c>
      <c r="C2071" t="s">
        <v>45</v>
      </c>
      <c r="D2071" t="s">
        <v>33</v>
      </c>
      <c r="E2071">
        <v>99387.153518000006</v>
      </c>
    </row>
    <row r="2072" spans="1:5" x14ac:dyDescent="0.3">
      <c r="A2072">
        <v>63</v>
      </c>
      <c r="B2072">
        <v>415000</v>
      </c>
      <c r="C2072" t="s">
        <v>45</v>
      </c>
      <c r="D2072" t="s">
        <v>34</v>
      </c>
      <c r="E2072">
        <v>10365.032099</v>
      </c>
    </row>
    <row r="2073" spans="1:5" x14ac:dyDescent="0.3">
      <c r="A2073">
        <v>63</v>
      </c>
      <c r="B2073">
        <v>415000</v>
      </c>
      <c r="C2073" t="s">
        <v>45</v>
      </c>
      <c r="D2073" t="s">
        <v>35</v>
      </c>
      <c r="E2073">
        <v>12061.043467</v>
      </c>
    </row>
    <row r="2074" spans="1:5" x14ac:dyDescent="0.3">
      <c r="A2074">
        <v>63</v>
      </c>
      <c r="B2074">
        <v>415000</v>
      </c>
      <c r="C2074" t="s">
        <v>45</v>
      </c>
      <c r="D2074" t="s">
        <v>36</v>
      </c>
      <c r="E2074">
        <v>8.0710000000000004E-2</v>
      </c>
    </row>
    <row r="2075" spans="1:5" x14ac:dyDescent="0.3">
      <c r="A2075">
        <v>63</v>
      </c>
      <c r="B2075">
        <v>415000</v>
      </c>
      <c r="C2075" t="s">
        <v>45</v>
      </c>
      <c r="D2075" t="s">
        <v>37</v>
      </c>
      <c r="E2075">
        <v>48186.439270000003</v>
      </c>
    </row>
    <row r="2076" spans="1:5" x14ac:dyDescent="0.3">
      <c r="A2076">
        <v>63</v>
      </c>
      <c r="B2076">
        <v>415000</v>
      </c>
      <c r="C2076" t="s">
        <v>45</v>
      </c>
      <c r="D2076" t="s">
        <v>38</v>
      </c>
      <c r="E2076">
        <v>0.372197</v>
      </c>
    </row>
    <row r="2077" spans="1:5" x14ac:dyDescent="0.3">
      <c r="A2077">
        <v>63</v>
      </c>
      <c r="B2077">
        <v>415000</v>
      </c>
      <c r="C2077" t="s">
        <v>45</v>
      </c>
      <c r="D2077" t="s">
        <v>39</v>
      </c>
      <c r="E2077">
        <v>0.34571200000000002</v>
      </c>
    </row>
    <row r="2078" spans="1:5" x14ac:dyDescent="0.3">
      <c r="A2078">
        <v>63</v>
      </c>
      <c r="B2078">
        <v>415000</v>
      </c>
      <c r="C2078" t="s">
        <v>45</v>
      </c>
      <c r="D2078" t="s">
        <v>40</v>
      </c>
      <c r="E2078">
        <v>0.58062999999999998</v>
      </c>
    </row>
    <row r="2079" spans="1:5" x14ac:dyDescent="0.3">
      <c r="A2079">
        <v>63</v>
      </c>
      <c r="B2079">
        <v>415000</v>
      </c>
      <c r="C2079" t="s">
        <v>45</v>
      </c>
      <c r="D2079" t="s">
        <v>41</v>
      </c>
      <c r="E2079">
        <v>0.19097700000000001</v>
      </c>
    </row>
    <row r="2080" spans="1:5" x14ac:dyDescent="0.3">
      <c r="A2080">
        <v>63</v>
      </c>
      <c r="B2080">
        <v>415000</v>
      </c>
      <c r="C2080" t="s">
        <v>45</v>
      </c>
      <c r="D2080" t="s">
        <v>42</v>
      </c>
      <c r="E2080">
        <v>0.10564900000000001</v>
      </c>
    </row>
    <row r="2081" spans="1:5" x14ac:dyDescent="0.3">
      <c r="A2081">
        <v>63</v>
      </c>
      <c r="B2081">
        <v>415000</v>
      </c>
      <c r="C2081" t="s">
        <v>45</v>
      </c>
      <c r="D2081" t="s">
        <v>43</v>
      </c>
      <c r="E2081">
        <v>3.3922000000000001E-2</v>
      </c>
    </row>
    <row r="2082" spans="1:5" x14ac:dyDescent="0.3">
      <c r="A2082">
        <v>64</v>
      </c>
      <c r="B2082">
        <v>420000</v>
      </c>
      <c r="C2082" t="s">
        <v>45</v>
      </c>
      <c r="D2082" t="s">
        <v>28</v>
      </c>
      <c r="E2082">
        <v>152729.53933</v>
      </c>
    </row>
    <row r="2083" spans="1:5" x14ac:dyDescent="0.3">
      <c r="A2083">
        <v>64</v>
      </c>
      <c r="B2083">
        <v>420000</v>
      </c>
      <c r="C2083" t="s">
        <v>45</v>
      </c>
      <c r="D2083" t="s">
        <v>29</v>
      </c>
      <c r="E2083">
        <v>101164.00857000001</v>
      </c>
    </row>
    <row r="2084" spans="1:5" x14ac:dyDescent="0.3">
      <c r="A2084">
        <v>64</v>
      </c>
      <c r="B2084">
        <v>420000</v>
      </c>
      <c r="C2084" t="s">
        <v>45</v>
      </c>
      <c r="D2084" t="s">
        <v>30</v>
      </c>
      <c r="E2084">
        <v>2.9475660000000001</v>
      </c>
    </row>
    <row r="2085" spans="1:5" x14ac:dyDescent="0.3">
      <c r="A2085">
        <v>64</v>
      </c>
      <c r="B2085">
        <v>420000</v>
      </c>
      <c r="C2085" t="s">
        <v>45</v>
      </c>
      <c r="D2085" t="s">
        <v>31</v>
      </c>
      <c r="E2085">
        <v>0.32238600000000001</v>
      </c>
    </row>
    <row r="2086" spans="1:5" x14ac:dyDescent="0.3">
      <c r="A2086">
        <v>64</v>
      </c>
      <c r="B2086">
        <v>420000</v>
      </c>
      <c r="C2086" t="s">
        <v>45</v>
      </c>
      <c r="D2086" t="s">
        <v>32</v>
      </c>
      <c r="E2086">
        <v>0.32867800000000003</v>
      </c>
    </row>
    <row r="2087" spans="1:5" x14ac:dyDescent="0.3">
      <c r="A2087">
        <v>64</v>
      </c>
      <c r="B2087">
        <v>420000</v>
      </c>
      <c r="C2087" t="s">
        <v>45</v>
      </c>
      <c r="D2087" t="s">
        <v>33</v>
      </c>
      <c r="E2087">
        <v>99386.845772000001</v>
      </c>
    </row>
    <row r="2088" spans="1:5" x14ac:dyDescent="0.3">
      <c r="A2088">
        <v>64</v>
      </c>
      <c r="B2088">
        <v>420000</v>
      </c>
      <c r="C2088" t="s">
        <v>45</v>
      </c>
      <c r="D2088" t="s">
        <v>34</v>
      </c>
      <c r="E2088">
        <v>10900.007325</v>
      </c>
    </row>
    <row r="2089" spans="1:5" x14ac:dyDescent="0.3">
      <c r="A2089">
        <v>64</v>
      </c>
      <c r="B2089">
        <v>420000</v>
      </c>
      <c r="C2089" t="s">
        <v>45</v>
      </c>
      <c r="D2089" t="s">
        <v>35</v>
      </c>
      <c r="E2089">
        <v>8633.4995830000007</v>
      </c>
    </row>
    <row r="2090" spans="1:5" x14ac:dyDescent="0.3">
      <c r="A2090">
        <v>64</v>
      </c>
      <c r="B2090">
        <v>420000</v>
      </c>
      <c r="C2090" t="s">
        <v>45</v>
      </c>
      <c r="D2090" t="s">
        <v>36</v>
      </c>
      <c r="E2090">
        <v>0.14729900000000001</v>
      </c>
    </row>
    <row r="2091" spans="1:5" x14ac:dyDescent="0.3">
      <c r="A2091">
        <v>64</v>
      </c>
      <c r="B2091">
        <v>420000</v>
      </c>
      <c r="C2091" t="s">
        <v>45</v>
      </c>
      <c r="D2091" t="s">
        <v>37</v>
      </c>
      <c r="E2091">
        <v>47179.448066999998</v>
      </c>
    </row>
    <row r="2092" spans="1:5" x14ac:dyDescent="0.3">
      <c r="A2092">
        <v>64</v>
      </c>
      <c r="B2092">
        <v>420000</v>
      </c>
      <c r="C2092" t="s">
        <v>45</v>
      </c>
      <c r="D2092" t="s">
        <v>38</v>
      </c>
      <c r="E2092">
        <v>0.68862599999999996</v>
      </c>
    </row>
    <row r="2093" spans="1:5" x14ac:dyDescent="0.3">
      <c r="A2093">
        <v>64</v>
      </c>
      <c r="B2093">
        <v>420000</v>
      </c>
      <c r="C2093" t="s">
        <v>45</v>
      </c>
      <c r="D2093" t="s">
        <v>39</v>
      </c>
      <c r="E2093">
        <v>0.64507400000000004</v>
      </c>
    </row>
    <row r="2094" spans="1:5" x14ac:dyDescent="0.3">
      <c r="A2094">
        <v>64</v>
      </c>
      <c r="B2094">
        <v>420000</v>
      </c>
      <c r="C2094" t="s">
        <v>45</v>
      </c>
      <c r="D2094" t="s">
        <v>40</v>
      </c>
      <c r="E2094">
        <v>1.074476</v>
      </c>
    </row>
    <row r="2095" spans="1:5" x14ac:dyDescent="0.3">
      <c r="A2095">
        <v>64</v>
      </c>
      <c r="B2095">
        <v>420000</v>
      </c>
      <c r="C2095" t="s">
        <v>45</v>
      </c>
      <c r="D2095" t="s">
        <v>41</v>
      </c>
      <c r="E2095">
        <v>0.35004999999999997</v>
      </c>
    </row>
    <row r="2096" spans="1:5" x14ac:dyDescent="0.3">
      <c r="A2096">
        <v>64</v>
      </c>
      <c r="B2096">
        <v>420000</v>
      </c>
      <c r="C2096" t="s">
        <v>45</v>
      </c>
      <c r="D2096" t="s">
        <v>42</v>
      </c>
      <c r="E2096">
        <v>0.194716</v>
      </c>
    </row>
    <row r="2097" spans="1:5" x14ac:dyDescent="0.3">
      <c r="A2097">
        <v>64</v>
      </c>
      <c r="B2097">
        <v>420000</v>
      </c>
      <c r="C2097" t="s">
        <v>45</v>
      </c>
      <c r="D2097" t="s">
        <v>43</v>
      </c>
      <c r="E2097">
        <v>6.1445E-2</v>
      </c>
    </row>
    <row r="2098" spans="1:5" x14ac:dyDescent="0.3">
      <c r="A2098">
        <v>65</v>
      </c>
      <c r="B2098">
        <v>425000</v>
      </c>
      <c r="C2098" t="s">
        <v>45</v>
      </c>
      <c r="D2098" t="s">
        <v>28</v>
      </c>
      <c r="E2098">
        <v>152873.162687</v>
      </c>
    </row>
    <row r="2099" spans="1:5" x14ac:dyDescent="0.3">
      <c r="A2099">
        <v>65</v>
      </c>
      <c r="B2099">
        <v>425000</v>
      </c>
      <c r="C2099" t="s">
        <v>45</v>
      </c>
      <c r="D2099" t="s">
        <v>29</v>
      </c>
      <c r="E2099">
        <v>106409.799206</v>
      </c>
    </row>
    <row r="2100" spans="1:5" x14ac:dyDescent="0.3">
      <c r="A2100">
        <v>65</v>
      </c>
      <c r="B2100">
        <v>425000</v>
      </c>
      <c r="C2100" t="s">
        <v>45</v>
      </c>
      <c r="D2100" t="s">
        <v>30</v>
      </c>
      <c r="E2100">
        <v>2.6535319999999998</v>
      </c>
    </row>
    <row r="2101" spans="1:5" x14ac:dyDescent="0.3">
      <c r="A2101">
        <v>65</v>
      </c>
      <c r="B2101">
        <v>425000</v>
      </c>
      <c r="C2101" t="s">
        <v>45</v>
      </c>
      <c r="D2101" t="s">
        <v>31</v>
      </c>
      <c r="E2101">
        <v>0.27856900000000001</v>
      </c>
    </row>
    <row r="2102" spans="1:5" x14ac:dyDescent="0.3">
      <c r="A2102">
        <v>65</v>
      </c>
      <c r="B2102">
        <v>425000</v>
      </c>
      <c r="C2102" t="s">
        <v>45</v>
      </c>
      <c r="D2102" t="s">
        <v>32</v>
      </c>
      <c r="E2102">
        <v>0.27790999999999999</v>
      </c>
    </row>
    <row r="2103" spans="1:5" x14ac:dyDescent="0.3">
      <c r="A2103">
        <v>65</v>
      </c>
      <c r="B2103">
        <v>425000</v>
      </c>
      <c r="C2103" t="s">
        <v>45</v>
      </c>
      <c r="D2103" t="s">
        <v>33</v>
      </c>
      <c r="E2103">
        <v>99387.035145999995</v>
      </c>
    </row>
    <row r="2104" spans="1:5" x14ac:dyDescent="0.3">
      <c r="A2104">
        <v>65</v>
      </c>
      <c r="B2104">
        <v>425000</v>
      </c>
      <c r="C2104" t="s">
        <v>45</v>
      </c>
      <c r="D2104" t="s">
        <v>34</v>
      </c>
      <c r="E2104">
        <v>11510.712041000001</v>
      </c>
    </row>
    <row r="2105" spans="1:5" x14ac:dyDescent="0.3">
      <c r="A2105">
        <v>65</v>
      </c>
      <c r="B2105">
        <v>425000</v>
      </c>
      <c r="C2105" t="s">
        <v>45</v>
      </c>
      <c r="D2105" t="s">
        <v>35</v>
      </c>
      <c r="E2105">
        <v>6577.8703409999998</v>
      </c>
    </row>
    <row r="2106" spans="1:5" x14ac:dyDescent="0.3">
      <c r="A2106">
        <v>65</v>
      </c>
      <c r="B2106">
        <v>425000</v>
      </c>
      <c r="C2106" t="s">
        <v>45</v>
      </c>
      <c r="D2106" t="s">
        <v>36</v>
      </c>
      <c r="E2106">
        <v>0.13030600000000001</v>
      </c>
    </row>
    <row r="2107" spans="1:5" x14ac:dyDescent="0.3">
      <c r="A2107">
        <v>65</v>
      </c>
      <c r="B2107">
        <v>425000</v>
      </c>
      <c r="C2107" t="s">
        <v>45</v>
      </c>
      <c r="D2107" t="s">
        <v>37</v>
      </c>
      <c r="E2107">
        <v>48235.497512000002</v>
      </c>
    </row>
    <row r="2108" spans="1:5" x14ac:dyDescent="0.3">
      <c r="A2108">
        <v>65</v>
      </c>
      <c r="B2108">
        <v>425000</v>
      </c>
      <c r="C2108" t="s">
        <v>45</v>
      </c>
      <c r="D2108" t="s">
        <v>38</v>
      </c>
      <c r="E2108">
        <v>0.59625499999999998</v>
      </c>
    </row>
    <row r="2109" spans="1:5" x14ac:dyDescent="0.3">
      <c r="A2109">
        <v>65</v>
      </c>
      <c r="B2109">
        <v>425000</v>
      </c>
      <c r="C2109" t="s">
        <v>45</v>
      </c>
      <c r="D2109" t="s">
        <v>39</v>
      </c>
      <c r="E2109">
        <v>0.57398000000000005</v>
      </c>
    </row>
    <row r="2110" spans="1:5" x14ac:dyDescent="0.3">
      <c r="A2110">
        <v>65</v>
      </c>
      <c r="B2110">
        <v>425000</v>
      </c>
      <c r="C2110" t="s">
        <v>45</v>
      </c>
      <c r="D2110" t="s">
        <v>40</v>
      </c>
      <c r="E2110">
        <v>0.90951300000000002</v>
      </c>
    </row>
    <row r="2111" spans="1:5" x14ac:dyDescent="0.3">
      <c r="A2111">
        <v>65</v>
      </c>
      <c r="B2111">
        <v>425000</v>
      </c>
      <c r="C2111" t="s">
        <v>45</v>
      </c>
      <c r="D2111" t="s">
        <v>41</v>
      </c>
      <c r="E2111">
        <v>0.31921100000000002</v>
      </c>
    </row>
    <row r="2112" spans="1:5" x14ac:dyDescent="0.3">
      <c r="A2112">
        <v>65</v>
      </c>
      <c r="B2112">
        <v>425000</v>
      </c>
      <c r="C2112" t="s">
        <v>45</v>
      </c>
      <c r="D2112" t="s">
        <v>42</v>
      </c>
      <c r="E2112">
        <v>0.17166999999999999</v>
      </c>
    </row>
    <row r="2113" spans="1:5" x14ac:dyDescent="0.3">
      <c r="A2113">
        <v>65</v>
      </c>
      <c r="B2113">
        <v>425000</v>
      </c>
      <c r="C2113" t="s">
        <v>45</v>
      </c>
      <c r="D2113" t="s">
        <v>43</v>
      </c>
      <c r="E2113">
        <v>5.2255000000000003E-2</v>
      </c>
    </row>
    <row r="2114" spans="1:5" x14ac:dyDescent="0.3">
      <c r="A2114">
        <v>66</v>
      </c>
      <c r="B2114">
        <v>430000</v>
      </c>
      <c r="C2114" t="s">
        <v>45</v>
      </c>
      <c r="D2114" t="s">
        <v>28</v>
      </c>
      <c r="E2114">
        <v>153017.33751099999</v>
      </c>
    </row>
    <row r="2115" spans="1:5" x14ac:dyDescent="0.3">
      <c r="A2115">
        <v>66</v>
      </c>
      <c r="B2115">
        <v>430000</v>
      </c>
      <c r="C2115" t="s">
        <v>45</v>
      </c>
      <c r="D2115" t="s">
        <v>29</v>
      </c>
      <c r="E2115">
        <v>106417.789792</v>
      </c>
    </row>
    <row r="2116" spans="1:5" x14ac:dyDescent="0.3">
      <c r="A2116">
        <v>66</v>
      </c>
      <c r="B2116">
        <v>430000</v>
      </c>
      <c r="C2116" t="s">
        <v>45</v>
      </c>
      <c r="D2116" t="s">
        <v>30</v>
      </c>
      <c r="E2116">
        <v>0.25533299999999998</v>
      </c>
    </row>
    <row r="2117" spans="1:5" x14ac:dyDescent="0.3">
      <c r="A2117">
        <v>66</v>
      </c>
      <c r="B2117">
        <v>430000</v>
      </c>
      <c r="C2117" t="s">
        <v>45</v>
      </c>
      <c r="D2117" t="s">
        <v>31</v>
      </c>
      <c r="E2117">
        <v>2.3737999999999999E-2</v>
      </c>
    </row>
    <row r="2118" spans="1:5" x14ac:dyDescent="0.3">
      <c r="A2118">
        <v>66</v>
      </c>
      <c r="B2118">
        <v>430000</v>
      </c>
      <c r="C2118" t="s">
        <v>45</v>
      </c>
      <c r="D2118" t="s">
        <v>32</v>
      </c>
      <c r="E2118">
        <v>2.3401999999999999E-2</v>
      </c>
    </row>
    <row r="2119" spans="1:5" x14ac:dyDescent="0.3">
      <c r="A2119">
        <v>66</v>
      </c>
      <c r="B2119">
        <v>430000</v>
      </c>
      <c r="C2119" t="s">
        <v>45</v>
      </c>
      <c r="D2119" t="s">
        <v>33</v>
      </c>
      <c r="E2119">
        <v>99387.559565000003</v>
      </c>
    </row>
    <row r="2120" spans="1:5" x14ac:dyDescent="0.3">
      <c r="A2120">
        <v>66</v>
      </c>
      <c r="B2120">
        <v>430000</v>
      </c>
      <c r="C2120" t="s">
        <v>45</v>
      </c>
      <c r="D2120" t="s">
        <v>34</v>
      </c>
      <c r="E2120">
        <v>12128.101349</v>
      </c>
    </row>
    <row r="2121" spans="1:5" x14ac:dyDescent="0.3">
      <c r="A2121">
        <v>66</v>
      </c>
      <c r="B2121">
        <v>430000</v>
      </c>
      <c r="C2121" t="s">
        <v>45</v>
      </c>
      <c r="D2121" t="s">
        <v>35</v>
      </c>
      <c r="E2121">
        <v>6574.3591610000003</v>
      </c>
    </row>
    <row r="2122" spans="1:5" x14ac:dyDescent="0.3">
      <c r="A2122">
        <v>66</v>
      </c>
      <c r="B2122">
        <v>430000</v>
      </c>
      <c r="C2122" t="s">
        <v>45</v>
      </c>
      <c r="D2122" t="s">
        <v>36</v>
      </c>
      <c r="E2122">
        <v>1.0602E-2</v>
      </c>
    </row>
    <row r="2123" spans="1:5" x14ac:dyDescent="0.3">
      <c r="A2123">
        <v>66</v>
      </c>
      <c r="B2123">
        <v>430000</v>
      </c>
      <c r="C2123" t="s">
        <v>45</v>
      </c>
      <c r="D2123" t="s">
        <v>37</v>
      </c>
      <c r="E2123">
        <v>52474.321567999999</v>
      </c>
    </row>
    <row r="2124" spans="1:5" x14ac:dyDescent="0.3">
      <c r="A2124">
        <v>66</v>
      </c>
      <c r="B2124">
        <v>430000</v>
      </c>
      <c r="C2124" t="s">
        <v>45</v>
      </c>
      <c r="D2124" t="s">
        <v>38</v>
      </c>
      <c r="E2124">
        <v>5.1135E-2</v>
      </c>
    </row>
    <row r="2125" spans="1:5" x14ac:dyDescent="0.3">
      <c r="A2125">
        <v>66</v>
      </c>
      <c r="B2125">
        <v>430000</v>
      </c>
      <c r="C2125" t="s">
        <v>45</v>
      </c>
      <c r="D2125" t="s">
        <v>39</v>
      </c>
      <c r="E2125">
        <v>4.8641999999999998E-2</v>
      </c>
    </row>
    <row r="2126" spans="1:5" x14ac:dyDescent="0.3">
      <c r="A2126">
        <v>66</v>
      </c>
      <c r="B2126">
        <v>430000</v>
      </c>
      <c r="C2126" t="s">
        <v>45</v>
      </c>
      <c r="D2126" t="s">
        <v>40</v>
      </c>
      <c r="E2126">
        <v>7.5381000000000004E-2</v>
      </c>
    </row>
    <row r="2127" spans="1:5" x14ac:dyDescent="0.3">
      <c r="A2127">
        <v>66</v>
      </c>
      <c r="B2127">
        <v>430000</v>
      </c>
      <c r="C2127" t="s">
        <v>45</v>
      </c>
      <c r="D2127" t="s">
        <v>41</v>
      </c>
      <c r="E2127">
        <v>2.6765000000000001E-2</v>
      </c>
    </row>
    <row r="2128" spans="1:5" x14ac:dyDescent="0.3">
      <c r="A2128">
        <v>66</v>
      </c>
      <c r="B2128">
        <v>430000</v>
      </c>
      <c r="C2128" t="s">
        <v>45</v>
      </c>
      <c r="D2128" t="s">
        <v>42</v>
      </c>
      <c r="E2128">
        <v>1.4033E-2</v>
      </c>
    </row>
    <row r="2129" spans="1:5" x14ac:dyDescent="0.3">
      <c r="A2129">
        <v>66</v>
      </c>
      <c r="B2129">
        <v>430000</v>
      </c>
      <c r="C2129" t="s">
        <v>45</v>
      </c>
      <c r="D2129" t="s">
        <v>43</v>
      </c>
      <c r="E2129">
        <v>4.3229999999999996E-3</v>
      </c>
    </row>
    <row r="2130" spans="1:5" x14ac:dyDescent="0.3">
      <c r="A2130">
        <v>67</v>
      </c>
      <c r="B2130">
        <v>435000</v>
      </c>
      <c r="C2130" t="s">
        <v>45</v>
      </c>
      <c r="D2130" t="s">
        <v>28</v>
      </c>
      <c r="E2130">
        <v>153163.03995000001</v>
      </c>
    </row>
    <row r="2131" spans="1:5" x14ac:dyDescent="0.3">
      <c r="A2131">
        <v>67</v>
      </c>
      <c r="B2131">
        <v>435000</v>
      </c>
      <c r="C2131" t="s">
        <v>45</v>
      </c>
      <c r="D2131" t="s">
        <v>29</v>
      </c>
      <c r="E2131">
        <v>106417.38140699999</v>
      </c>
    </row>
    <row r="2132" spans="1:5" x14ac:dyDescent="0.3">
      <c r="A2132">
        <v>67</v>
      </c>
      <c r="B2132">
        <v>435000</v>
      </c>
      <c r="C2132" t="s">
        <v>45</v>
      </c>
      <c r="D2132" t="s">
        <v>30</v>
      </c>
      <c r="E2132">
        <v>0.61993299999999996</v>
      </c>
    </row>
    <row r="2133" spans="1:5" x14ac:dyDescent="0.3">
      <c r="A2133">
        <v>67</v>
      </c>
      <c r="B2133">
        <v>435000</v>
      </c>
      <c r="C2133" t="s">
        <v>45</v>
      </c>
      <c r="D2133" t="s">
        <v>31</v>
      </c>
      <c r="E2133">
        <v>5.8410999999999998E-2</v>
      </c>
    </row>
    <row r="2134" spans="1:5" x14ac:dyDescent="0.3">
      <c r="A2134">
        <v>67</v>
      </c>
      <c r="B2134">
        <v>435000</v>
      </c>
      <c r="C2134" t="s">
        <v>45</v>
      </c>
      <c r="D2134" t="s">
        <v>32</v>
      </c>
      <c r="E2134">
        <v>5.7931000000000003E-2</v>
      </c>
    </row>
    <row r="2135" spans="1:5" x14ac:dyDescent="0.3">
      <c r="A2135">
        <v>67</v>
      </c>
      <c r="B2135">
        <v>435000</v>
      </c>
      <c r="C2135" t="s">
        <v>45</v>
      </c>
      <c r="D2135" t="s">
        <v>33</v>
      </c>
      <c r="E2135">
        <v>99387.467869</v>
      </c>
    </row>
    <row r="2136" spans="1:5" x14ac:dyDescent="0.3">
      <c r="A2136">
        <v>67</v>
      </c>
      <c r="B2136">
        <v>435000</v>
      </c>
      <c r="C2136" t="s">
        <v>45</v>
      </c>
      <c r="D2136" t="s">
        <v>34</v>
      </c>
      <c r="E2136">
        <v>12753.517011</v>
      </c>
    </row>
    <row r="2137" spans="1:5" x14ac:dyDescent="0.3">
      <c r="A2137">
        <v>67</v>
      </c>
      <c r="B2137">
        <v>435000</v>
      </c>
      <c r="C2137" t="s">
        <v>45</v>
      </c>
      <c r="D2137" t="s">
        <v>35</v>
      </c>
      <c r="E2137">
        <v>6574.5754280000001</v>
      </c>
    </row>
    <row r="2138" spans="1:5" x14ac:dyDescent="0.3">
      <c r="A2138">
        <v>67</v>
      </c>
      <c r="B2138">
        <v>435000</v>
      </c>
      <c r="C2138" t="s">
        <v>45</v>
      </c>
      <c r="D2138" t="s">
        <v>36</v>
      </c>
      <c r="E2138">
        <v>2.6797000000000001E-2</v>
      </c>
    </row>
    <row r="2139" spans="1:5" x14ac:dyDescent="0.3">
      <c r="A2139">
        <v>67</v>
      </c>
      <c r="B2139">
        <v>435000</v>
      </c>
      <c r="C2139" t="s">
        <v>45</v>
      </c>
      <c r="D2139" t="s">
        <v>37</v>
      </c>
      <c r="E2139">
        <v>56702.728564999998</v>
      </c>
    </row>
    <row r="2140" spans="1:5" x14ac:dyDescent="0.3">
      <c r="A2140">
        <v>67</v>
      </c>
      <c r="B2140">
        <v>435000</v>
      </c>
      <c r="C2140" t="s">
        <v>45</v>
      </c>
      <c r="D2140" t="s">
        <v>38</v>
      </c>
      <c r="E2140">
        <v>0.12309100000000001</v>
      </c>
    </row>
    <row r="2141" spans="1:5" x14ac:dyDescent="0.3">
      <c r="A2141">
        <v>67</v>
      </c>
      <c r="B2141">
        <v>435000</v>
      </c>
      <c r="C2141" t="s">
        <v>45</v>
      </c>
      <c r="D2141" t="s">
        <v>39</v>
      </c>
      <c r="E2141">
        <v>0.117712</v>
      </c>
    </row>
    <row r="2142" spans="1:5" x14ac:dyDescent="0.3">
      <c r="A2142">
        <v>67</v>
      </c>
      <c r="B2142">
        <v>435000</v>
      </c>
      <c r="C2142" t="s">
        <v>45</v>
      </c>
      <c r="D2142" t="s">
        <v>40</v>
      </c>
      <c r="E2142">
        <v>0.191362</v>
      </c>
    </row>
    <row r="2143" spans="1:5" x14ac:dyDescent="0.3">
      <c r="A2143">
        <v>67</v>
      </c>
      <c r="B2143">
        <v>435000</v>
      </c>
      <c r="C2143" t="s">
        <v>45</v>
      </c>
      <c r="D2143" t="s">
        <v>41</v>
      </c>
      <c r="E2143">
        <v>6.4769999999999994E-2</v>
      </c>
    </row>
    <row r="2144" spans="1:5" x14ac:dyDescent="0.3">
      <c r="A2144">
        <v>67</v>
      </c>
      <c r="B2144">
        <v>435000</v>
      </c>
      <c r="C2144" t="s">
        <v>45</v>
      </c>
      <c r="D2144" t="s">
        <v>42</v>
      </c>
      <c r="E2144">
        <v>3.4821999999999999E-2</v>
      </c>
    </row>
    <row r="2145" spans="1:5" x14ac:dyDescent="0.3">
      <c r="A2145">
        <v>67</v>
      </c>
      <c r="B2145">
        <v>435000</v>
      </c>
      <c r="C2145" t="s">
        <v>45</v>
      </c>
      <c r="D2145" t="s">
        <v>43</v>
      </c>
      <c r="E2145">
        <v>1.0746E-2</v>
      </c>
    </row>
    <row r="2146" spans="1:5" x14ac:dyDescent="0.3">
      <c r="A2146">
        <v>68</v>
      </c>
      <c r="B2146">
        <v>440000</v>
      </c>
      <c r="C2146" t="s">
        <v>45</v>
      </c>
      <c r="D2146" t="s">
        <v>28</v>
      </c>
      <c r="E2146">
        <v>153310.22551600001</v>
      </c>
    </row>
    <row r="2147" spans="1:5" x14ac:dyDescent="0.3">
      <c r="A2147">
        <v>68</v>
      </c>
      <c r="B2147">
        <v>440000</v>
      </c>
      <c r="C2147" t="s">
        <v>45</v>
      </c>
      <c r="D2147" t="s">
        <v>29</v>
      </c>
      <c r="E2147">
        <v>106416.409627</v>
      </c>
    </row>
    <row r="2148" spans="1:5" x14ac:dyDescent="0.3">
      <c r="A2148">
        <v>68</v>
      </c>
      <c r="B2148">
        <v>440000</v>
      </c>
      <c r="C2148" t="s">
        <v>45</v>
      </c>
      <c r="D2148" t="s">
        <v>30</v>
      </c>
      <c r="E2148">
        <v>3.5208379999999999</v>
      </c>
    </row>
    <row r="2149" spans="1:5" x14ac:dyDescent="0.3">
      <c r="A2149">
        <v>68</v>
      </c>
      <c r="B2149">
        <v>440000</v>
      </c>
      <c r="C2149" t="s">
        <v>45</v>
      </c>
      <c r="D2149" t="s">
        <v>31</v>
      </c>
      <c r="E2149">
        <v>0.20294300000000001</v>
      </c>
    </row>
    <row r="2150" spans="1:5" x14ac:dyDescent="0.3">
      <c r="A2150">
        <v>68</v>
      </c>
      <c r="B2150">
        <v>440000</v>
      </c>
      <c r="C2150" t="s">
        <v>45</v>
      </c>
      <c r="D2150" t="s">
        <v>32</v>
      </c>
      <c r="E2150">
        <v>0.19977600000000001</v>
      </c>
    </row>
    <row r="2151" spans="1:5" x14ac:dyDescent="0.3">
      <c r="A2151">
        <v>68</v>
      </c>
      <c r="B2151">
        <v>440000</v>
      </c>
      <c r="C2151" t="s">
        <v>45</v>
      </c>
      <c r="D2151" t="s">
        <v>33</v>
      </c>
      <c r="E2151">
        <v>99387.277189</v>
      </c>
    </row>
    <row r="2152" spans="1:5" x14ac:dyDescent="0.3">
      <c r="A2152">
        <v>68</v>
      </c>
      <c r="B2152">
        <v>440000</v>
      </c>
      <c r="C2152" t="s">
        <v>45</v>
      </c>
      <c r="D2152" t="s">
        <v>34</v>
      </c>
      <c r="E2152">
        <v>13383.342546</v>
      </c>
    </row>
    <row r="2153" spans="1:5" x14ac:dyDescent="0.3">
      <c r="A2153">
        <v>68</v>
      </c>
      <c r="B2153">
        <v>440000</v>
      </c>
      <c r="C2153" t="s">
        <v>45</v>
      </c>
      <c r="D2153" t="s">
        <v>35</v>
      </c>
      <c r="E2153">
        <v>6575.1913430000004</v>
      </c>
    </row>
    <row r="2154" spans="1:5" x14ac:dyDescent="0.3">
      <c r="A2154">
        <v>68</v>
      </c>
      <c r="B2154">
        <v>440000</v>
      </c>
      <c r="C2154" t="s">
        <v>45</v>
      </c>
      <c r="D2154" t="s">
        <v>36</v>
      </c>
      <c r="E2154">
        <v>8.5546999999999998E-2</v>
      </c>
    </row>
    <row r="2155" spans="1:5" x14ac:dyDescent="0.3">
      <c r="A2155">
        <v>68</v>
      </c>
      <c r="B2155">
        <v>440000</v>
      </c>
      <c r="C2155" t="s">
        <v>45</v>
      </c>
      <c r="D2155" t="s">
        <v>37</v>
      </c>
      <c r="E2155">
        <v>60921.802445000001</v>
      </c>
    </row>
    <row r="2156" spans="1:5" x14ac:dyDescent="0.3">
      <c r="A2156">
        <v>68</v>
      </c>
      <c r="B2156">
        <v>440000</v>
      </c>
      <c r="C2156" t="s">
        <v>45</v>
      </c>
      <c r="D2156" t="s">
        <v>38</v>
      </c>
      <c r="E2156">
        <v>0.42051899999999998</v>
      </c>
    </row>
    <row r="2157" spans="1:5" x14ac:dyDescent="0.3">
      <c r="A2157">
        <v>68</v>
      </c>
      <c r="B2157">
        <v>440000</v>
      </c>
      <c r="C2157" t="s">
        <v>45</v>
      </c>
      <c r="D2157" t="s">
        <v>39</v>
      </c>
      <c r="E2157">
        <v>0.388185</v>
      </c>
    </row>
    <row r="2158" spans="1:5" x14ac:dyDescent="0.3">
      <c r="A2158">
        <v>68</v>
      </c>
      <c r="B2158">
        <v>440000</v>
      </c>
      <c r="C2158" t="s">
        <v>45</v>
      </c>
      <c r="D2158" t="s">
        <v>40</v>
      </c>
      <c r="E2158">
        <v>0.63011399999999995</v>
      </c>
    </row>
    <row r="2159" spans="1:5" x14ac:dyDescent="0.3">
      <c r="A2159">
        <v>68</v>
      </c>
      <c r="B2159">
        <v>440000</v>
      </c>
      <c r="C2159" t="s">
        <v>45</v>
      </c>
      <c r="D2159" t="s">
        <v>41</v>
      </c>
      <c r="E2159">
        <v>0.21274699999999999</v>
      </c>
    </row>
    <row r="2160" spans="1:5" x14ac:dyDescent="0.3">
      <c r="A2160">
        <v>68</v>
      </c>
      <c r="B2160">
        <v>440000</v>
      </c>
      <c r="C2160" t="s">
        <v>45</v>
      </c>
      <c r="D2160" t="s">
        <v>42</v>
      </c>
      <c r="E2160">
        <v>0.111135</v>
      </c>
    </row>
    <row r="2161" spans="1:5" x14ac:dyDescent="0.3">
      <c r="A2161">
        <v>68</v>
      </c>
      <c r="B2161">
        <v>440000</v>
      </c>
      <c r="C2161" t="s">
        <v>45</v>
      </c>
      <c r="D2161" t="s">
        <v>43</v>
      </c>
      <c r="E2161">
        <v>3.3042000000000002E-2</v>
      </c>
    </row>
    <row r="2162" spans="1:5" x14ac:dyDescent="0.3">
      <c r="A2162">
        <v>69</v>
      </c>
      <c r="B2162">
        <v>445000</v>
      </c>
      <c r="C2162" t="s">
        <v>45</v>
      </c>
      <c r="D2162" t="s">
        <v>28</v>
      </c>
      <c r="E2162">
        <v>153462.13510399999</v>
      </c>
    </row>
    <row r="2163" spans="1:5" x14ac:dyDescent="0.3">
      <c r="A2163">
        <v>69</v>
      </c>
      <c r="B2163">
        <v>445000</v>
      </c>
      <c r="C2163" t="s">
        <v>45</v>
      </c>
      <c r="D2163" t="s">
        <v>29</v>
      </c>
      <c r="E2163">
        <v>106416.172809</v>
      </c>
    </row>
    <row r="2164" spans="1:5" x14ac:dyDescent="0.3">
      <c r="A2164">
        <v>69</v>
      </c>
      <c r="B2164">
        <v>445000</v>
      </c>
      <c r="C2164" t="s">
        <v>45</v>
      </c>
      <c r="D2164" t="s">
        <v>30</v>
      </c>
      <c r="E2164">
        <v>7.2341259999999998</v>
      </c>
    </row>
    <row r="2165" spans="1:5" x14ac:dyDescent="0.3">
      <c r="A2165">
        <v>69</v>
      </c>
      <c r="B2165">
        <v>445000</v>
      </c>
      <c r="C2165" t="s">
        <v>45</v>
      </c>
      <c r="D2165" t="s">
        <v>31</v>
      </c>
      <c r="E2165">
        <v>0.36878699999999998</v>
      </c>
    </row>
    <row r="2166" spans="1:5" x14ac:dyDescent="0.3">
      <c r="A2166">
        <v>69</v>
      </c>
      <c r="B2166">
        <v>445000</v>
      </c>
      <c r="C2166" t="s">
        <v>45</v>
      </c>
      <c r="D2166" t="s">
        <v>32</v>
      </c>
      <c r="E2166">
        <v>0.35596</v>
      </c>
    </row>
    <row r="2167" spans="1:5" x14ac:dyDescent="0.3">
      <c r="A2167">
        <v>69</v>
      </c>
      <c r="B2167">
        <v>445000</v>
      </c>
      <c r="C2167" t="s">
        <v>45</v>
      </c>
      <c r="D2167" t="s">
        <v>33</v>
      </c>
      <c r="E2167">
        <v>99387.115986999997</v>
      </c>
    </row>
    <row r="2168" spans="1:5" x14ac:dyDescent="0.3">
      <c r="A2168">
        <v>69</v>
      </c>
      <c r="B2168">
        <v>445000</v>
      </c>
      <c r="C2168" t="s">
        <v>45</v>
      </c>
      <c r="D2168" t="s">
        <v>34</v>
      </c>
      <c r="E2168">
        <v>13981.596788999999</v>
      </c>
    </row>
    <row r="2169" spans="1:5" x14ac:dyDescent="0.3">
      <c r="A2169">
        <v>69</v>
      </c>
      <c r="B2169">
        <v>445000</v>
      </c>
      <c r="C2169" t="s">
        <v>45</v>
      </c>
      <c r="D2169" t="s">
        <v>35</v>
      </c>
      <c r="E2169">
        <v>6575.6389360000003</v>
      </c>
    </row>
    <row r="2170" spans="1:5" x14ac:dyDescent="0.3">
      <c r="A2170">
        <v>69</v>
      </c>
      <c r="B2170">
        <v>445000</v>
      </c>
      <c r="C2170" t="s">
        <v>45</v>
      </c>
      <c r="D2170" t="s">
        <v>36</v>
      </c>
      <c r="E2170">
        <v>0.152088</v>
      </c>
    </row>
    <row r="2171" spans="1:5" x14ac:dyDescent="0.3">
      <c r="A2171">
        <v>69</v>
      </c>
      <c r="B2171">
        <v>445000</v>
      </c>
      <c r="C2171" t="s">
        <v>45</v>
      </c>
      <c r="D2171" t="s">
        <v>37</v>
      </c>
      <c r="E2171">
        <v>65166.180614999997</v>
      </c>
    </row>
    <row r="2172" spans="1:5" x14ac:dyDescent="0.3">
      <c r="A2172">
        <v>69</v>
      </c>
      <c r="B2172">
        <v>445000</v>
      </c>
      <c r="C2172" t="s">
        <v>45</v>
      </c>
      <c r="D2172" t="s">
        <v>38</v>
      </c>
      <c r="E2172">
        <v>0.75383</v>
      </c>
    </row>
    <row r="2173" spans="1:5" x14ac:dyDescent="0.3">
      <c r="A2173">
        <v>69</v>
      </c>
      <c r="B2173">
        <v>445000</v>
      </c>
      <c r="C2173" t="s">
        <v>45</v>
      </c>
      <c r="D2173" t="s">
        <v>39</v>
      </c>
      <c r="E2173">
        <v>0.69431399999999999</v>
      </c>
    </row>
    <row r="2174" spans="1:5" x14ac:dyDescent="0.3">
      <c r="A2174">
        <v>69</v>
      </c>
      <c r="B2174">
        <v>445000</v>
      </c>
      <c r="C2174" t="s">
        <v>45</v>
      </c>
      <c r="D2174" t="s">
        <v>40</v>
      </c>
      <c r="E2174">
        <v>1.095669</v>
      </c>
    </row>
    <row r="2175" spans="1:5" x14ac:dyDescent="0.3">
      <c r="A2175">
        <v>69</v>
      </c>
      <c r="B2175">
        <v>445000</v>
      </c>
      <c r="C2175" t="s">
        <v>45</v>
      </c>
      <c r="D2175" t="s">
        <v>41</v>
      </c>
      <c r="E2175">
        <v>0.39113199999999998</v>
      </c>
    </row>
    <row r="2176" spans="1:5" x14ac:dyDescent="0.3">
      <c r="A2176">
        <v>69</v>
      </c>
      <c r="B2176">
        <v>445000</v>
      </c>
      <c r="C2176" t="s">
        <v>45</v>
      </c>
      <c r="D2176" t="s">
        <v>42</v>
      </c>
      <c r="E2176">
        <v>0.197631</v>
      </c>
    </row>
    <row r="2177" spans="1:5" x14ac:dyDescent="0.3">
      <c r="A2177">
        <v>69</v>
      </c>
      <c r="B2177">
        <v>445000</v>
      </c>
      <c r="C2177" t="s">
        <v>45</v>
      </c>
      <c r="D2177" t="s">
        <v>43</v>
      </c>
      <c r="E2177">
        <v>5.8911999999999999E-2</v>
      </c>
    </row>
    <row r="2178" spans="1:5" x14ac:dyDescent="0.3">
      <c r="A2178">
        <v>70</v>
      </c>
      <c r="B2178">
        <v>450000</v>
      </c>
      <c r="C2178" t="s">
        <v>45</v>
      </c>
      <c r="D2178" t="s">
        <v>28</v>
      </c>
      <c r="E2178">
        <v>153608.811793</v>
      </c>
    </row>
    <row r="2179" spans="1:5" x14ac:dyDescent="0.3">
      <c r="A2179">
        <v>70</v>
      </c>
      <c r="B2179">
        <v>450000</v>
      </c>
      <c r="C2179" t="s">
        <v>45</v>
      </c>
      <c r="D2179" t="s">
        <v>29</v>
      </c>
      <c r="E2179">
        <v>106417.90513499999</v>
      </c>
    </row>
    <row r="2180" spans="1:5" x14ac:dyDescent="0.3">
      <c r="A2180">
        <v>70</v>
      </c>
      <c r="B2180">
        <v>450000</v>
      </c>
      <c r="C2180" t="s">
        <v>45</v>
      </c>
      <c r="D2180" t="s">
        <v>30</v>
      </c>
      <c r="E2180">
        <v>1.3208880000000001</v>
      </c>
    </row>
    <row r="2181" spans="1:5" x14ac:dyDescent="0.3">
      <c r="A2181">
        <v>70</v>
      </c>
      <c r="B2181">
        <v>450000</v>
      </c>
      <c r="C2181" t="s">
        <v>45</v>
      </c>
      <c r="D2181" t="s">
        <v>31</v>
      </c>
      <c r="E2181">
        <v>4.3402999999999997E-2</v>
      </c>
    </row>
    <row r="2182" spans="1:5" x14ac:dyDescent="0.3">
      <c r="A2182">
        <v>70</v>
      </c>
      <c r="B2182">
        <v>450000</v>
      </c>
      <c r="C2182" t="s">
        <v>45</v>
      </c>
      <c r="D2182" t="s">
        <v>32</v>
      </c>
      <c r="E2182">
        <v>4.1531999999999999E-2</v>
      </c>
    </row>
    <row r="2183" spans="1:5" x14ac:dyDescent="0.3">
      <c r="A2183">
        <v>70</v>
      </c>
      <c r="B2183">
        <v>450000</v>
      </c>
      <c r="C2183" t="s">
        <v>45</v>
      </c>
      <c r="D2183" t="s">
        <v>33</v>
      </c>
      <c r="E2183">
        <v>99387.534692999994</v>
      </c>
    </row>
    <row r="2184" spans="1:5" x14ac:dyDescent="0.3">
      <c r="A2184">
        <v>70</v>
      </c>
      <c r="B2184">
        <v>450000</v>
      </c>
      <c r="C2184" t="s">
        <v>45</v>
      </c>
      <c r="D2184" t="s">
        <v>34</v>
      </c>
      <c r="E2184">
        <v>14564.425074999999</v>
      </c>
    </row>
    <row r="2185" spans="1:5" x14ac:dyDescent="0.3">
      <c r="A2185">
        <v>70</v>
      </c>
      <c r="B2185">
        <v>450000</v>
      </c>
      <c r="C2185" t="s">
        <v>45</v>
      </c>
      <c r="D2185" t="s">
        <v>35</v>
      </c>
      <c r="E2185">
        <v>6574.3526540000003</v>
      </c>
    </row>
    <row r="2186" spans="1:5" x14ac:dyDescent="0.3">
      <c r="A2186">
        <v>70</v>
      </c>
      <c r="B2186">
        <v>450000</v>
      </c>
      <c r="C2186" t="s">
        <v>45</v>
      </c>
      <c r="D2186" t="s">
        <v>36</v>
      </c>
      <c r="E2186">
        <v>1.7528999999999999E-2</v>
      </c>
    </row>
    <row r="2187" spans="1:5" x14ac:dyDescent="0.3">
      <c r="A2187">
        <v>70</v>
      </c>
      <c r="B2187">
        <v>450000</v>
      </c>
      <c r="C2187" t="s">
        <v>45</v>
      </c>
      <c r="D2187" t="s">
        <v>37</v>
      </c>
      <c r="E2187">
        <v>69445.191527000003</v>
      </c>
    </row>
    <row r="2188" spans="1:5" x14ac:dyDescent="0.3">
      <c r="A2188">
        <v>70</v>
      </c>
      <c r="B2188">
        <v>450000</v>
      </c>
      <c r="C2188" t="s">
        <v>45</v>
      </c>
      <c r="D2188" t="s">
        <v>38</v>
      </c>
      <c r="E2188">
        <v>8.6850999999999998E-2</v>
      </c>
    </row>
    <row r="2189" spans="1:5" x14ac:dyDescent="0.3">
      <c r="A2189">
        <v>70</v>
      </c>
      <c r="B2189">
        <v>450000</v>
      </c>
      <c r="C2189" t="s">
        <v>45</v>
      </c>
      <c r="D2189" t="s">
        <v>39</v>
      </c>
      <c r="E2189">
        <v>8.1485000000000002E-2</v>
      </c>
    </row>
    <row r="2190" spans="1:5" x14ac:dyDescent="0.3">
      <c r="A2190">
        <v>70</v>
      </c>
      <c r="B2190">
        <v>450000</v>
      </c>
      <c r="C2190" t="s">
        <v>45</v>
      </c>
      <c r="D2190" t="s">
        <v>40</v>
      </c>
      <c r="E2190">
        <v>0.12759999999999999</v>
      </c>
    </row>
    <row r="2191" spans="1:5" x14ac:dyDescent="0.3">
      <c r="A2191">
        <v>70</v>
      </c>
      <c r="B2191">
        <v>450000</v>
      </c>
      <c r="C2191" t="s">
        <v>45</v>
      </c>
      <c r="D2191" t="s">
        <v>41</v>
      </c>
      <c r="E2191">
        <v>4.4665999999999997E-2</v>
      </c>
    </row>
    <row r="2192" spans="1:5" x14ac:dyDescent="0.3">
      <c r="A2192">
        <v>70</v>
      </c>
      <c r="B2192">
        <v>450000</v>
      </c>
      <c r="C2192" t="s">
        <v>45</v>
      </c>
      <c r="D2192" t="s">
        <v>42</v>
      </c>
      <c r="E2192">
        <v>2.2605E-2</v>
      </c>
    </row>
    <row r="2193" spans="1:5" x14ac:dyDescent="0.3">
      <c r="A2193">
        <v>70</v>
      </c>
      <c r="B2193">
        <v>450000</v>
      </c>
      <c r="C2193" t="s">
        <v>45</v>
      </c>
      <c r="D2193" t="s">
        <v>43</v>
      </c>
      <c r="E2193">
        <v>6.6699999999999997E-3</v>
      </c>
    </row>
    <row r="2194" spans="1:5" x14ac:dyDescent="0.3">
      <c r="A2194">
        <v>71</v>
      </c>
      <c r="B2194">
        <v>455000</v>
      </c>
      <c r="C2194" t="s">
        <v>45</v>
      </c>
      <c r="D2194" t="s">
        <v>28</v>
      </c>
      <c r="E2194">
        <v>156828.34526199999</v>
      </c>
    </row>
    <row r="2195" spans="1:5" x14ac:dyDescent="0.3">
      <c r="A2195">
        <v>71</v>
      </c>
      <c r="B2195">
        <v>455000</v>
      </c>
      <c r="C2195" t="s">
        <v>45</v>
      </c>
      <c r="D2195" t="s">
        <v>29</v>
      </c>
      <c r="E2195">
        <v>106417.107666</v>
      </c>
    </row>
    <row r="2196" spans="1:5" x14ac:dyDescent="0.3">
      <c r="A2196">
        <v>71</v>
      </c>
      <c r="B2196">
        <v>455000</v>
      </c>
      <c r="C2196" t="s">
        <v>45</v>
      </c>
      <c r="D2196" t="s">
        <v>30</v>
      </c>
      <c r="E2196">
        <v>5.2002509999999997</v>
      </c>
    </row>
    <row r="2197" spans="1:5" x14ac:dyDescent="0.3">
      <c r="A2197">
        <v>71</v>
      </c>
      <c r="B2197">
        <v>455000</v>
      </c>
      <c r="C2197" t="s">
        <v>45</v>
      </c>
      <c r="D2197" t="s">
        <v>31</v>
      </c>
      <c r="E2197">
        <v>0.17976400000000001</v>
      </c>
    </row>
    <row r="2198" spans="1:5" x14ac:dyDescent="0.3">
      <c r="A2198">
        <v>71</v>
      </c>
      <c r="B2198">
        <v>455000</v>
      </c>
      <c r="C2198" t="s">
        <v>45</v>
      </c>
      <c r="D2198" t="s">
        <v>32</v>
      </c>
      <c r="E2198">
        <v>0.16841900000000001</v>
      </c>
    </row>
    <row r="2199" spans="1:5" x14ac:dyDescent="0.3">
      <c r="A2199">
        <v>71</v>
      </c>
      <c r="B2199">
        <v>455000</v>
      </c>
      <c r="C2199" t="s">
        <v>45</v>
      </c>
      <c r="D2199" t="s">
        <v>33</v>
      </c>
      <c r="E2199">
        <v>99387.357459999999</v>
      </c>
    </row>
    <row r="2200" spans="1:5" x14ac:dyDescent="0.3">
      <c r="A2200">
        <v>71</v>
      </c>
      <c r="B2200">
        <v>455000</v>
      </c>
      <c r="C2200" t="s">
        <v>45</v>
      </c>
      <c r="D2200" t="s">
        <v>34</v>
      </c>
      <c r="E2200">
        <v>14748.771247999999</v>
      </c>
    </row>
    <row r="2201" spans="1:5" x14ac:dyDescent="0.3">
      <c r="A2201">
        <v>71</v>
      </c>
      <c r="B2201">
        <v>455000</v>
      </c>
      <c r="C2201" t="s">
        <v>45</v>
      </c>
      <c r="D2201" t="s">
        <v>35</v>
      </c>
      <c r="E2201">
        <v>6574.8361260000001</v>
      </c>
    </row>
    <row r="2202" spans="1:5" x14ac:dyDescent="0.3">
      <c r="A2202">
        <v>71</v>
      </c>
      <c r="B2202">
        <v>455000</v>
      </c>
      <c r="C2202" t="s">
        <v>45</v>
      </c>
      <c r="D2202" t="s">
        <v>36</v>
      </c>
      <c r="E2202">
        <v>6.7938999999999999E-2</v>
      </c>
    </row>
    <row r="2203" spans="1:5" x14ac:dyDescent="0.3">
      <c r="A2203">
        <v>71</v>
      </c>
      <c r="B2203">
        <v>455000</v>
      </c>
      <c r="C2203" t="s">
        <v>45</v>
      </c>
      <c r="D2203" t="s">
        <v>37</v>
      </c>
      <c r="E2203">
        <v>71036.541924000005</v>
      </c>
    </row>
    <row r="2204" spans="1:5" x14ac:dyDescent="0.3">
      <c r="A2204">
        <v>71</v>
      </c>
      <c r="B2204">
        <v>455000</v>
      </c>
      <c r="C2204" t="s">
        <v>45</v>
      </c>
      <c r="D2204" t="s">
        <v>38</v>
      </c>
      <c r="E2204">
        <v>0.34640700000000002</v>
      </c>
    </row>
    <row r="2205" spans="1:5" x14ac:dyDescent="0.3">
      <c r="A2205">
        <v>71</v>
      </c>
      <c r="B2205">
        <v>455000</v>
      </c>
      <c r="C2205" t="s">
        <v>45</v>
      </c>
      <c r="D2205" t="s">
        <v>39</v>
      </c>
      <c r="E2205">
        <v>0.328235</v>
      </c>
    </row>
    <row r="2206" spans="1:5" x14ac:dyDescent="0.3">
      <c r="A2206">
        <v>71</v>
      </c>
      <c r="B2206">
        <v>455000</v>
      </c>
      <c r="C2206" t="s">
        <v>45</v>
      </c>
      <c r="D2206" t="s">
        <v>40</v>
      </c>
      <c r="E2206">
        <v>0.50673299999999999</v>
      </c>
    </row>
    <row r="2207" spans="1:5" x14ac:dyDescent="0.3">
      <c r="A2207">
        <v>71</v>
      </c>
      <c r="B2207">
        <v>455000</v>
      </c>
      <c r="C2207" t="s">
        <v>45</v>
      </c>
      <c r="D2207" t="s">
        <v>41</v>
      </c>
      <c r="E2207">
        <v>0.16947499999999999</v>
      </c>
    </row>
    <row r="2208" spans="1:5" x14ac:dyDescent="0.3">
      <c r="A2208">
        <v>71</v>
      </c>
      <c r="B2208">
        <v>455000</v>
      </c>
      <c r="C2208" t="s">
        <v>45</v>
      </c>
      <c r="D2208" t="s">
        <v>42</v>
      </c>
      <c r="E2208">
        <v>8.7682999999999997E-2</v>
      </c>
    </row>
    <row r="2209" spans="1:5" x14ac:dyDescent="0.3">
      <c r="A2209">
        <v>71</v>
      </c>
      <c r="B2209">
        <v>455000</v>
      </c>
      <c r="C2209" t="s">
        <v>45</v>
      </c>
      <c r="D2209" t="s">
        <v>43</v>
      </c>
      <c r="E2209">
        <v>2.4660000000000001E-2</v>
      </c>
    </row>
    <row r="2210" spans="1:5" x14ac:dyDescent="0.3">
      <c r="A2210">
        <v>72</v>
      </c>
      <c r="B2210">
        <v>460000</v>
      </c>
      <c r="C2210" t="s">
        <v>45</v>
      </c>
      <c r="D2210" t="s">
        <v>28</v>
      </c>
      <c r="E2210">
        <v>157347.08342700001</v>
      </c>
    </row>
    <row r="2211" spans="1:5" x14ac:dyDescent="0.3">
      <c r="A2211">
        <v>72</v>
      </c>
      <c r="B2211">
        <v>460000</v>
      </c>
      <c r="C2211" t="s">
        <v>45</v>
      </c>
      <c r="D2211" t="s">
        <v>29</v>
      </c>
      <c r="E2211">
        <v>106416.694571</v>
      </c>
    </row>
    <row r="2212" spans="1:5" x14ac:dyDescent="0.3">
      <c r="A2212">
        <v>72</v>
      </c>
      <c r="B2212">
        <v>460000</v>
      </c>
      <c r="C2212" t="s">
        <v>45</v>
      </c>
      <c r="D2212" t="s">
        <v>30</v>
      </c>
      <c r="E2212">
        <v>19.0046</v>
      </c>
    </row>
    <row r="2213" spans="1:5" x14ac:dyDescent="0.3">
      <c r="A2213">
        <v>72</v>
      </c>
      <c r="B2213">
        <v>460000</v>
      </c>
      <c r="C2213" t="s">
        <v>45</v>
      </c>
      <c r="D2213" t="s">
        <v>31</v>
      </c>
      <c r="E2213">
        <v>0.34087800000000001</v>
      </c>
    </row>
    <row r="2214" spans="1:5" x14ac:dyDescent="0.3">
      <c r="A2214">
        <v>72</v>
      </c>
      <c r="B2214">
        <v>460000</v>
      </c>
      <c r="C2214" t="s">
        <v>45</v>
      </c>
      <c r="D2214" t="s">
        <v>32</v>
      </c>
      <c r="E2214">
        <v>0.31714199999999998</v>
      </c>
    </row>
    <row r="2215" spans="1:5" x14ac:dyDescent="0.3">
      <c r="A2215">
        <v>72</v>
      </c>
      <c r="B2215">
        <v>460000</v>
      </c>
      <c r="C2215" t="s">
        <v>45</v>
      </c>
      <c r="D2215" t="s">
        <v>33</v>
      </c>
      <c r="E2215">
        <v>99387.228933999999</v>
      </c>
    </row>
    <row r="2216" spans="1:5" x14ac:dyDescent="0.3">
      <c r="A2216">
        <v>72</v>
      </c>
      <c r="B2216">
        <v>460000</v>
      </c>
      <c r="C2216" t="s">
        <v>45</v>
      </c>
      <c r="D2216" t="s">
        <v>34</v>
      </c>
      <c r="E2216">
        <v>15366.708262</v>
      </c>
    </row>
    <row r="2217" spans="1:5" x14ac:dyDescent="0.3">
      <c r="A2217">
        <v>72</v>
      </c>
      <c r="B2217">
        <v>460000</v>
      </c>
      <c r="C2217" t="s">
        <v>45</v>
      </c>
      <c r="D2217" t="s">
        <v>35</v>
      </c>
      <c r="E2217">
        <v>6575.2175100000004</v>
      </c>
    </row>
    <row r="2218" spans="1:5" x14ac:dyDescent="0.3">
      <c r="A2218">
        <v>72</v>
      </c>
      <c r="B2218">
        <v>460000</v>
      </c>
      <c r="C2218" t="s">
        <v>45</v>
      </c>
      <c r="D2218" t="s">
        <v>36</v>
      </c>
      <c r="E2218">
        <v>0.12765499999999999</v>
      </c>
    </row>
    <row r="2219" spans="1:5" x14ac:dyDescent="0.3">
      <c r="A2219">
        <v>72</v>
      </c>
      <c r="B2219">
        <v>460000</v>
      </c>
      <c r="C2219" t="s">
        <v>45</v>
      </c>
      <c r="D2219" t="s">
        <v>37</v>
      </c>
      <c r="E2219">
        <v>74884.576233</v>
      </c>
    </row>
    <row r="2220" spans="1:5" x14ac:dyDescent="0.3">
      <c r="A2220">
        <v>72</v>
      </c>
      <c r="B2220">
        <v>460000</v>
      </c>
      <c r="C2220" t="s">
        <v>45</v>
      </c>
      <c r="D2220" t="s">
        <v>38</v>
      </c>
      <c r="E2220">
        <v>0.66052999999999995</v>
      </c>
    </row>
    <row r="2221" spans="1:5" x14ac:dyDescent="0.3">
      <c r="A2221">
        <v>72</v>
      </c>
      <c r="B2221">
        <v>460000</v>
      </c>
      <c r="C2221" t="s">
        <v>45</v>
      </c>
      <c r="D2221" t="s">
        <v>39</v>
      </c>
      <c r="E2221">
        <v>0.64405900000000005</v>
      </c>
    </row>
    <row r="2222" spans="1:5" x14ac:dyDescent="0.3">
      <c r="A2222">
        <v>72</v>
      </c>
      <c r="B2222">
        <v>460000</v>
      </c>
      <c r="C2222" t="s">
        <v>45</v>
      </c>
      <c r="D2222" t="s">
        <v>40</v>
      </c>
      <c r="E2222">
        <v>0.92856099999999997</v>
      </c>
    </row>
    <row r="2223" spans="1:5" x14ac:dyDescent="0.3">
      <c r="A2223">
        <v>72</v>
      </c>
      <c r="B2223">
        <v>460000</v>
      </c>
      <c r="C2223" t="s">
        <v>45</v>
      </c>
      <c r="D2223" t="s">
        <v>41</v>
      </c>
      <c r="E2223">
        <v>0.33480199999999999</v>
      </c>
    </row>
    <row r="2224" spans="1:5" x14ac:dyDescent="0.3">
      <c r="A2224">
        <v>72</v>
      </c>
      <c r="B2224">
        <v>460000</v>
      </c>
      <c r="C2224" t="s">
        <v>45</v>
      </c>
      <c r="D2224" t="s">
        <v>42</v>
      </c>
      <c r="E2224">
        <v>0.16522600000000001</v>
      </c>
    </row>
    <row r="2225" spans="1:5" x14ac:dyDescent="0.3">
      <c r="A2225">
        <v>72</v>
      </c>
      <c r="B2225">
        <v>460000</v>
      </c>
      <c r="C2225" t="s">
        <v>45</v>
      </c>
      <c r="D2225" t="s">
        <v>43</v>
      </c>
      <c r="E2225">
        <v>4.6156000000000003E-2</v>
      </c>
    </row>
    <row r="2226" spans="1:5" x14ac:dyDescent="0.3">
      <c r="A2226">
        <v>73</v>
      </c>
      <c r="B2226">
        <v>465000</v>
      </c>
      <c r="C2226" t="s">
        <v>45</v>
      </c>
      <c r="D2226" t="s">
        <v>28</v>
      </c>
      <c r="E2226">
        <v>157486.60247000001</v>
      </c>
    </row>
    <row r="2227" spans="1:5" x14ac:dyDescent="0.3">
      <c r="A2227">
        <v>73</v>
      </c>
      <c r="B2227">
        <v>465000</v>
      </c>
      <c r="C2227" t="s">
        <v>45</v>
      </c>
      <c r="D2227" t="s">
        <v>29</v>
      </c>
      <c r="E2227">
        <v>106417.51959500001</v>
      </c>
    </row>
    <row r="2228" spans="1:5" x14ac:dyDescent="0.3">
      <c r="A2228">
        <v>73</v>
      </c>
      <c r="B2228">
        <v>465000</v>
      </c>
      <c r="C2228" t="s">
        <v>45</v>
      </c>
      <c r="D2228" t="s">
        <v>30</v>
      </c>
      <c r="E2228">
        <v>24.552440000000001</v>
      </c>
    </row>
    <row r="2229" spans="1:5" x14ac:dyDescent="0.3">
      <c r="A2229">
        <v>73</v>
      </c>
      <c r="B2229">
        <v>465000</v>
      </c>
      <c r="C2229" t="s">
        <v>45</v>
      </c>
      <c r="D2229" t="s">
        <v>31</v>
      </c>
      <c r="E2229">
        <v>0.17699000000000001</v>
      </c>
    </row>
    <row r="2230" spans="1:5" x14ac:dyDescent="0.3">
      <c r="A2230">
        <v>73</v>
      </c>
      <c r="B2230">
        <v>465000</v>
      </c>
      <c r="C2230" t="s">
        <v>45</v>
      </c>
      <c r="D2230" t="s">
        <v>32</v>
      </c>
      <c r="E2230">
        <v>0.15903</v>
      </c>
    </row>
    <row r="2231" spans="1:5" x14ac:dyDescent="0.3">
      <c r="A2231">
        <v>73</v>
      </c>
      <c r="B2231">
        <v>465000</v>
      </c>
      <c r="C2231" t="s">
        <v>45</v>
      </c>
      <c r="D2231" t="s">
        <v>33</v>
      </c>
      <c r="E2231">
        <v>99387.447662999999</v>
      </c>
    </row>
    <row r="2232" spans="1:5" x14ac:dyDescent="0.3">
      <c r="A2232">
        <v>73</v>
      </c>
      <c r="B2232">
        <v>465000</v>
      </c>
      <c r="C2232" t="s">
        <v>45</v>
      </c>
      <c r="D2232" t="s">
        <v>34</v>
      </c>
      <c r="E2232">
        <v>19671.089615000001</v>
      </c>
    </row>
    <row r="2233" spans="1:5" x14ac:dyDescent="0.3">
      <c r="A2233">
        <v>73</v>
      </c>
      <c r="B2233">
        <v>465000</v>
      </c>
      <c r="C2233" t="s">
        <v>45</v>
      </c>
      <c r="D2233" t="s">
        <v>35</v>
      </c>
      <c r="E2233">
        <v>6574.6183499999997</v>
      </c>
    </row>
    <row r="2234" spans="1:5" x14ac:dyDescent="0.3">
      <c r="A2234">
        <v>73</v>
      </c>
      <c r="B2234">
        <v>465000</v>
      </c>
      <c r="C2234" t="s">
        <v>45</v>
      </c>
      <c r="D2234" t="s">
        <v>36</v>
      </c>
      <c r="E2234">
        <v>6.3228999999999994E-2</v>
      </c>
    </row>
    <row r="2235" spans="1:5" x14ac:dyDescent="0.3">
      <c r="A2235">
        <v>73</v>
      </c>
      <c r="B2235">
        <v>465000</v>
      </c>
      <c r="C2235" t="s">
        <v>45</v>
      </c>
      <c r="D2235" t="s">
        <v>37</v>
      </c>
      <c r="E2235">
        <v>75436.450517999998</v>
      </c>
    </row>
    <row r="2236" spans="1:5" x14ac:dyDescent="0.3">
      <c r="A2236">
        <v>73</v>
      </c>
      <c r="B2236">
        <v>465000</v>
      </c>
      <c r="C2236" t="s">
        <v>45</v>
      </c>
      <c r="D2236" t="s">
        <v>38</v>
      </c>
      <c r="E2236">
        <v>0.32636199999999999</v>
      </c>
    </row>
    <row r="2237" spans="1:5" x14ac:dyDescent="0.3">
      <c r="A2237">
        <v>73</v>
      </c>
      <c r="B2237">
        <v>465000</v>
      </c>
      <c r="C2237" t="s">
        <v>45</v>
      </c>
      <c r="D2237" t="s">
        <v>39</v>
      </c>
      <c r="E2237">
        <v>0.30506</v>
      </c>
    </row>
    <row r="2238" spans="1:5" x14ac:dyDescent="0.3">
      <c r="A2238">
        <v>73</v>
      </c>
      <c r="B2238">
        <v>465000</v>
      </c>
      <c r="C2238" t="s">
        <v>45</v>
      </c>
      <c r="D2238" t="s">
        <v>40</v>
      </c>
      <c r="E2238">
        <v>0.44107800000000003</v>
      </c>
    </row>
    <row r="2239" spans="1:5" x14ac:dyDescent="0.3">
      <c r="A2239">
        <v>73</v>
      </c>
      <c r="B2239">
        <v>465000</v>
      </c>
      <c r="C2239" t="s">
        <v>45</v>
      </c>
      <c r="D2239" t="s">
        <v>41</v>
      </c>
      <c r="E2239">
        <v>0.16520699999999999</v>
      </c>
    </row>
    <row r="2240" spans="1:5" x14ac:dyDescent="0.3">
      <c r="A2240">
        <v>73</v>
      </c>
      <c r="B2240">
        <v>465000</v>
      </c>
      <c r="C2240" t="s">
        <v>45</v>
      </c>
      <c r="D2240" t="s">
        <v>42</v>
      </c>
      <c r="E2240">
        <v>8.0805000000000002E-2</v>
      </c>
    </row>
    <row r="2241" spans="1:5" x14ac:dyDescent="0.3">
      <c r="A2241">
        <v>73</v>
      </c>
      <c r="B2241">
        <v>465000</v>
      </c>
      <c r="C2241" t="s">
        <v>45</v>
      </c>
      <c r="D2241" t="s">
        <v>43</v>
      </c>
      <c r="E2241">
        <v>2.2808999999999999E-2</v>
      </c>
    </row>
    <row r="2242" spans="1:5" x14ac:dyDescent="0.3">
      <c r="A2242">
        <v>74</v>
      </c>
      <c r="B2242">
        <v>470000</v>
      </c>
      <c r="C2242" t="s">
        <v>45</v>
      </c>
      <c r="D2242" t="s">
        <v>28</v>
      </c>
      <c r="E2242">
        <v>158186.58833500001</v>
      </c>
    </row>
    <row r="2243" spans="1:5" x14ac:dyDescent="0.3">
      <c r="A2243">
        <v>74</v>
      </c>
      <c r="B2243">
        <v>470000</v>
      </c>
      <c r="C2243" t="s">
        <v>45</v>
      </c>
      <c r="D2243" t="s">
        <v>29</v>
      </c>
      <c r="E2243">
        <v>106417.743329</v>
      </c>
    </row>
    <row r="2244" spans="1:5" x14ac:dyDescent="0.3">
      <c r="A2244">
        <v>74</v>
      </c>
      <c r="B2244">
        <v>470000</v>
      </c>
      <c r="C2244" t="s">
        <v>45</v>
      </c>
      <c r="D2244" t="s">
        <v>30</v>
      </c>
      <c r="E2244">
        <v>15.064170000000001</v>
      </c>
    </row>
    <row r="2245" spans="1:5" x14ac:dyDescent="0.3">
      <c r="A2245">
        <v>74</v>
      </c>
      <c r="B2245">
        <v>470000</v>
      </c>
      <c r="C2245" t="s">
        <v>45</v>
      </c>
      <c r="D2245" t="s">
        <v>31</v>
      </c>
      <c r="E2245">
        <v>9.6708000000000002E-2</v>
      </c>
    </row>
    <row r="2246" spans="1:5" x14ac:dyDescent="0.3">
      <c r="A2246">
        <v>74</v>
      </c>
      <c r="B2246">
        <v>470000</v>
      </c>
      <c r="C2246" t="s">
        <v>45</v>
      </c>
      <c r="D2246" t="s">
        <v>32</v>
      </c>
      <c r="E2246">
        <v>8.8775999999999994E-2</v>
      </c>
    </row>
    <row r="2247" spans="1:5" x14ac:dyDescent="0.3">
      <c r="A2247">
        <v>74</v>
      </c>
      <c r="B2247">
        <v>470000</v>
      </c>
      <c r="C2247" t="s">
        <v>45</v>
      </c>
      <c r="D2247" t="s">
        <v>33</v>
      </c>
      <c r="E2247">
        <v>99387.505510000003</v>
      </c>
    </row>
    <row r="2248" spans="1:5" x14ac:dyDescent="0.3">
      <c r="A2248">
        <v>74</v>
      </c>
      <c r="B2248">
        <v>470000</v>
      </c>
      <c r="C2248" t="s">
        <v>45</v>
      </c>
      <c r="D2248" t="s">
        <v>34</v>
      </c>
      <c r="E2248">
        <v>24447.845039</v>
      </c>
    </row>
    <row r="2249" spans="1:5" x14ac:dyDescent="0.3">
      <c r="A2249">
        <v>74</v>
      </c>
      <c r="B2249">
        <v>470000</v>
      </c>
      <c r="C2249" t="s">
        <v>45</v>
      </c>
      <c r="D2249" t="s">
        <v>35</v>
      </c>
      <c r="E2249">
        <v>6574.4757079999999</v>
      </c>
    </row>
    <row r="2250" spans="1:5" x14ac:dyDescent="0.3">
      <c r="A2250">
        <v>74</v>
      </c>
      <c r="B2250">
        <v>470000</v>
      </c>
      <c r="C2250" t="s">
        <v>45</v>
      </c>
      <c r="D2250" t="s">
        <v>36</v>
      </c>
      <c r="E2250">
        <v>3.4547000000000001E-2</v>
      </c>
    </row>
    <row r="2251" spans="1:5" x14ac:dyDescent="0.3">
      <c r="A2251">
        <v>74</v>
      </c>
      <c r="B2251">
        <v>470000</v>
      </c>
      <c r="C2251" t="s">
        <v>45</v>
      </c>
      <c r="D2251" t="s">
        <v>37</v>
      </c>
      <c r="E2251">
        <v>74969.806756000005</v>
      </c>
    </row>
    <row r="2252" spans="1:5" x14ac:dyDescent="0.3">
      <c r="A2252">
        <v>74</v>
      </c>
      <c r="B2252">
        <v>470000</v>
      </c>
      <c r="C2252" t="s">
        <v>45</v>
      </c>
      <c r="D2252" t="s">
        <v>38</v>
      </c>
      <c r="E2252">
        <v>0.18593399999999999</v>
      </c>
    </row>
    <row r="2253" spans="1:5" x14ac:dyDescent="0.3">
      <c r="A2253">
        <v>74</v>
      </c>
      <c r="B2253">
        <v>470000</v>
      </c>
      <c r="C2253" t="s">
        <v>45</v>
      </c>
      <c r="D2253" t="s">
        <v>39</v>
      </c>
      <c r="E2253">
        <v>0.17710899999999999</v>
      </c>
    </row>
    <row r="2254" spans="1:5" x14ac:dyDescent="0.3">
      <c r="A2254">
        <v>74</v>
      </c>
      <c r="B2254">
        <v>470000</v>
      </c>
      <c r="C2254" t="s">
        <v>45</v>
      </c>
      <c r="D2254" t="s">
        <v>40</v>
      </c>
      <c r="E2254">
        <v>0.25679600000000002</v>
      </c>
    </row>
    <row r="2255" spans="1:5" x14ac:dyDescent="0.3">
      <c r="A2255">
        <v>74</v>
      </c>
      <c r="B2255">
        <v>470000</v>
      </c>
      <c r="C2255" t="s">
        <v>45</v>
      </c>
      <c r="D2255" t="s">
        <v>41</v>
      </c>
      <c r="E2255">
        <v>9.0979000000000004E-2</v>
      </c>
    </row>
    <row r="2256" spans="1:5" x14ac:dyDescent="0.3">
      <c r="A2256">
        <v>74</v>
      </c>
      <c r="B2256">
        <v>470000</v>
      </c>
      <c r="C2256" t="s">
        <v>45</v>
      </c>
      <c r="D2256" t="s">
        <v>42</v>
      </c>
      <c r="E2256">
        <v>4.4186999999999997E-2</v>
      </c>
    </row>
    <row r="2257" spans="1:5" x14ac:dyDescent="0.3">
      <c r="A2257">
        <v>74</v>
      </c>
      <c r="B2257">
        <v>470000</v>
      </c>
      <c r="C2257" t="s">
        <v>45</v>
      </c>
      <c r="D2257" t="s">
        <v>43</v>
      </c>
      <c r="E2257">
        <v>1.2256E-2</v>
      </c>
    </row>
    <row r="2258" spans="1:5" x14ac:dyDescent="0.3">
      <c r="A2258">
        <v>75</v>
      </c>
      <c r="B2258">
        <v>475000</v>
      </c>
      <c r="C2258" t="s">
        <v>45</v>
      </c>
      <c r="D2258" t="s">
        <v>28</v>
      </c>
      <c r="E2258">
        <v>159025.80489100001</v>
      </c>
    </row>
    <row r="2259" spans="1:5" x14ac:dyDescent="0.3">
      <c r="A2259">
        <v>75</v>
      </c>
      <c r="B2259">
        <v>475000</v>
      </c>
      <c r="C2259" t="s">
        <v>45</v>
      </c>
      <c r="D2259" t="s">
        <v>29</v>
      </c>
      <c r="E2259">
        <v>106417.44296499999</v>
      </c>
    </row>
    <row r="2260" spans="1:5" x14ac:dyDescent="0.3">
      <c r="A2260">
        <v>75</v>
      </c>
      <c r="B2260">
        <v>475000</v>
      </c>
      <c r="C2260" t="s">
        <v>45</v>
      </c>
      <c r="D2260" t="s">
        <v>30</v>
      </c>
      <c r="E2260">
        <v>87.965868999999998</v>
      </c>
    </row>
    <row r="2261" spans="1:5" x14ac:dyDescent="0.3">
      <c r="A2261">
        <v>75</v>
      </c>
      <c r="B2261">
        <v>475000</v>
      </c>
      <c r="C2261" t="s">
        <v>45</v>
      </c>
      <c r="D2261" t="s">
        <v>31</v>
      </c>
      <c r="E2261">
        <v>0.26580399999999998</v>
      </c>
    </row>
    <row r="2262" spans="1:5" x14ac:dyDescent="0.3">
      <c r="A2262">
        <v>75</v>
      </c>
      <c r="B2262">
        <v>475000</v>
      </c>
      <c r="C2262" t="s">
        <v>45</v>
      </c>
      <c r="D2262" t="s">
        <v>32</v>
      </c>
      <c r="E2262">
        <v>0.24243400000000001</v>
      </c>
    </row>
    <row r="2263" spans="1:5" x14ac:dyDescent="0.3">
      <c r="A2263">
        <v>75</v>
      </c>
      <c r="B2263">
        <v>475000</v>
      </c>
      <c r="C2263" t="s">
        <v>45</v>
      </c>
      <c r="D2263" t="s">
        <v>33</v>
      </c>
      <c r="E2263">
        <v>99387.361369000006</v>
      </c>
    </row>
    <row r="2264" spans="1:5" x14ac:dyDescent="0.3">
      <c r="A2264">
        <v>75</v>
      </c>
      <c r="B2264">
        <v>475000</v>
      </c>
      <c r="C2264" t="s">
        <v>45</v>
      </c>
      <c r="D2264" t="s">
        <v>34</v>
      </c>
      <c r="E2264">
        <v>28389.340174000001</v>
      </c>
    </row>
    <row r="2265" spans="1:5" x14ac:dyDescent="0.3">
      <c r="A2265">
        <v>75</v>
      </c>
      <c r="B2265">
        <v>475000</v>
      </c>
      <c r="C2265" t="s">
        <v>45</v>
      </c>
      <c r="D2265" t="s">
        <v>35</v>
      </c>
      <c r="E2265">
        <v>6574.8729480000002</v>
      </c>
    </row>
    <row r="2266" spans="1:5" x14ac:dyDescent="0.3">
      <c r="A2266">
        <v>75</v>
      </c>
      <c r="B2266">
        <v>475000</v>
      </c>
      <c r="C2266" t="s">
        <v>45</v>
      </c>
      <c r="D2266" t="s">
        <v>36</v>
      </c>
      <c r="E2266">
        <v>9.3214000000000005E-2</v>
      </c>
    </row>
    <row r="2267" spans="1:5" x14ac:dyDescent="0.3">
      <c r="A2267">
        <v>75</v>
      </c>
      <c r="B2267">
        <v>475000</v>
      </c>
      <c r="C2267" t="s">
        <v>45</v>
      </c>
      <c r="D2267" t="s">
        <v>37</v>
      </c>
      <c r="E2267">
        <v>75114.648142999999</v>
      </c>
    </row>
    <row r="2268" spans="1:5" x14ac:dyDescent="0.3">
      <c r="A2268">
        <v>75</v>
      </c>
      <c r="B2268">
        <v>475000</v>
      </c>
      <c r="C2268" t="s">
        <v>45</v>
      </c>
      <c r="D2268" t="s">
        <v>38</v>
      </c>
      <c r="E2268">
        <v>0.49554799999999999</v>
      </c>
    </row>
    <row r="2269" spans="1:5" x14ac:dyDescent="0.3">
      <c r="A2269">
        <v>75</v>
      </c>
      <c r="B2269">
        <v>475000</v>
      </c>
      <c r="C2269" t="s">
        <v>45</v>
      </c>
      <c r="D2269" t="s">
        <v>39</v>
      </c>
      <c r="E2269">
        <v>0.45804600000000001</v>
      </c>
    </row>
    <row r="2270" spans="1:5" x14ac:dyDescent="0.3">
      <c r="A2270">
        <v>75</v>
      </c>
      <c r="B2270">
        <v>475000</v>
      </c>
      <c r="C2270" t="s">
        <v>45</v>
      </c>
      <c r="D2270" t="s">
        <v>40</v>
      </c>
      <c r="E2270">
        <v>0.70076799999999995</v>
      </c>
    </row>
    <row r="2271" spans="1:5" x14ac:dyDescent="0.3">
      <c r="A2271">
        <v>75</v>
      </c>
      <c r="B2271">
        <v>475000</v>
      </c>
      <c r="C2271" t="s">
        <v>45</v>
      </c>
      <c r="D2271" t="s">
        <v>41</v>
      </c>
      <c r="E2271">
        <v>0.24291299999999999</v>
      </c>
    </row>
    <row r="2272" spans="1:5" x14ac:dyDescent="0.3">
      <c r="A2272">
        <v>75</v>
      </c>
      <c r="B2272">
        <v>475000</v>
      </c>
      <c r="C2272" t="s">
        <v>45</v>
      </c>
      <c r="D2272" t="s">
        <v>42</v>
      </c>
      <c r="E2272">
        <v>0.11848</v>
      </c>
    </row>
    <row r="2273" spans="1:5" x14ac:dyDescent="0.3">
      <c r="A2273">
        <v>75</v>
      </c>
      <c r="B2273">
        <v>475000</v>
      </c>
      <c r="C2273" t="s">
        <v>45</v>
      </c>
      <c r="D2273" t="s">
        <v>43</v>
      </c>
      <c r="E2273">
        <v>3.3818000000000001E-2</v>
      </c>
    </row>
    <row r="2274" spans="1:5" x14ac:dyDescent="0.3">
      <c r="A2274">
        <v>76</v>
      </c>
      <c r="B2274">
        <v>480000</v>
      </c>
      <c r="C2274" t="s">
        <v>45</v>
      </c>
      <c r="D2274" t="s">
        <v>28</v>
      </c>
      <c r="E2274">
        <v>159861.886661</v>
      </c>
    </row>
    <row r="2275" spans="1:5" x14ac:dyDescent="0.3">
      <c r="A2275">
        <v>76</v>
      </c>
      <c r="B2275">
        <v>480000</v>
      </c>
      <c r="C2275" t="s">
        <v>45</v>
      </c>
      <c r="D2275" t="s">
        <v>29</v>
      </c>
      <c r="E2275">
        <v>106416.720418</v>
      </c>
    </row>
    <row r="2276" spans="1:5" x14ac:dyDescent="0.3">
      <c r="A2276">
        <v>76</v>
      </c>
      <c r="B2276">
        <v>480000</v>
      </c>
      <c r="C2276" t="s">
        <v>45</v>
      </c>
      <c r="D2276" t="s">
        <v>30</v>
      </c>
      <c r="E2276">
        <v>108.050274</v>
      </c>
    </row>
    <row r="2277" spans="1:5" x14ac:dyDescent="0.3">
      <c r="A2277">
        <v>76</v>
      </c>
      <c r="B2277">
        <v>480000</v>
      </c>
      <c r="C2277" t="s">
        <v>45</v>
      </c>
      <c r="D2277" t="s">
        <v>31</v>
      </c>
      <c r="E2277">
        <v>0.36306899999999998</v>
      </c>
    </row>
    <row r="2278" spans="1:5" x14ac:dyDescent="0.3">
      <c r="A2278">
        <v>76</v>
      </c>
      <c r="B2278">
        <v>480000</v>
      </c>
      <c r="C2278" t="s">
        <v>45</v>
      </c>
      <c r="D2278" t="s">
        <v>32</v>
      </c>
      <c r="E2278">
        <v>0.32824700000000001</v>
      </c>
    </row>
    <row r="2279" spans="1:5" x14ac:dyDescent="0.3">
      <c r="A2279">
        <v>76</v>
      </c>
      <c r="B2279">
        <v>480000</v>
      </c>
      <c r="C2279" t="s">
        <v>45</v>
      </c>
      <c r="D2279" t="s">
        <v>33</v>
      </c>
      <c r="E2279">
        <v>99387.374899999995</v>
      </c>
    </row>
    <row r="2280" spans="1:5" x14ac:dyDescent="0.3">
      <c r="A2280">
        <v>76</v>
      </c>
      <c r="B2280">
        <v>480000</v>
      </c>
      <c r="C2280" t="s">
        <v>45</v>
      </c>
      <c r="D2280" t="s">
        <v>34</v>
      </c>
      <c r="E2280">
        <v>33181.941331000002</v>
      </c>
    </row>
    <row r="2281" spans="1:5" x14ac:dyDescent="0.3">
      <c r="A2281">
        <v>76</v>
      </c>
      <c r="B2281">
        <v>480000</v>
      </c>
      <c r="C2281" t="s">
        <v>45</v>
      </c>
      <c r="D2281" t="s">
        <v>35</v>
      </c>
      <c r="E2281">
        <v>6575.2749670000003</v>
      </c>
    </row>
    <row r="2282" spans="1:5" x14ac:dyDescent="0.3">
      <c r="A2282">
        <v>76</v>
      </c>
      <c r="B2282">
        <v>480000</v>
      </c>
      <c r="C2282" t="s">
        <v>45</v>
      </c>
      <c r="D2282" t="s">
        <v>36</v>
      </c>
      <c r="E2282">
        <v>0.127941</v>
      </c>
    </row>
    <row r="2283" spans="1:5" x14ac:dyDescent="0.3">
      <c r="A2283">
        <v>76</v>
      </c>
      <c r="B2283">
        <v>480000</v>
      </c>
      <c r="C2283" t="s">
        <v>45</v>
      </c>
      <c r="D2283" t="s">
        <v>37</v>
      </c>
      <c r="E2283">
        <v>74465.191036999997</v>
      </c>
    </row>
    <row r="2284" spans="1:5" x14ac:dyDescent="0.3">
      <c r="A2284">
        <v>76</v>
      </c>
      <c r="B2284">
        <v>480000</v>
      </c>
      <c r="C2284" t="s">
        <v>45</v>
      </c>
      <c r="D2284" t="s">
        <v>38</v>
      </c>
      <c r="E2284">
        <v>0.68489100000000003</v>
      </c>
    </row>
    <row r="2285" spans="1:5" x14ac:dyDescent="0.3">
      <c r="A2285">
        <v>76</v>
      </c>
      <c r="B2285">
        <v>480000</v>
      </c>
      <c r="C2285" t="s">
        <v>45</v>
      </c>
      <c r="D2285" t="s">
        <v>39</v>
      </c>
      <c r="E2285">
        <v>0.63531899999999997</v>
      </c>
    </row>
    <row r="2286" spans="1:5" x14ac:dyDescent="0.3">
      <c r="A2286">
        <v>76</v>
      </c>
      <c r="B2286">
        <v>480000</v>
      </c>
      <c r="C2286" t="s">
        <v>45</v>
      </c>
      <c r="D2286" t="s">
        <v>40</v>
      </c>
      <c r="E2286">
        <v>0.94364300000000001</v>
      </c>
    </row>
    <row r="2287" spans="1:5" x14ac:dyDescent="0.3">
      <c r="A2287">
        <v>76</v>
      </c>
      <c r="B2287">
        <v>480000</v>
      </c>
      <c r="C2287" t="s">
        <v>45</v>
      </c>
      <c r="D2287" t="s">
        <v>41</v>
      </c>
      <c r="E2287">
        <v>0.338951</v>
      </c>
    </row>
    <row r="2288" spans="1:5" x14ac:dyDescent="0.3">
      <c r="A2288">
        <v>76</v>
      </c>
      <c r="B2288">
        <v>480000</v>
      </c>
      <c r="C2288" t="s">
        <v>45</v>
      </c>
      <c r="D2288" t="s">
        <v>42</v>
      </c>
      <c r="E2288">
        <v>0.163826</v>
      </c>
    </row>
    <row r="2289" spans="1:5" x14ac:dyDescent="0.3">
      <c r="A2289">
        <v>76</v>
      </c>
      <c r="B2289">
        <v>480000</v>
      </c>
      <c r="C2289" t="s">
        <v>45</v>
      </c>
      <c r="D2289" t="s">
        <v>43</v>
      </c>
      <c r="E2289">
        <v>4.5926000000000002E-2</v>
      </c>
    </row>
    <row r="2290" spans="1:5" x14ac:dyDescent="0.3">
      <c r="A2290">
        <v>77</v>
      </c>
      <c r="B2290">
        <v>485000</v>
      </c>
      <c r="C2290" t="s">
        <v>45</v>
      </c>
      <c r="D2290" t="s">
        <v>28</v>
      </c>
      <c r="E2290">
        <v>160698.626716</v>
      </c>
    </row>
    <row r="2291" spans="1:5" x14ac:dyDescent="0.3">
      <c r="A2291">
        <v>77</v>
      </c>
      <c r="B2291">
        <v>485000</v>
      </c>
      <c r="C2291" t="s">
        <v>45</v>
      </c>
      <c r="D2291" t="s">
        <v>29</v>
      </c>
      <c r="E2291">
        <v>106416.700535</v>
      </c>
    </row>
    <row r="2292" spans="1:5" x14ac:dyDescent="0.3">
      <c r="A2292">
        <v>77</v>
      </c>
      <c r="B2292">
        <v>485000</v>
      </c>
      <c r="C2292" t="s">
        <v>45</v>
      </c>
      <c r="D2292" t="s">
        <v>30</v>
      </c>
      <c r="E2292">
        <v>263.40418199999999</v>
      </c>
    </row>
    <row r="2293" spans="1:5" x14ac:dyDescent="0.3">
      <c r="A2293">
        <v>77</v>
      </c>
      <c r="B2293">
        <v>485000</v>
      </c>
      <c r="C2293" t="s">
        <v>45</v>
      </c>
      <c r="D2293" t="s">
        <v>31</v>
      </c>
      <c r="E2293">
        <v>0.28997099999999998</v>
      </c>
    </row>
    <row r="2294" spans="1:5" x14ac:dyDescent="0.3">
      <c r="A2294">
        <v>77</v>
      </c>
      <c r="B2294">
        <v>485000</v>
      </c>
      <c r="C2294" t="s">
        <v>45</v>
      </c>
      <c r="D2294" t="s">
        <v>32</v>
      </c>
      <c r="E2294">
        <v>0.25966800000000001</v>
      </c>
    </row>
    <row r="2295" spans="1:5" x14ac:dyDescent="0.3">
      <c r="A2295">
        <v>77</v>
      </c>
      <c r="B2295">
        <v>485000</v>
      </c>
      <c r="C2295" t="s">
        <v>45</v>
      </c>
      <c r="D2295" t="s">
        <v>33</v>
      </c>
      <c r="E2295">
        <v>99387.438133000003</v>
      </c>
    </row>
    <row r="2296" spans="1:5" x14ac:dyDescent="0.3">
      <c r="A2296">
        <v>77</v>
      </c>
      <c r="B2296">
        <v>485000</v>
      </c>
      <c r="C2296" t="s">
        <v>45</v>
      </c>
      <c r="D2296" t="s">
        <v>34</v>
      </c>
      <c r="E2296">
        <v>37811.307159999997</v>
      </c>
    </row>
    <row r="2297" spans="1:5" x14ac:dyDescent="0.3">
      <c r="A2297">
        <v>77</v>
      </c>
      <c r="B2297">
        <v>485000</v>
      </c>
      <c r="C2297" t="s">
        <v>45</v>
      </c>
      <c r="D2297" t="s">
        <v>35</v>
      </c>
      <c r="E2297">
        <v>6575.0929599999999</v>
      </c>
    </row>
    <row r="2298" spans="1:5" x14ac:dyDescent="0.3">
      <c r="A2298">
        <v>77</v>
      </c>
      <c r="B2298">
        <v>485000</v>
      </c>
      <c r="C2298" t="s">
        <v>45</v>
      </c>
      <c r="D2298" t="s">
        <v>36</v>
      </c>
      <c r="E2298">
        <v>0.106476</v>
      </c>
    </row>
    <row r="2299" spans="1:5" x14ac:dyDescent="0.3">
      <c r="A2299">
        <v>77</v>
      </c>
      <c r="B2299">
        <v>485000</v>
      </c>
      <c r="C2299" t="s">
        <v>45</v>
      </c>
      <c r="D2299" t="s">
        <v>37</v>
      </c>
      <c r="E2299">
        <v>73844.467204</v>
      </c>
    </row>
    <row r="2300" spans="1:5" x14ac:dyDescent="0.3">
      <c r="A2300">
        <v>77</v>
      </c>
      <c r="B2300">
        <v>485000</v>
      </c>
      <c r="C2300" t="s">
        <v>45</v>
      </c>
      <c r="D2300" t="s">
        <v>38</v>
      </c>
      <c r="E2300">
        <v>0.56353799999999998</v>
      </c>
    </row>
    <row r="2301" spans="1:5" x14ac:dyDescent="0.3">
      <c r="A2301">
        <v>77</v>
      </c>
      <c r="B2301">
        <v>485000</v>
      </c>
      <c r="C2301" t="s">
        <v>45</v>
      </c>
      <c r="D2301" t="s">
        <v>39</v>
      </c>
      <c r="E2301">
        <v>0.56148100000000001</v>
      </c>
    </row>
    <row r="2302" spans="1:5" x14ac:dyDescent="0.3">
      <c r="A2302">
        <v>77</v>
      </c>
      <c r="B2302">
        <v>485000</v>
      </c>
      <c r="C2302" t="s">
        <v>45</v>
      </c>
      <c r="D2302" t="s">
        <v>40</v>
      </c>
      <c r="E2302">
        <v>0.75405</v>
      </c>
    </row>
    <row r="2303" spans="1:5" x14ac:dyDescent="0.3">
      <c r="A2303">
        <v>77</v>
      </c>
      <c r="B2303">
        <v>485000</v>
      </c>
      <c r="C2303" t="s">
        <v>45</v>
      </c>
      <c r="D2303" t="s">
        <v>41</v>
      </c>
      <c r="E2303">
        <v>0.281663</v>
      </c>
    </row>
    <row r="2304" spans="1:5" x14ac:dyDescent="0.3">
      <c r="A2304">
        <v>77</v>
      </c>
      <c r="B2304">
        <v>485000</v>
      </c>
      <c r="C2304" t="s">
        <v>45</v>
      </c>
      <c r="D2304" t="s">
        <v>42</v>
      </c>
      <c r="E2304">
        <v>0.134242</v>
      </c>
    </row>
    <row r="2305" spans="1:5" x14ac:dyDescent="0.3">
      <c r="A2305">
        <v>77</v>
      </c>
      <c r="B2305">
        <v>485000</v>
      </c>
      <c r="C2305" t="s">
        <v>45</v>
      </c>
      <c r="D2305" t="s">
        <v>43</v>
      </c>
      <c r="E2305">
        <v>3.7597999999999999E-2</v>
      </c>
    </row>
    <row r="2306" spans="1:5" x14ac:dyDescent="0.3">
      <c r="A2306">
        <v>78</v>
      </c>
      <c r="B2306">
        <v>490000</v>
      </c>
      <c r="C2306" t="s">
        <v>45</v>
      </c>
      <c r="D2306" t="s">
        <v>28</v>
      </c>
      <c r="E2306">
        <v>161540.97298699999</v>
      </c>
    </row>
    <row r="2307" spans="1:5" x14ac:dyDescent="0.3">
      <c r="A2307">
        <v>78</v>
      </c>
      <c r="B2307">
        <v>490000</v>
      </c>
      <c r="C2307" t="s">
        <v>45</v>
      </c>
      <c r="D2307" t="s">
        <v>29</v>
      </c>
      <c r="E2307">
        <v>106417.59437399999</v>
      </c>
    </row>
    <row r="2308" spans="1:5" x14ac:dyDescent="0.3">
      <c r="A2308">
        <v>78</v>
      </c>
      <c r="B2308">
        <v>490000</v>
      </c>
      <c r="C2308" t="s">
        <v>45</v>
      </c>
      <c r="D2308" t="s">
        <v>30</v>
      </c>
      <c r="E2308">
        <v>2813.6663579999999</v>
      </c>
    </row>
    <row r="2309" spans="1:5" x14ac:dyDescent="0.3">
      <c r="A2309">
        <v>78</v>
      </c>
      <c r="B2309">
        <v>490000</v>
      </c>
      <c r="C2309" t="s">
        <v>45</v>
      </c>
      <c r="D2309" t="s">
        <v>31</v>
      </c>
      <c r="E2309">
        <v>0.16397</v>
      </c>
    </row>
    <row r="2310" spans="1:5" x14ac:dyDescent="0.3">
      <c r="A2310">
        <v>78</v>
      </c>
      <c r="B2310">
        <v>490000</v>
      </c>
      <c r="C2310" t="s">
        <v>45</v>
      </c>
      <c r="D2310" t="s">
        <v>32</v>
      </c>
      <c r="E2310">
        <v>0.148783</v>
      </c>
    </row>
    <row r="2311" spans="1:5" x14ac:dyDescent="0.3">
      <c r="A2311">
        <v>78</v>
      </c>
      <c r="B2311">
        <v>490000</v>
      </c>
      <c r="C2311" t="s">
        <v>45</v>
      </c>
      <c r="D2311" t="s">
        <v>33</v>
      </c>
      <c r="E2311">
        <v>99387.476206000007</v>
      </c>
    </row>
    <row r="2312" spans="1:5" x14ac:dyDescent="0.3">
      <c r="A2312">
        <v>78</v>
      </c>
      <c r="B2312">
        <v>490000</v>
      </c>
      <c r="C2312" t="s">
        <v>45</v>
      </c>
      <c r="D2312" t="s">
        <v>34</v>
      </c>
      <c r="E2312">
        <v>38246.526830000003</v>
      </c>
    </row>
    <row r="2313" spans="1:5" x14ac:dyDescent="0.3">
      <c r="A2313">
        <v>78</v>
      </c>
      <c r="B2313">
        <v>490000</v>
      </c>
      <c r="C2313" t="s">
        <v>45</v>
      </c>
      <c r="D2313" t="s">
        <v>35</v>
      </c>
      <c r="E2313">
        <v>6574.6605019999997</v>
      </c>
    </row>
    <row r="2314" spans="1:5" x14ac:dyDescent="0.3">
      <c r="A2314">
        <v>78</v>
      </c>
      <c r="B2314">
        <v>490000</v>
      </c>
      <c r="C2314" t="s">
        <v>45</v>
      </c>
      <c r="D2314" t="s">
        <v>36</v>
      </c>
      <c r="E2314">
        <v>5.7548000000000002E-2</v>
      </c>
    </row>
    <row r="2315" spans="1:5" x14ac:dyDescent="0.3">
      <c r="A2315">
        <v>78</v>
      </c>
      <c r="B2315">
        <v>490000</v>
      </c>
      <c r="C2315" t="s">
        <v>45</v>
      </c>
      <c r="D2315" t="s">
        <v>37</v>
      </c>
      <c r="E2315">
        <v>75017.526501</v>
      </c>
    </row>
    <row r="2316" spans="1:5" x14ac:dyDescent="0.3">
      <c r="A2316">
        <v>78</v>
      </c>
      <c r="B2316">
        <v>490000</v>
      </c>
      <c r="C2316" t="s">
        <v>45</v>
      </c>
      <c r="D2316" t="s">
        <v>38</v>
      </c>
      <c r="E2316">
        <v>0.30782500000000002</v>
      </c>
    </row>
    <row r="2317" spans="1:5" x14ac:dyDescent="0.3">
      <c r="A2317">
        <v>78</v>
      </c>
      <c r="B2317">
        <v>490000</v>
      </c>
      <c r="C2317" t="s">
        <v>45</v>
      </c>
      <c r="D2317" t="s">
        <v>39</v>
      </c>
      <c r="E2317">
        <v>0.28311199999999997</v>
      </c>
    </row>
    <row r="2318" spans="1:5" x14ac:dyDescent="0.3">
      <c r="A2318">
        <v>78</v>
      </c>
      <c r="B2318">
        <v>490000</v>
      </c>
      <c r="C2318" t="s">
        <v>45</v>
      </c>
      <c r="D2318" t="s">
        <v>40</v>
      </c>
      <c r="E2318">
        <v>0.42034899999999997</v>
      </c>
    </row>
    <row r="2319" spans="1:5" x14ac:dyDescent="0.3">
      <c r="A2319">
        <v>78</v>
      </c>
      <c r="B2319">
        <v>490000</v>
      </c>
      <c r="C2319" t="s">
        <v>45</v>
      </c>
      <c r="D2319" t="s">
        <v>41</v>
      </c>
      <c r="E2319">
        <v>0.15296399999999999</v>
      </c>
    </row>
    <row r="2320" spans="1:5" x14ac:dyDescent="0.3">
      <c r="A2320">
        <v>78</v>
      </c>
      <c r="B2320">
        <v>490000</v>
      </c>
      <c r="C2320" t="s">
        <v>45</v>
      </c>
      <c r="D2320" t="s">
        <v>42</v>
      </c>
      <c r="E2320">
        <v>7.3632000000000003E-2</v>
      </c>
    </row>
    <row r="2321" spans="1:5" x14ac:dyDescent="0.3">
      <c r="A2321">
        <v>78</v>
      </c>
      <c r="B2321">
        <v>490000</v>
      </c>
      <c r="C2321" t="s">
        <v>45</v>
      </c>
      <c r="D2321" t="s">
        <v>43</v>
      </c>
      <c r="E2321">
        <v>2.0915E-2</v>
      </c>
    </row>
    <row r="2322" spans="1:5" x14ac:dyDescent="0.3">
      <c r="A2322">
        <v>79</v>
      </c>
      <c r="B2322">
        <v>495000</v>
      </c>
      <c r="C2322" t="s">
        <v>45</v>
      </c>
      <c r="D2322" t="s">
        <v>28</v>
      </c>
      <c r="E2322">
        <v>162380.334095</v>
      </c>
    </row>
    <row r="2323" spans="1:5" x14ac:dyDescent="0.3">
      <c r="A2323">
        <v>79</v>
      </c>
      <c r="B2323">
        <v>495000</v>
      </c>
      <c r="C2323" t="s">
        <v>45</v>
      </c>
      <c r="D2323" t="s">
        <v>29</v>
      </c>
      <c r="E2323">
        <v>106417.584703</v>
      </c>
    </row>
    <row r="2324" spans="1:5" x14ac:dyDescent="0.3">
      <c r="A2324">
        <v>79</v>
      </c>
      <c r="B2324">
        <v>495000</v>
      </c>
      <c r="C2324" t="s">
        <v>45</v>
      </c>
      <c r="D2324" t="s">
        <v>30</v>
      </c>
      <c r="E2324">
        <v>7143.8439799999996</v>
      </c>
    </row>
    <row r="2325" spans="1:5" x14ac:dyDescent="0.3">
      <c r="A2325">
        <v>79</v>
      </c>
      <c r="B2325">
        <v>495000</v>
      </c>
      <c r="C2325" t="s">
        <v>45</v>
      </c>
      <c r="D2325" t="s">
        <v>31</v>
      </c>
      <c r="E2325">
        <v>0.147868</v>
      </c>
    </row>
    <row r="2326" spans="1:5" x14ac:dyDescent="0.3">
      <c r="A2326">
        <v>79</v>
      </c>
      <c r="B2326">
        <v>495000</v>
      </c>
      <c r="C2326" t="s">
        <v>45</v>
      </c>
      <c r="D2326" t="s">
        <v>32</v>
      </c>
      <c r="E2326">
        <v>0.12842600000000001</v>
      </c>
    </row>
    <row r="2327" spans="1:5" x14ac:dyDescent="0.3">
      <c r="A2327">
        <v>79</v>
      </c>
      <c r="B2327">
        <v>495000</v>
      </c>
      <c r="C2327" t="s">
        <v>45</v>
      </c>
      <c r="D2327" t="s">
        <v>33</v>
      </c>
      <c r="E2327">
        <v>99387.510880000002</v>
      </c>
    </row>
    <row r="2328" spans="1:5" x14ac:dyDescent="0.3">
      <c r="A2328">
        <v>79</v>
      </c>
      <c r="B2328">
        <v>495000</v>
      </c>
      <c r="C2328" t="s">
        <v>45</v>
      </c>
      <c r="D2328" t="s">
        <v>34</v>
      </c>
      <c r="E2328">
        <v>37813.902289999998</v>
      </c>
    </row>
    <row r="2329" spans="1:5" x14ac:dyDescent="0.3">
      <c r="A2329">
        <v>79</v>
      </c>
      <c r="B2329">
        <v>495000</v>
      </c>
      <c r="C2329" t="s">
        <v>45</v>
      </c>
      <c r="D2329" t="s">
        <v>35</v>
      </c>
      <c r="E2329">
        <v>6574.5660660000003</v>
      </c>
    </row>
    <row r="2330" spans="1:5" x14ac:dyDescent="0.3">
      <c r="A2330">
        <v>79</v>
      </c>
      <c r="B2330">
        <v>495000</v>
      </c>
      <c r="C2330" t="s">
        <v>45</v>
      </c>
      <c r="D2330" t="s">
        <v>36</v>
      </c>
      <c r="E2330">
        <v>4.9986999999999997E-2</v>
      </c>
    </row>
    <row r="2331" spans="1:5" x14ac:dyDescent="0.3">
      <c r="A2331">
        <v>79</v>
      </c>
      <c r="B2331">
        <v>495000</v>
      </c>
      <c r="C2331" t="s">
        <v>45</v>
      </c>
      <c r="D2331" t="s">
        <v>37</v>
      </c>
      <c r="E2331">
        <v>75280.859391999998</v>
      </c>
    </row>
    <row r="2332" spans="1:5" x14ac:dyDescent="0.3">
      <c r="A2332">
        <v>79</v>
      </c>
      <c r="B2332">
        <v>495000</v>
      </c>
      <c r="C2332" t="s">
        <v>45</v>
      </c>
      <c r="D2332" t="s">
        <v>38</v>
      </c>
      <c r="E2332">
        <v>0.26158100000000001</v>
      </c>
    </row>
    <row r="2333" spans="1:5" x14ac:dyDescent="0.3">
      <c r="A2333">
        <v>79</v>
      </c>
      <c r="B2333">
        <v>495000</v>
      </c>
      <c r="C2333" t="s">
        <v>45</v>
      </c>
      <c r="D2333" t="s">
        <v>39</v>
      </c>
      <c r="E2333">
        <v>0.25609300000000002</v>
      </c>
    </row>
    <row r="2334" spans="1:5" x14ac:dyDescent="0.3">
      <c r="A2334">
        <v>79</v>
      </c>
      <c r="B2334">
        <v>495000</v>
      </c>
      <c r="C2334" t="s">
        <v>45</v>
      </c>
      <c r="D2334" t="s">
        <v>40</v>
      </c>
      <c r="E2334">
        <v>0.35135</v>
      </c>
    </row>
    <row r="2335" spans="1:5" x14ac:dyDescent="0.3">
      <c r="A2335">
        <v>79</v>
      </c>
      <c r="B2335">
        <v>495000</v>
      </c>
      <c r="C2335" t="s">
        <v>45</v>
      </c>
      <c r="D2335" t="s">
        <v>41</v>
      </c>
      <c r="E2335">
        <v>0.13328699999999999</v>
      </c>
    </row>
    <row r="2336" spans="1:5" x14ac:dyDescent="0.3">
      <c r="A2336">
        <v>79</v>
      </c>
      <c r="B2336">
        <v>495000</v>
      </c>
      <c r="C2336" t="s">
        <v>45</v>
      </c>
      <c r="D2336" t="s">
        <v>42</v>
      </c>
      <c r="E2336">
        <v>6.4694000000000002E-2</v>
      </c>
    </row>
    <row r="2337" spans="1:5" x14ac:dyDescent="0.3">
      <c r="A2337">
        <v>79</v>
      </c>
      <c r="B2337">
        <v>495000</v>
      </c>
      <c r="C2337" t="s">
        <v>45</v>
      </c>
      <c r="D2337" t="s">
        <v>43</v>
      </c>
      <c r="E2337">
        <v>1.796E-2</v>
      </c>
    </row>
    <row r="2338" spans="1:5" x14ac:dyDescent="0.3">
      <c r="A2338">
        <v>80</v>
      </c>
      <c r="B2338">
        <v>500000</v>
      </c>
      <c r="C2338" t="s">
        <v>45</v>
      </c>
      <c r="D2338" t="s">
        <v>28</v>
      </c>
      <c r="E2338">
        <v>163217.63173600001</v>
      </c>
    </row>
    <row r="2339" spans="1:5" x14ac:dyDescent="0.3">
      <c r="A2339">
        <v>80</v>
      </c>
      <c r="B2339">
        <v>500000</v>
      </c>
      <c r="C2339" t="s">
        <v>45</v>
      </c>
      <c r="D2339" t="s">
        <v>29</v>
      </c>
      <c r="E2339">
        <v>106417.096443</v>
      </c>
    </row>
    <row r="2340" spans="1:5" x14ac:dyDescent="0.3">
      <c r="A2340">
        <v>80</v>
      </c>
      <c r="B2340">
        <v>500000</v>
      </c>
      <c r="C2340" t="s">
        <v>45</v>
      </c>
      <c r="D2340" t="s">
        <v>30</v>
      </c>
      <c r="E2340">
        <v>11866.862261</v>
      </c>
    </row>
    <row r="2341" spans="1:5" x14ac:dyDescent="0.3">
      <c r="A2341">
        <v>80</v>
      </c>
      <c r="B2341">
        <v>500000</v>
      </c>
      <c r="C2341" t="s">
        <v>45</v>
      </c>
      <c r="D2341" t="s">
        <v>31</v>
      </c>
      <c r="E2341">
        <v>0.27850200000000003</v>
      </c>
    </row>
    <row r="2342" spans="1:5" x14ac:dyDescent="0.3">
      <c r="A2342">
        <v>80</v>
      </c>
      <c r="B2342">
        <v>500000</v>
      </c>
      <c r="C2342" t="s">
        <v>45</v>
      </c>
      <c r="D2342" t="s">
        <v>32</v>
      </c>
      <c r="E2342">
        <v>0.24298800000000001</v>
      </c>
    </row>
    <row r="2343" spans="1:5" x14ac:dyDescent="0.3">
      <c r="A2343">
        <v>80</v>
      </c>
      <c r="B2343">
        <v>500000</v>
      </c>
      <c r="C2343" t="s">
        <v>45</v>
      </c>
      <c r="D2343" t="s">
        <v>33</v>
      </c>
      <c r="E2343">
        <v>99387.461227000007</v>
      </c>
    </row>
    <row r="2344" spans="1:5" x14ac:dyDescent="0.3">
      <c r="A2344">
        <v>80</v>
      </c>
      <c r="B2344">
        <v>500000</v>
      </c>
      <c r="C2344" t="s">
        <v>45</v>
      </c>
      <c r="D2344" t="s">
        <v>34</v>
      </c>
      <c r="E2344">
        <v>37304.758382</v>
      </c>
    </row>
    <row r="2345" spans="1:5" x14ac:dyDescent="0.3">
      <c r="A2345">
        <v>80</v>
      </c>
      <c r="B2345">
        <v>500000</v>
      </c>
      <c r="C2345" t="s">
        <v>45</v>
      </c>
      <c r="D2345" t="s">
        <v>35</v>
      </c>
      <c r="E2345">
        <v>6574.9155940000001</v>
      </c>
    </row>
    <row r="2346" spans="1:5" x14ac:dyDescent="0.3">
      <c r="A2346">
        <v>80</v>
      </c>
      <c r="B2346">
        <v>500000</v>
      </c>
      <c r="C2346" t="s">
        <v>45</v>
      </c>
      <c r="D2346" t="s">
        <v>36</v>
      </c>
      <c r="E2346">
        <v>9.7266000000000005E-2</v>
      </c>
    </row>
    <row r="2347" spans="1:5" x14ac:dyDescent="0.3">
      <c r="A2347">
        <v>80</v>
      </c>
      <c r="B2347">
        <v>500000</v>
      </c>
      <c r="C2347" t="s">
        <v>45</v>
      </c>
      <c r="D2347" t="s">
        <v>37</v>
      </c>
      <c r="E2347">
        <v>75228.570535999999</v>
      </c>
    </row>
    <row r="2348" spans="1:5" x14ac:dyDescent="0.3">
      <c r="A2348">
        <v>80</v>
      </c>
      <c r="B2348">
        <v>500000</v>
      </c>
      <c r="C2348" t="s">
        <v>45</v>
      </c>
      <c r="D2348" t="s">
        <v>38</v>
      </c>
      <c r="E2348">
        <v>0.51868899999999996</v>
      </c>
    </row>
    <row r="2349" spans="1:5" x14ac:dyDescent="0.3">
      <c r="A2349">
        <v>80</v>
      </c>
      <c r="B2349">
        <v>500000</v>
      </c>
      <c r="C2349" t="s">
        <v>45</v>
      </c>
      <c r="D2349" t="s">
        <v>39</v>
      </c>
      <c r="E2349">
        <v>0.51537999999999995</v>
      </c>
    </row>
    <row r="2350" spans="1:5" x14ac:dyDescent="0.3">
      <c r="A2350">
        <v>80</v>
      </c>
      <c r="B2350">
        <v>500000</v>
      </c>
      <c r="C2350" t="s">
        <v>45</v>
      </c>
      <c r="D2350" t="s">
        <v>40</v>
      </c>
      <c r="E2350">
        <v>0.66049999999999998</v>
      </c>
    </row>
    <row r="2351" spans="1:5" x14ac:dyDescent="0.3">
      <c r="A2351">
        <v>80</v>
      </c>
      <c r="B2351">
        <v>500000</v>
      </c>
      <c r="C2351" t="s">
        <v>45</v>
      </c>
      <c r="D2351" t="s">
        <v>41</v>
      </c>
      <c r="E2351">
        <v>0.25722200000000001</v>
      </c>
    </row>
    <row r="2352" spans="1:5" x14ac:dyDescent="0.3">
      <c r="A2352">
        <v>80</v>
      </c>
      <c r="B2352">
        <v>500000</v>
      </c>
      <c r="C2352" t="s">
        <v>45</v>
      </c>
      <c r="D2352" t="s">
        <v>42</v>
      </c>
      <c r="E2352">
        <v>0.123779</v>
      </c>
    </row>
    <row r="2353" spans="1:5" x14ac:dyDescent="0.3">
      <c r="A2353">
        <v>80</v>
      </c>
      <c r="B2353">
        <v>500000</v>
      </c>
      <c r="C2353" t="s">
        <v>45</v>
      </c>
      <c r="D2353" t="s">
        <v>43</v>
      </c>
      <c r="E2353">
        <v>3.3582000000000001E-2</v>
      </c>
    </row>
    <row r="2354" spans="1:5" x14ac:dyDescent="0.3">
      <c r="A2354">
        <v>81</v>
      </c>
      <c r="B2354">
        <v>505000</v>
      </c>
      <c r="C2354" t="s">
        <v>45</v>
      </c>
      <c r="D2354" t="s">
        <v>28</v>
      </c>
      <c r="E2354">
        <v>164057.42452500001</v>
      </c>
    </row>
    <row r="2355" spans="1:5" x14ac:dyDescent="0.3">
      <c r="A2355">
        <v>81</v>
      </c>
      <c r="B2355">
        <v>505000</v>
      </c>
      <c r="C2355" t="s">
        <v>45</v>
      </c>
      <c r="D2355" t="s">
        <v>29</v>
      </c>
      <c r="E2355">
        <v>106417.406924</v>
      </c>
    </row>
    <row r="2356" spans="1:5" x14ac:dyDescent="0.3">
      <c r="A2356">
        <v>81</v>
      </c>
      <c r="B2356">
        <v>505000</v>
      </c>
      <c r="C2356" t="s">
        <v>45</v>
      </c>
      <c r="D2356" t="s">
        <v>30</v>
      </c>
      <c r="E2356">
        <v>16489.885333999999</v>
      </c>
    </row>
    <row r="2357" spans="1:5" x14ac:dyDescent="0.3">
      <c r="A2357">
        <v>81</v>
      </c>
      <c r="B2357">
        <v>505000</v>
      </c>
      <c r="C2357" t="s">
        <v>45</v>
      </c>
      <c r="D2357" t="s">
        <v>31</v>
      </c>
      <c r="E2357">
        <v>0.22347900000000001</v>
      </c>
    </row>
    <row r="2358" spans="1:5" x14ac:dyDescent="0.3">
      <c r="A2358">
        <v>81</v>
      </c>
      <c r="B2358">
        <v>505000</v>
      </c>
      <c r="C2358" t="s">
        <v>45</v>
      </c>
      <c r="D2358" t="s">
        <v>32</v>
      </c>
      <c r="E2358">
        <v>0.19539599999999999</v>
      </c>
    </row>
    <row r="2359" spans="1:5" x14ac:dyDescent="0.3">
      <c r="A2359">
        <v>81</v>
      </c>
      <c r="B2359">
        <v>505000</v>
      </c>
      <c r="C2359" t="s">
        <v>45</v>
      </c>
      <c r="D2359" t="s">
        <v>33</v>
      </c>
      <c r="E2359">
        <v>99387.411795000007</v>
      </c>
    </row>
    <row r="2360" spans="1:5" x14ac:dyDescent="0.3">
      <c r="A2360">
        <v>81</v>
      </c>
      <c r="B2360">
        <v>505000</v>
      </c>
      <c r="C2360" t="s">
        <v>45</v>
      </c>
      <c r="D2360" t="s">
        <v>34</v>
      </c>
      <c r="E2360">
        <v>36833.702482000001</v>
      </c>
    </row>
    <row r="2361" spans="1:5" x14ac:dyDescent="0.3">
      <c r="A2361">
        <v>81</v>
      </c>
      <c r="B2361">
        <v>505000</v>
      </c>
      <c r="C2361" t="s">
        <v>45</v>
      </c>
      <c r="D2361" t="s">
        <v>35</v>
      </c>
      <c r="E2361">
        <v>6574.7268489999997</v>
      </c>
    </row>
    <row r="2362" spans="1:5" x14ac:dyDescent="0.3">
      <c r="A2362">
        <v>81</v>
      </c>
      <c r="B2362">
        <v>505000</v>
      </c>
      <c r="C2362" t="s">
        <v>45</v>
      </c>
      <c r="D2362" t="s">
        <v>36</v>
      </c>
      <c r="E2362">
        <v>7.6361999999999999E-2</v>
      </c>
    </row>
    <row r="2363" spans="1:5" x14ac:dyDescent="0.3">
      <c r="A2363">
        <v>81</v>
      </c>
      <c r="B2363">
        <v>505000</v>
      </c>
      <c r="C2363" t="s">
        <v>45</v>
      </c>
      <c r="D2363" t="s">
        <v>37</v>
      </c>
      <c r="E2363">
        <v>75237.268410000004</v>
      </c>
    </row>
    <row r="2364" spans="1:5" x14ac:dyDescent="0.3">
      <c r="A2364">
        <v>81</v>
      </c>
      <c r="B2364">
        <v>505000</v>
      </c>
      <c r="C2364" t="s">
        <v>45</v>
      </c>
      <c r="D2364" t="s">
        <v>38</v>
      </c>
      <c r="E2364">
        <v>0.40726299999999999</v>
      </c>
    </row>
    <row r="2365" spans="1:5" x14ac:dyDescent="0.3">
      <c r="A2365">
        <v>81</v>
      </c>
      <c r="B2365">
        <v>505000</v>
      </c>
      <c r="C2365" t="s">
        <v>45</v>
      </c>
      <c r="D2365" t="s">
        <v>39</v>
      </c>
      <c r="E2365">
        <v>0.40004299999999998</v>
      </c>
    </row>
    <row r="2366" spans="1:5" x14ac:dyDescent="0.3">
      <c r="A2366">
        <v>81</v>
      </c>
      <c r="B2366">
        <v>505000</v>
      </c>
      <c r="C2366" t="s">
        <v>45</v>
      </c>
      <c r="D2366" t="s">
        <v>40</v>
      </c>
      <c r="E2366">
        <v>0.57886800000000005</v>
      </c>
    </row>
    <row r="2367" spans="1:5" x14ac:dyDescent="0.3">
      <c r="A2367">
        <v>81</v>
      </c>
      <c r="B2367">
        <v>505000</v>
      </c>
      <c r="C2367" t="s">
        <v>45</v>
      </c>
      <c r="D2367" t="s">
        <v>41</v>
      </c>
      <c r="E2367">
        <v>0.20010900000000001</v>
      </c>
    </row>
    <row r="2368" spans="1:5" x14ac:dyDescent="0.3">
      <c r="A2368">
        <v>81</v>
      </c>
      <c r="B2368">
        <v>505000</v>
      </c>
      <c r="C2368" t="s">
        <v>45</v>
      </c>
      <c r="D2368" t="s">
        <v>42</v>
      </c>
      <c r="E2368">
        <v>9.5062999999999995E-2</v>
      </c>
    </row>
    <row r="2369" spans="1:5" x14ac:dyDescent="0.3">
      <c r="A2369">
        <v>81</v>
      </c>
      <c r="B2369">
        <v>505000</v>
      </c>
      <c r="C2369" t="s">
        <v>45</v>
      </c>
      <c r="D2369" t="s">
        <v>43</v>
      </c>
      <c r="E2369">
        <v>2.6265E-2</v>
      </c>
    </row>
    <row r="2370" spans="1:5" x14ac:dyDescent="0.3">
      <c r="A2370">
        <v>82</v>
      </c>
      <c r="B2370">
        <v>510000</v>
      </c>
      <c r="C2370" t="s">
        <v>45</v>
      </c>
      <c r="D2370" t="s">
        <v>28</v>
      </c>
      <c r="E2370">
        <v>164895.18585400001</v>
      </c>
    </row>
    <row r="2371" spans="1:5" x14ac:dyDescent="0.3">
      <c r="A2371">
        <v>82</v>
      </c>
      <c r="B2371">
        <v>510000</v>
      </c>
      <c r="C2371" t="s">
        <v>45</v>
      </c>
      <c r="D2371" t="s">
        <v>29</v>
      </c>
      <c r="E2371">
        <v>106417.514098</v>
      </c>
    </row>
    <row r="2372" spans="1:5" x14ac:dyDescent="0.3">
      <c r="A2372">
        <v>82</v>
      </c>
      <c r="B2372">
        <v>510000</v>
      </c>
      <c r="C2372" t="s">
        <v>45</v>
      </c>
      <c r="D2372" t="s">
        <v>30</v>
      </c>
      <c r="E2372">
        <v>21207.6934</v>
      </c>
    </row>
    <row r="2373" spans="1:5" x14ac:dyDescent="0.3">
      <c r="A2373">
        <v>82</v>
      </c>
      <c r="B2373">
        <v>510000</v>
      </c>
      <c r="C2373" t="s">
        <v>45</v>
      </c>
      <c r="D2373" t="s">
        <v>31</v>
      </c>
      <c r="E2373">
        <v>0.20814199999999999</v>
      </c>
    </row>
    <row r="2374" spans="1:5" x14ac:dyDescent="0.3">
      <c r="A2374">
        <v>82</v>
      </c>
      <c r="B2374">
        <v>510000</v>
      </c>
      <c r="C2374" t="s">
        <v>45</v>
      </c>
      <c r="D2374" t="s">
        <v>32</v>
      </c>
      <c r="E2374">
        <v>0.186249</v>
      </c>
    </row>
    <row r="2375" spans="1:5" x14ac:dyDescent="0.3">
      <c r="A2375">
        <v>82</v>
      </c>
      <c r="B2375">
        <v>510000</v>
      </c>
      <c r="C2375" t="s">
        <v>45</v>
      </c>
      <c r="D2375" t="s">
        <v>33</v>
      </c>
      <c r="E2375">
        <v>99387.484700000001</v>
      </c>
    </row>
    <row r="2376" spans="1:5" x14ac:dyDescent="0.3">
      <c r="A2376">
        <v>82</v>
      </c>
      <c r="B2376">
        <v>510000</v>
      </c>
      <c r="C2376" t="s">
        <v>45</v>
      </c>
      <c r="D2376" t="s">
        <v>34</v>
      </c>
      <c r="E2376">
        <v>36320.633979999999</v>
      </c>
    </row>
    <row r="2377" spans="1:5" x14ac:dyDescent="0.3">
      <c r="A2377">
        <v>82</v>
      </c>
      <c r="B2377">
        <v>510000</v>
      </c>
      <c r="C2377" t="s">
        <v>45</v>
      </c>
      <c r="D2377" t="s">
        <v>35</v>
      </c>
      <c r="E2377">
        <v>6574.7191640000001</v>
      </c>
    </row>
    <row r="2378" spans="1:5" x14ac:dyDescent="0.3">
      <c r="A2378">
        <v>82</v>
      </c>
      <c r="B2378">
        <v>510000</v>
      </c>
      <c r="C2378" t="s">
        <v>45</v>
      </c>
      <c r="D2378" t="s">
        <v>36</v>
      </c>
      <c r="E2378">
        <v>7.2511999999999993E-2</v>
      </c>
    </row>
    <row r="2379" spans="1:5" x14ac:dyDescent="0.3">
      <c r="A2379">
        <v>82</v>
      </c>
      <c r="B2379">
        <v>510000</v>
      </c>
      <c r="C2379" t="s">
        <v>45</v>
      </c>
      <c r="D2379" t="s">
        <v>37</v>
      </c>
      <c r="E2379">
        <v>75194.758329999997</v>
      </c>
    </row>
    <row r="2380" spans="1:5" x14ac:dyDescent="0.3">
      <c r="A2380">
        <v>82</v>
      </c>
      <c r="B2380">
        <v>510000</v>
      </c>
      <c r="C2380" t="s">
        <v>45</v>
      </c>
      <c r="D2380" t="s">
        <v>38</v>
      </c>
      <c r="E2380">
        <v>0.38271699999999997</v>
      </c>
    </row>
    <row r="2381" spans="1:5" x14ac:dyDescent="0.3">
      <c r="A2381">
        <v>82</v>
      </c>
      <c r="B2381">
        <v>510000</v>
      </c>
      <c r="C2381" t="s">
        <v>45</v>
      </c>
      <c r="D2381" t="s">
        <v>39</v>
      </c>
      <c r="E2381">
        <v>0.36261599999999999</v>
      </c>
    </row>
    <row r="2382" spans="1:5" x14ac:dyDescent="0.3">
      <c r="A2382">
        <v>82</v>
      </c>
      <c r="B2382">
        <v>510000</v>
      </c>
      <c r="C2382" t="s">
        <v>45</v>
      </c>
      <c r="D2382" t="s">
        <v>40</v>
      </c>
      <c r="E2382">
        <v>0.53283800000000003</v>
      </c>
    </row>
    <row r="2383" spans="1:5" x14ac:dyDescent="0.3">
      <c r="A2383">
        <v>82</v>
      </c>
      <c r="B2383">
        <v>510000</v>
      </c>
      <c r="C2383" t="s">
        <v>45</v>
      </c>
      <c r="D2383" t="s">
        <v>41</v>
      </c>
      <c r="E2383">
        <v>0.191826</v>
      </c>
    </row>
    <row r="2384" spans="1:5" x14ac:dyDescent="0.3">
      <c r="A2384">
        <v>82</v>
      </c>
      <c r="B2384">
        <v>510000</v>
      </c>
      <c r="C2384" t="s">
        <v>45</v>
      </c>
      <c r="D2384" t="s">
        <v>42</v>
      </c>
      <c r="E2384">
        <v>9.2767000000000002E-2</v>
      </c>
    </row>
    <row r="2385" spans="1:5" x14ac:dyDescent="0.3">
      <c r="A2385">
        <v>82</v>
      </c>
      <c r="B2385">
        <v>510000</v>
      </c>
      <c r="C2385" t="s">
        <v>45</v>
      </c>
      <c r="D2385" t="s">
        <v>43</v>
      </c>
      <c r="E2385">
        <v>2.5805999999999999E-2</v>
      </c>
    </row>
    <row r="2386" spans="1:5" x14ac:dyDescent="0.3">
      <c r="A2386">
        <v>83</v>
      </c>
      <c r="B2386">
        <v>515000</v>
      </c>
      <c r="C2386" t="s">
        <v>45</v>
      </c>
      <c r="D2386" t="s">
        <v>28</v>
      </c>
      <c r="E2386">
        <v>165732.38019900001</v>
      </c>
    </row>
    <row r="2387" spans="1:5" x14ac:dyDescent="0.3">
      <c r="A2387">
        <v>83</v>
      </c>
      <c r="B2387">
        <v>515000</v>
      </c>
      <c r="C2387" t="s">
        <v>45</v>
      </c>
      <c r="D2387" t="s">
        <v>29</v>
      </c>
      <c r="E2387">
        <v>106417.007031</v>
      </c>
    </row>
    <row r="2388" spans="1:5" x14ac:dyDescent="0.3">
      <c r="A2388">
        <v>83</v>
      </c>
      <c r="B2388">
        <v>515000</v>
      </c>
      <c r="C2388" t="s">
        <v>45</v>
      </c>
      <c r="D2388" t="s">
        <v>30</v>
      </c>
      <c r="E2388">
        <v>25826.034005000001</v>
      </c>
    </row>
    <row r="2389" spans="1:5" x14ac:dyDescent="0.3">
      <c r="A2389">
        <v>83</v>
      </c>
      <c r="B2389">
        <v>515000</v>
      </c>
      <c r="C2389" t="s">
        <v>45</v>
      </c>
      <c r="D2389" t="s">
        <v>31</v>
      </c>
      <c r="E2389">
        <v>0.27346300000000001</v>
      </c>
    </row>
    <row r="2390" spans="1:5" x14ac:dyDescent="0.3">
      <c r="A2390">
        <v>83</v>
      </c>
      <c r="B2390">
        <v>515000</v>
      </c>
      <c r="C2390" t="s">
        <v>45</v>
      </c>
      <c r="D2390" t="s">
        <v>32</v>
      </c>
      <c r="E2390">
        <v>0.239008</v>
      </c>
    </row>
    <row r="2391" spans="1:5" x14ac:dyDescent="0.3">
      <c r="A2391">
        <v>83</v>
      </c>
      <c r="B2391">
        <v>515000</v>
      </c>
      <c r="C2391" t="s">
        <v>45</v>
      </c>
      <c r="D2391" t="s">
        <v>33</v>
      </c>
      <c r="E2391">
        <v>99387.736199000006</v>
      </c>
    </row>
    <row r="2392" spans="1:5" x14ac:dyDescent="0.3">
      <c r="A2392">
        <v>83</v>
      </c>
      <c r="B2392">
        <v>515000</v>
      </c>
      <c r="C2392" t="s">
        <v>45</v>
      </c>
      <c r="D2392" t="s">
        <v>34</v>
      </c>
      <c r="E2392">
        <v>35876.936121999999</v>
      </c>
    </row>
    <row r="2393" spans="1:5" x14ac:dyDescent="0.3">
      <c r="A2393">
        <v>83</v>
      </c>
      <c r="B2393">
        <v>515000</v>
      </c>
      <c r="C2393" t="s">
        <v>45</v>
      </c>
      <c r="D2393" t="s">
        <v>35</v>
      </c>
      <c r="E2393">
        <v>6574.7982050000001</v>
      </c>
    </row>
    <row r="2394" spans="1:5" x14ac:dyDescent="0.3">
      <c r="A2394">
        <v>83</v>
      </c>
      <c r="B2394">
        <v>515000</v>
      </c>
      <c r="C2394" t="s">
        <v>45</v>
      </c>
      <c r="D2394" t="s">
        <v>36</v>
      </c>
      <c r="E2394">
        <v>9.7002000000000005E-2</v>
      </c>
    </row>
    <row r="2395" spans="1:5" x14ac:dyDescent="0.3">
      <c r="A2395">
        <v>83</v>
      </c>
      <c r="B2395">
        <v>515000</v>
      </c>
      <c r="C2395" t="s">
        <v>45</v>
      </c>
      <c r="D2395" t="s">
        <v>37</v>
      </c>
      <c r="E2395">
        <v>75182.346661999996</v>
      </c>
    </row>
    <row r="2396" spans="1:5" x14ac:dyDescent="0.3">
      <c r="A2396">
        <v>83</v>
      </c>
      <c r="B2396">
        <v>515000</v>
      </c>
      <c r="C2396" t="s">
        <v>45</v>
      </c>
      <c r="D2396" t="s">
        <v>38</v>
      </c>
      <c r="E2396">
        <v>0.53401699999999996</v>
      </c>
    </row>
    <row r="2397" spans="1:5" x14ac:dyDescent="0.3">
      <c r="A2397">
        <v>83</v>
      </c>
      <c r="B2397">
        <v>515000</v>
      </c>
      <c r="C2397" t="s">
        <v>45</v>
      </c>
      <c r="D2397" t="s">
        <v>39</v>
      </c>
      <c r="E2397">
        <v>0.56240400000000002</v>
      </c>
    </row>
    <row r="2398" spans="1:5" x14ac:dyDescent="0.3">
      <c r="A2398">
        <v>83</v>
      </c>
      <c r="B2398">
        <v>515000</v>
      </c>
      <c r="C2398" t="s">
        <v>45</v>
      </c>
      <c r="D2398" t="s">
        <v>40</v>
      </c>
      <c r="E2398">
        <v>0.65719700000000003</v>
      </c>
    </row>
    <row r="2399" spans="1:5" x14ac:dyDescent="0.3">
      <c r="A2399">
        <v>83</v>
      </c>
      <c r="B2399">
        <v>515000</v>
      </c>
      <c r="C2399" t="s">
        <v>45</v>
      </c>
      <c r="D2399" t="s">
        <v>41</v>
      </c>
      <c r="E2399">
        <v>0.25977899999999998</v>
      </c>
    </row>
    <row r="2400" spans="1:5" x14ac:dyDescent="0.3">
      <c r="A2400">
        <v>83</v>
      </c>
      <c r="B2400">
        <v>515000</v>
      </c>
      <c r="C2400" t="s">
        <v>45</v>
      </c>
      <c r="D2400" t="s">
        <v>42</v>
      </c>
      <c r="E2400">
        <v>0.123225</v>
      </c>
    </row>
    <row r="2401" spans="1:5" x14ac:dyDescent="0.3">
      <c r="A2401">
        <v>83</v>
      </c>
      <c r="B2401">
        <v>515000</v>
      </c>
      <c r="C2401" t="s">
        <v>45</v>
      </c>
      <c r="D2401" t="s">
        <v>43</v>
      </c>
      <c r="E2401">
        <v>3.2537999999999997E-2</v>
      </c>
    </row>
    <row r="2402" spans="1:5" x14ac:dyDescent="0.3">
      <c r="A2402">
        <v>84</v>
      </c>
      <c r="B2402">
        <v>520000</v>
      </c>
      <c r="C2402" t="s">
        <v>45</v>
      </c>
      <c r="D2402" t="s">
        <v>28</v>
      </c>
      <c r="E2402">
        <v>166565.32077799999</v>
      </c>
    </row>
    <row r="2403" spans="1:5" x14ac:dyDescent="0.3">
      <c r="A2403">
        <v>84</v>
      </c>
      <c r="B2403">
        <v>520000</v>
      </c>
      <c r="C2403" t="s">
        <v>45</v>
      </c>
      <c r="D2403" t="s">
        <v>29</v>
      </c>
      <c r="E2403">
        <v>106417.365815</v>
      </c>
    </row>
    <row r="2404" spans="1:5" x14ac:dyDescent="0.3">
      <c r="A2404">
        <v>84</v>
      </c>
      <c r="B2404">
        <v>520000</v>
      </c>
      <c r="C2404" t="s">
        <v>45</v>
      </c>
      <c r="D2404" t="s">
        <v>30</v>
      </c>
      <c r="E2404">
        <v>30450.742627</v>
      </c>
    </row>
    <row r="2405" spans="1:5" x14ac:dyDescent="0.3">
      <c r="A2405">
        <v>84</v>
      </c>
      <c r="B2405">
        <v>520000</v>
      </c>
      <c r="C2405" t="s">
        <v>45</v>
      </c>
      <c r="D2405" t="s">
        <v>31</v>
      </c>
      <c r="E2405">
        <v>0.22107599999999999</v>
      </c>
    </row>
    <row r="2406" spans="1:5" x14ac:dyDescent="0.3">
      <c r="A2406">
        <v>84</v>
      </c>
      <c r="B2406">
        <v>520000</v>
      </c>
      <c r="C2406" t="s">
        <v>45</v>
      </c>
      <c r="D2406" t="s">
        <v>32</v>
      </c>
      <c r="E2406">
        <v>0.19524</v>
      </c>
    </row>
    <row r="2407" spans="1:5" x14ac:dyDescent="0.3">
      <c r="A2407">
        <v>84</v>
      </c>
      <c r="B2407">
        <v>520000</v>
      </c>
      <c r="C2407" t="s">
        <v>45</v>
      </c>
      <c r="D2407" t="s">
        <v>33</v>
      </c>
      <c r="E2407">
        <v>99387.424346</v>
      </c>
    </row>
    <row r="2408" spans="1:5" x14ac:dyDescent="0.3">
      <c r="A2408">
        <v>84</v>
      </c>
      <c r="B2408">
        <v>520000</v>
      </c>
      <c r="C2408" t="s">
        <v>45</v>
      </c>
      <c r="D2408" t="s">
        <v>34</v>
      </c>
      <c r="E2408">
        <v>35443.446871</v>
      </c>
    </row>
    <row r="2409" spans="1:5" x14ac:dyDescent="0.3">
      <c r="A2409">
        <v>84</v>
      </c>
      <c r="B2409">
        <v>520000</v>
      </c>
      <c r="C2409" t="s">
        <v>45</v>
      </c>
      <c r="D2409" t="s">
        <v>35</v>
      </c>
      <c r="E2409">
        <v>6574.7442639999999</v>
      </c>
    </row>
    <row r="2410" spans="1:5" x14ac:dyDescent="0.3">
      <c r="A2410">
        <v>84</v>
      </c>
      <c r="B2410">
        <v>520000</v>
      </c>
      <c r="C2410" t="s">
        <v>45</v>
      </c>
      <c r="D2410" t="s">
        <v>36</v>
      </c>
      <c r="E2410">
        <v>7.6114000000000001E-2</v>
      </c>
    </row>
    <row r="2411" spans="1:5" x14ac:dyDescent="0.3">
      <c r="A2411">
        <v>84</v>
      </c>
      <c r="B2411">
        <v>520000</v>
      </c>
      <c r="C2411" t="s">
        <v>45</v>
      </c>
      <c r="D2411" t="s">
        <v>37</v>
      </c>
      <c r="E2411">
        <v>75158.829226999995</v>
      </c>
    </row>
    <row r="2412" spans="1:5" x14ac:dyDescent="0.3">
      <c r="A2412">
        <v>84</v>
      </c>
      <c r="B2412">
        <v>520000</v>
      </c>
      <c r="C2412" t="s">
        <v>45</v>
      </c>
      <c r="D2412" t="s">
        <v>38</v>
      </c>
      <c r="E2412">
        <v>0.40498099999999998</v>
      </c>
    </row>
    <row r="2413" spans="1:5" x14ac:dyDescent="0.3">
      <c r="A2413">
        <v>84</v>
      </c>
      <c r="B2413">
        <v>520000</v>
      </c>
      <c r="C2413" t="s">
        <v>45</v>
      </c>
      <c r="D2413" t="s">
        <v>39</v>
      </c>
      <c r="E2413">
        <v>0.39591700000000002</v>
      </c>
    </row>
    <row r="2414" spans="1:5" x14ac:dyDescent="0.3">
      <c r="A2414">
        <v>84</v>
      </c>
      <c r="B2414">
        <v>520000</v>
      </c>
      <c r="C2414" t="s">
        <v>45</v>
      </c>
      <c r="D2414" t="s">
        <v>40</v>
      </c>
      <c r="E2414">
        <v>0.53187499999999999</v>
      </c>
    </row>
    <row r="2415" spans="1:5" x14ac:dyDescent="0.3">
      <c r="A2415">
        <v>84</v>
      </c>
      <c r="B2415">
        <v>520000</v>
      </c>
      <c r="C2415" t="s">
        <v>45</v>
      </c>
      <c r="D2415" t="s">
        <v>41</v>
      </c>
      <c r="E2415">
        <v>0.20554800000000001</v>
      </c>
    </row>
    <row r="2416" spans="1:5" x14ac:dyDescent="0.3">
      <c r="A2416">
        <v>84</v>
      </c>
      <c r="B2416">
        <v>520000</v>
      </c>
      <c r="C2416" t="s">
        <v>45</v>
      </c>
      <c r="D2416" t="s">
        <v>42</v>
      </c>
      <c r="E2416">
        <v>9.6742999999999996E-2</v>
      </c>
    </row>
    <row r="2417" spans="1:5" x14ac:dyDescent="0.3">
      <c r="A2417">
        <v>84</v>
      </c>
      <c r="B2417">
        <v>520000</v>
      </c>
      <c r="C2417" t="s">
        <v>45</v>
      </c>
      <c r="D2417" t="s">
        <v>43</v>
      </c>
      <c r="E2417">
        <v>2.7025E-2</v>
      </c>
    </row>
    <row r="2418" spans="1:5" x14ac:dyDescent="0.3">
      <c r="A2418">
        <v>85</v>
      </c>
      <c r="B2418">
        <v>525000</v>
      </c>
      <c r="C2418" t="s">
        <v>45</v>
      </c>
      <c r="D2418" t="s">
        <v>28</v>
      </c>
      <c r="E2418">
        <v>167406.716365</v>
      </c>
    </row>
    <row r="2419" spans="1:5" x14ac:dyDescent="0.3">
      <c r="A2419">
        <v>85</v>
      </c>
      <c r="B2419">
        <v>525000</v>
      </c>
      <c r="C2419" t="s">
        <v>45</v>
      </c>
      <c r="D2419" t="s">
        <v>29</v>
      </c>
      <c r="E2419">
        <v>106417.54945799999</v>
      </c>
    </row>
    <row r="2420" spans="1:5" x14ac:dyDescent="0.3">
      <c r="A2420">
        <v>85</v>
      </c>
      <c r="B2420">
        <v>525000</v>
      </c>
      <c r="C2420" t="s">
        <v>45</v>
      </c>
      <c r="D2420" t="s">
        <v>30</v>
      </c>
      <c r="E2420">
        <v>35145.578904000002</v>
      </c>
    </row>
    <row r="2421" spans="1:5" x14ac:dyDescent="0.3">
      <c r="A2421">
        <v>85</v>
      </c>
      <c r="B2421">
        <v>525000</v>
      </c>
      <c r="C2421" t="s">
        <v>45</v>
      </c>
      <c r="D2421" t="s">
        <v>31</v>
      </c>
      <c r="E2421">
        <v>0.197542</v>
      </c>
    </row>
    <row r="2422" spans="1:5" x14ac:dyDescent="0.3">
      <c r="A2422">
        <v>85</v>
      </c>
      <c r="B2422">
        <v>525000</v>
      </c>
      <c r="C2422" t="s">
        <v>45</v>
      </c>
      <c r="D2422" t="s">
        <v>32</v>
      </c>
      <c r="E2422">
        <v>0.17304</v>
      </c>
    </row>
    <row r="2423" spans="1:5" x14ac:dyDescent="0.3">
      <c r="A2423">
        <v>85</v>
      </c>
      <c r="B2423">
        <v>525000</v>
      </c>
      <c r="C2423" t="s">
        <v>45</v>
      </c>
      <c r="D2423" t="s">
        <v>33</v>
      </c>
      <c r="E2423">
        <v>99387.553788999998</v>
      </c>
    </row>
    <row r="2424" spans="1:5" x14ac:dyDescent="0.3">
      <c r="A2424">
        <v>85</v>
      </c>
      <c r="B2424">
        <v>525000</v>
      </c>
      <c r="C2424" t="s">
        <v>45</v>
      </c>
      <c r="D2424" t="s">
        <v>34</v>
      </c>
      <c r="E2424">
        <v>34943.167253</v>
      </c>
    </row>
    <row r="2425" spans="1:5" x14ac:dyDescent="0.3">
      <c r="A2425">
        <v>85</v>
      </c>
      <c r="B2425">
        <v>525000</v>
      </c>
      <c r="C2425" t="s">
        <v>45</v>
      </c>
      <c r="D2425" t="s">
        <v>35</v>
      </c>
      <c r="E2425">
        <v>6574.6374569999998</v>
      </c>
    </row>
    <row r="2426" spans="1:5" x14ac:dyDescent="0.3">
      <c r="A2426">
        <v>85</v>
      </c>
      <c r="B2426">
        <v>525000</v>
      </c>
      <c r="C2426" t="s">
        <v>45</v>
      </c>
      <c r="D2426" t="s">
        <v>36</v>
      </c>
      <c r="E2426">
        <v>6.5809000000000006E-2</v>
      </c>
    </row>
    <row r="2427" spans="1:5" x14ac:dyDescent="0.3">
      <c r="A2427">
        <v>85</v>
      </c>
      <c r="B2427">
        <v>525000</v>
      </c>
      <c r="C2427" t="s">
        <v>45</v>
      </c>
      <c r="D2427" t="s">
        <v>37</v>
      </c>
      <c r="E2427">
        <v>75122.911898999999</v>
      </c>
    </row>
    <row r="2428" spans="1:5" x14ac:dyDescent="0.3">
      <c r="A2428">
        <v>85</v>
      </c>
      <c r="B2428">
        <v>525000</v>
      </c>
      <c r="C2428" t="s">
        <v>45</v>
      </c>
      <c r="D2428" t="s">
        <v>38</v>
      </c>
      <c r="E2428">
        <v>0.35995100000000002</v>
      </c>
    </row>
    <row r="2429" spans="1:5" x14ac:dyDescent="0.3">
      <c r="A2429">
        <v>85</v>
      </c>
      <c r="B2429">
        <v>525000</v>
      </c>
      <c r="C2429" t="s">
        <v>45</v>
      </c>
      <c r="D2429" t="s">
        <v>39</v>
      </c>
      <c r="E2429">
        <v>0.34760799999999997</v>
      </c>
    </row>
    <row r="2430" spans="1:5" x14ac:dyDescent="0.3">
      <c r="A2430">
        <v>85</v>
      </c>
      <c r="B2430">
        <v>525000</v>
      </c>
      <c r="C2430" t="s">
        <v>45</v>
      </c>
      <c r="D2430" t="s">
        <v>40</v>
      </c>
      <c r="E2430">
        <v>0.48486600000000002</v>
      </c>
    </row>
    <row r="2431" spans="1:5" x14ac:dyDescent="0.3">
      <c r="A2431">
        <v>85</v>
      </c>
      <c r="B2431">
        <v>525000</v>
      </c>
      <c r="C2431" t="s">
        <v>45</v>
      </c>
      <c r="D2431" t="s">
        <v>41</v>
      </c>
      <c r="E2431">
        <v>0.18557399999999999</v>
      </c>
    </row>
    <row r="2432" spans="1:5" x14ac:dyDescent="0.3">
      <c r="A2432">
        <v>85</v>
      </c>
      <c r="B2432">
        <v>525000</v>
      </c>
      <c r="C2432" t="s">
        <v>45</v>
      </c>
      <c r="D2432" t="s">
        <v>42</v>
      </c>
      <c r="E2432">
        <v>8.5241999999999998E-2</v>
      </c>
    </row>
    <row r="2433" spans="1:5" x14ac:dyDescent="0.3">
      <c r="A2433">
        <v>85</v>
      </c>
      <c r="B2433">
        <v>525000</v>
      </c>
      <c r="C2433" t="s">
        <v>45</v>
      </c>
      <c r="D2433" t="s">
        <v>43</v>
      </c>
      <c r="E2433">
        <v>2.2925000000000001E-2</v>
      </c>
    </row>
    <row r="2434" spans="1:5" x14ac:dyDescent="0.3">
      <c r="A2434">
        <v>86</v>
      </c>
      <c r="B2434">
        <v>530000</v>
      </c>
      <c r="C2434" t="s">
        <v>45</v>
      </c>
      <c r="D2434" t="s">
        <v>28</v>
      </c>
      <c r="E2434">
        <v>168238.228672</v>
      </c>
    </row>
    <row r="2435" spans="1:5" x14ac:dyDescent="0.3">
      <c r="A2435">
        <v>86</v>
      </c>
      <c r="B2435">
        <v>530000</v>
      </c>
      <c r="C2435" t="s">
        <v>45</v>
      </c>
      <c r="D2435" t="s">
        <v>29</v>
      </c>
      <c r="E2435">
        <v>106416.659845</v>
      </c>
    </row>
    <row r="2436" spans="1:5" x14ac:dyDescent="0.3">
      <c r="A2436">
        <v>86</v>
      </c>
      <c r="B2436">
        <v>530000</v>
      </c>
      <c r="C2436" t="s">
        <v>45</v>
      </c>
      <c r="D2436" t="s">
        <v>30</v>
      </c>
      <c r="E2436">
        <v>39549.598690999999</v>
      </c>
    </row>
    <row r="2437" spans="1:5" x14ac:dyDescent="0.3">
      <c r="A2437">
        <v>86</v>
      </c>
      <c r="B2437">
        <v>530000</v>
      </c>
      <c r="C2437" t="s">
        <v>45</v>
      </c>
      <c r="D2437" t="s">
        <v>31</v>
      </c>
      <c r="E2437">
        <v>0.38216699999999998</v>
      </c>
    </row>
    <row r="2438" spans="1:5" x14ac:dyDescent="0.3">
      <c r="A2438">
        <v>86</v>
      </c>
      <c r="B2438">
        <v>530000</v>
      </c>
      <c r="C2438" t="s">
        <v>45</v>
      </c>
      <c r="D2438" t="s">
        <v>32</v>
      </c>
      <c r="E2438">
        <v>0.34214600000000001</v>
      </c>
    </row>
    <row r="2439" spans="1:5" x14ac:dyDescent="0.3">
      <c r="A2439">
        <v>86</v>
      </c>
      <c r="B2439">
        <v>530000</v>
      </c>
      <c r="C2439" t="s">
        <v>45</v>
      </c>
      <c r="D2439" t="s">
        <v>33</v>
      </c>
      <c r="E2439">
        <v>99387.482124999995</v>
      </c>
    </row>
    <row r="2440" spans="1:5" x14ac:dyDescent="0.3">
      <c r="A2440">
        <v>86</v>
      </c>
      <c r="B2440">
        <v>530000</v>
      </c>
      <c r="C2440" t="s">
        <v>45</v>
      </c>
      <c r="D2440" t="s">
        <v>34</v>
      </c>
      <c r="E2440">
        <v>34618.951000000001</v>
      </c>
    </row>
    <row r="2441" spans="1:5" x14ac:dyDescent="0.3">
      <c r="A2441">
        <v>86</v>
      </c>
      <c r="B2441">
        <v>530000</v>
      </c>
      <c r="C2441" t="s">
        <v>45</v>
      </c>
      <c r="D2441" t="s">
        <v>35</v>
      </c>
      <c r="E2441">
        <v>6575.1783750000004</v>
      </c>
    </row>
    <row r="2442" spans="1:5" x14ac:dyDescent="0.3">
      <c r="A2442">
        <v>86</v>
      </c>
      <c r="B2442">
        <v>530000</v>
      </c>
      <c r="C2442" t="s">
        <v>45</v>
      </c>
      <c r="D2442" t="s">
        <v>36</v>
      </c>
      <c r="E2442">
        <v>0.14024400000000001</v>
      </c>
    </row>
    <row r="2443" spans="1:5" x14ac:dyDescent="0.3">
      <c r="A2443">
        <v>86</v>
      </c>
      <c r="B2443">
        <v>530000</v>
      </c>
      <c r="C2443" t="s">
        <v>45</v>
      </c>
      <c r="D2443" t="s">
        <v>37</v>
      </c>
      <c r="E2443">
        <v>75210.108873999998</v>
      </c>
    </row>
    <row r="2444" spans="1:5" x14ac:dyDescent="0.3">
      <c r="A2444">
        <v>86</v>
      </c>
      <c r="B2444">
        <v>530000</v>
      </c>
      <c r="C2444" t="s">
        <v>45</v>
      </c>
      <c r="D2444" t="s">
        <v>38</v>
      </c>
      <c r="E2444">
        <v>0.70726900000000004</v>
      </c>
    </row>
    <row r="2445" spans="1:5" x14ac:dyDescent="0.3">
      <c r="A2445">
        <v>86</v>
      </c>
      <c r="B2445">
        <v>530000</v>
      </c>
      <c r="C2445" t="s">
        <v>45</v>
      </c>
      <c r="D2445" t="s">
        <v>39</v>
      </c>
      <c r="E2445">
        <v>0.72749299999999995</v>
      </c>
    </row>
    <row r="2446" spans="1:5" x14ac:dyDescent="0.3">
      <c r="A2446">
        <v>86</v>
      </c>
      <c r="B2446">
        <v>530000</v>
      </c>
      <c r="C2446" t="s">
        <v>45</v>
      </c>
      <c r="D2446" t="s">
        <v>40</v>
      </c>
      <c r="E2446">
        <v>0.97996899999999998</v>
      </c>
    </row>
    <row r="2447" spans="1:5" x14ac:dyDescent="0.3">
      <c r="A2447">
        <v>86</v>
      </c>
      <c r="B2447">
        <v>530000</v>
      </c>
      <c r="C2447" t="s">
        <v>45</v>
      </c>
      <c r="D2447" t="s">
        <v>41</v>
      </c>
      <c r="E2447">
        <v>0.37739800000000001</v>
      </c>
    </row>
    <row r="2448" spans="1:5" x14ac:dyDescent="0.3">
      <c r="A2448">
        <v>86</v>
      </c>
      <c r="B2448">
        <v>530000</v>
      </c>
      <c r="C2448" t="s">
        <v>45</v>
      </c>
      <c r="D2448" t="s">
        <v>42</v>
      </c>
      <c r="E2448">
        <v>0.17902899999999999</v>
      </c>
    </row>
    <row r="2449" spans="1:5" x14ac:dyDescent="0.3">
      <c r="A2449">
        <v>86</v>
      </c>
      <c r="B2449">
        <v>530000</v>
      </c>
      <c r="C2449" t="s">
        <v>45</v>
      </c>
      <c r="D2449" t="s">
        <v>43</v>
      </c>
      <c r="E2449">
        <v>5.0971000000000002E-2</v>
      </c>
    </row>
    <row r="2450" spans="1:5" x14ac:dyDescent="0.3">
      <c r="A2450">
        <v>87</v>
      </c>
      <c r="B2450">
        <v>535000</v>
      </c>
      <c r="C2450" t="s">
        <v>45</v>
      </c>
      <c r="D2450" t="s">
        <v>28</v>
      </c>
      <c r="E2450">
        <v>169074.37224699999</v>
      </c>
    </row>
    <row r="2451" spans="1:5" x14ac:dyDescent="0.3">
      <c r="A2451">
        <v>87</v>
      </c>
      <c r="B2451">
        <v>535000</v>
      </c>
      <c r="C2451" t="s">
        <v>45</v>
      </c>
      <c r="D2451" t="s">
        <v>29</v>
      </c>
      <c r="E2451">
        <v>106417.386119</v>
      </c>
    </row>
    <row r="2452" spans="1:5" x14ac:dyDescent="0.3">
      <c r="A2452">
        <v>87</v>
      </c>
      <c r="B2452">
        <v>535000</v>
      </c>
      <c r="C2452" t="s">
        <v>45</v>
      </c>
      <c r="D2452" t="s">
        <v>30</v>
      </c>
      <c r="E2452">
        <v>43895.549348</v>
      </c>
    </row>
    <row r="2453" spans="1:5" x14ac:dyDescent="0.3">
      <c r="A2453">
        <v>87</v>
      </c>
      <c r="B2453">
        <v>535000</v>
      </c>
      <c r="C2453" t="s">
        <v>45</v>
      </c>
      <c r="D2453" t="s">
        <v>31</v>
      </c>
      <c r="E2453">
        <v>0.21653500000000001</v>
      </c>
    </row>
    <row r="2454" spans="1:5" x14ac:dyDescent="0.3">
      <c r="A2454">
        <v>87</v>
      </c>
      <c r="B2454">
        <v>535000</v>
      </c>
      <c r="C2454" t="s">
        <v>45</v>
      </c>
      <c r="D2454" t="s">
        <v>32</v>
      </c>
      <c r="E2454">
        <v>0.19183700000000001</v>
      </c>
    </row>
    <row r="2455" spans="1:5" x14ac:dyDescent="0.3">
      <c r="A2455">
        <v>87</v>
      </c>
      <c r="B2455">
        <v>535000</v>
      </c>
      <c r="C2455" t="s">
        <v>45</v>
      </c>
      <c r="D2455" t="s">
        <v>33</v>
      </c>
      <c r="E2455">
        <v>99387.646106</v>
      </c>
    </row>
    <row r="2456" spans="1:5" x14ac:dyDescent="0.3">
      <c r="A2456">
        <v>87</v>
      </c>
      <c r="B2456">
        <v>535000</v>
      </c>
      <c r="C2456" t="s">
        <v>45</v>
      </c>
      <c r="D2456" t="s">
        <v>34</v>
      </c>
      <c r="E2456">
        <v>34266.768905999998</v>
      </c>
    </row>
    <row r="2457" spans="1:5" x14ac:dyDescent="0.3">
      <c r="A2457">
        <v>87</v>
      </c>
      <c r="B2457">
        <v>535000</v>
      </c>
      <c r="C2457" t="s">
        <v>45</v>
      </c>
      <c r="D2457" t="s">
        <v>35</v>
      </c>
      <c r="E2457">
        <v>6574.7707360000004</v>
      </c>
    </row>
    <row r="2458" spans="1:5" x14ac:dyDescent="0.3">
      <c r="A2458">
        <v>87</v>
      </c>
      <c r="B2458">
        <v>535000</v>
      </c>
      <c r="C2458" t="s">
        <v>45</v>
      </c>
      <c r="D2458" t="s">
        <v>36</v>
      </c>
      <c r="E2458">
        <v>7.5156000000000001E-2</v>
      </c>
    </row>
    <row r="2459" spans="1:5" x14ac:dyDescent="0.3">
      <c r="A2459">
        <v>87</v>
      </c>
      <c r="B2459">
        <v>535000</v>
      </c>
      <c r="C2459" t="s">
        <v>45</v>
      </c>
      <c r="D2459" t="s">
        <v>37</v>
      </c>
      <c r="E2459">
        <v>75381.425237999996</v>
      </c>
    </row>
    <row r="2460" spans="1:5" x14ac:dyDescent="0.3">
      <c r="A2460">
        <v>87</v>
      </c>
      <c r="B2460">
        <v>535000</v>
      </c>
      <c r="C2460" t="s">
        <v>45</v>
      </c>
      <c r="D2460" t="s">
        <v>38</v>
      </c>
      <c r="E2460">
        <v>0.40015499999999998</v>
      </c>
    </row>
    <row r="2461" spans="1:5" x14ac:dyDescent="0.3">
      <c r="A2461">
        <v>87</v>
      </c>
      <c r="B2461">
        <v>535000</v>
      </c>
      <c r="C2461" t="s">
        <v>45</v>
      </c>
      <c r="D2461" t="s">
        <v>39</v>
      </c>
      <c r="E2461">
        <v>0.38707599999999998</v>
      </c>
    </row>
    <row r="2462" spans="1:5" x14ac:dyDescent="0.3">
      <c r="A2462">
        <v>87</v>
      </c>
      <c r="B2462">
        <v>535000</v>
      </c>
      <c r="C2462" t="s">
        <v>45</v>
      </c>
      <c r="D2462" t="s">
        <v>40</v>
      </c>
      <c r="E2462">
        <v>0.55889800000000001</v>
      </c>
    </row>
    <row r="2463" spans="1:5" x14ac:dyDescent="0.3">
      <c r="A2463">
        <v>87</v>
      </c>
      <c r="B2463">
        <v>535000</v>
      </c>
      <c r="C2463" t="s">
        <v>45</v>
      </c>
      <c r="D2463" t="s">
        <v>41</v>
      </c>
      <c r="E2463">
        <v>0.201377</v>
      </c>
    </row>
    <row r="2464" spans="1:5" x14ac:dyDescent="0.3">
      <c r="A2464">
        <v>87</v>
      </c>
      <c r="B2464">
        <v>535000</v>
      </c>
      <c r="C2464" t="s">
        <v>45</v>
      </c>
      <c r="D2464" t="s">
        <v>42</v>
      </c>
      <c r="E2464">
        <v>9.6194000000000002E-2</v>
      </c>
    </row>
    <row r="2465" spans="1:5" x14ac:dyDescent="0.3">
      <c r="A2465">
        <v>87</v>
      </c>
      <c r="B2465">
        <v>535000</v>
      </c>
      <c r="C2465" t="s">
        <v>45</v>
      </c>
      <c r="D2465" t="s">
        <v>43</v>
      </c>
      <c r="E2465">
        <v>2.6599999999999999E-2</v>
      </c>
    </row>
    <row r="2466" spans="1:5" x14ac:dyDescent="0.3">
      <c r="A2466">
        <v>88</v>
      </c>
      <c r="B2466">
        <v>540000</v>
      </c>
      <c r="C2466" t="s">
        <v>45</v>
      </c>
      <c r="D2466" t="s">
        <v>28</v>
      </c>
      <c r="E2466">
        <v>169910.36347499999</v>
      </c>
    </row>
    <row r="2467" spans="1:5" x14ac:dyDescent="0.3">
      <c r="A2467">
        <v>88</v>
      </c>
      <c r="B2467">
        <v>540000</v>
      </c>
      <c r="C2467" t="s">
        <v>45</v>
      </c>
      <c r="D2467" t="s">
        <v>29</v>
      </c>
      <c r="E2467">
        <v>106417.80633000001</v>
      </c>
    </row>
    <row r="2468" spans="1:5" x14ac:dyDescent="0.3">
      <c r="A2468">
        <v>88</v>
      </c>
      <c r="B2468">
        <v>540000</v>
      </c>
      <c r="C2468" t="s">
        <v>45</v>
      </c>
      <c r="D2468" t="s">
        <v>30</v>
      </c>
      <c r="E2468">
        <v>48605.774455999999</v>
      </c>
    </row>
    <row r="2469" spans="1:5" x14ac:dyDescent="0.3">
      <c r="A2469">
        <v>88</v>
      </c>
      <c r="B2469">
        <v>540000</v>
      </c>
      <c r="C2469" t="s">
        <v>45</v>
      </c>
      <c r="D2469" t="s">
        <v>31</v>
      </c>
      <c r="E2469">
        <v>9.8555000000000004E-2</v>
      </c>
    </row>
    <row r="2470" spans="1:5" x14ac:dyDescent="0.3">
      <c r="A2470">
        <v>88</v>
      </c>
      <c r="B2470">
        <v>540000</v>
      </c>
      <c r="C2470" t="s">
        <v>45</v>
      </c>
      <c r="D2470" t="s">
        <v>32</v>
      </c>
      <c r="E2470">
        <v>8.7831000000000006E-2</v>
      </c>
    </row>
    <row r="2471" spans="1:5" x14ac:dyDescent="0.3">
      <c r="A2471">
        <v>88</v>
      </c>
      <c r="B2471">
        <v>540000</v>
      </c>
      <c r="C2471" t="s">
        <v>45</v>
      </c>
      <c r="D2471" t="s">
        <v>33</v>
      </c>
      <c r="E2471">
        <v>99387.519287999996</v>
      </c>
    </row>
    <row r="2472" spans="1:5" x14ac:dyDescent="0.3">
      <c r="A2472">
        <v>88</v>
      </c>
      <c r="B2472">
        <v>540000</v>
      </c>
      <c r="C2472" t="s">
        <v>45</v>
      </c>
      <c r="D2472" t="s">
        <v>34</v>
      </c>
      <c r="E2472">
        <v>33789.661265000002</v>
      </c>
    </row>
    <row r="2473" spans="1:5" x14ac:dyDescent="0.3">
      <c r="A2473">
        <v>88</v>
      </c>
      <c r="B2473">
        <v>540000</v>
      </c>
      <c r="C2473" t="s">
        <v>45</v>
      </c>
      <c r="D2473" t="s">
        <v>35</v>
      </c>
      <c r="E2473">
        <v>6574.4296999999997</v>
      </c>
    </row>
    <row r="2474" spans="1:5" x14ac:dyDescent="0.3">
      <c r="A2474">
        <v>88</v>
      </c>
      <c r="B2474">
        <v>540000</v>
      </c>
      <c r="C2474" t="s">
        <v>45</v>
      </c>
      <c r="D2474" t="s">
        <v>36</v>
      </c>
      <c r="E2474">
        <v>3.5598999999999999E-2</v>
      </c>
    </row>
    <row r="2475" spans="1:5" x14ac:dyDescent="0.3">
      <c r="A2475">
        <v>88</v>
      </c>
      <c r="B2475">
        <v>540000</v>
      </c>
      <c r="C2475" t="s">
        <v>45</v>
      </c>
      <c r="D2475" t="s">
        <v>37</v>
      </c>
      <c r="E2475">
        <v>75313.454167999997</v>
      </c>
    </row>
    <row r="2476" spans="1:5" x14ac:dyDescent="0.3">
      <c r="A2476">
        <v>88</v>
      </c>
      <c r="B2476">
        <v>540000</v>
      </c>
      <c r="C2476" t="s">
        <v>45</v>
      </c>
      <c r="D2476" t="s">
        <v>38</v>
      </c>
      <c r="E2476">
        <v>0.18773500000000001</v>
      </c>
    </row>
    <row r="2477" spans="1:5" x14ac:dyDescent="0.3">
      <c r="A2477">
        <v>88</v>
      </c>
      <c r="B2477">
        <v>540000</v>
      </c>
      <c r="C2477" t="s">
        <v>45</v>
      </c>
      <c r="D2477" t="s">
        <v>39</v>
      </c>
      <c r="E2477">
        <v>0.18387300000000001</v>
      </c>
    </row>
    <row r="2478" spans="1:5" x14ac:dyDescent="0.3">
      <c r="A2478">
        <v>88</v>
      </c>
      <c r="B2478">
        <v>540000</v>
      </c>
      <c r="C2478" t="s">
        <v>45</v>
      </c>
      <c r="D2478" t="s">
        <v>40</v>
      </c>
      <c r="E2478">
        <v>0.254075</v>
      </c>
    </row>
    <row r="2479" spans="1:5" x14ac:dyDescent="0.3">
      <c r="A2479">
        <v>88</v>
      </c>
      <c r="B2479">
        <v>540000</v>
      </c>
      <c r="C2479" t="s">
        <v>45</v>
      </c>
      <c r="D2479" t="s">
        <v>41</v>
      </c>
      <c r="E2479">
        <v>9.7907999999999995E-2</v>
      </c>
    </row>
    <row r="2480" spans="1:5" x14ac:dyDescent="0.3">
      <c r="A2480">
        <v>88</v>
      </c>
      <c r="B2480">
        <v>540000</v>
      </c>
      <c r="C2480" t="s">
        <v>45</v>
      </c>
      <c r="D2480" t="s">
        <v>42</v>
      </c>
      <c r="E2480">
        <v>4.4929999999999998E-2</v>
      </c>
    </row>
    <row r="2481" spans="1:5" x14ac:dyDescent="0.3">
      <c r="A2481">
        <v>88</v>
      </c>
      <c r="B2481">
        <v>540000</v>
      </c>
      <c r="C2481" t="s">
        <v>45</v>
      </c>
      <c r="D2481" t="s">
        <v>43</v>
      </c>
      <c r="E2481">
        <v>1.2631E-2</v>
      </c>
    </row>
    <row r="2482" spans="1:5" x14ac:dyDescent="0.3">
      <c r="A2482">
        <v>89</v>
      </c>
      <c r="B2482">
        <v>545000</v>
      </c>
      <c r="C2482" t="s">
        <v>45</v>
      </c>
      <c r="D2482" t="s">
        <v>28</v>
      </c>
      <c r="E2482">
        <v>170742.46232600001</v>
      </c>
    </row>
    <row r="2483" spans="1:5" x14ac:dyDescent="0.3">
      <c r="A2483">
        <v>89</v>
      </c>
      <c r="B2483">
        <v>545000</v>
      </c>
      <c r="C2483" t="s">
        <v>45</v>
      </c>
      <c r="D2483" t="s">
        <v>29</v>
      </c>
      <c r="E2483">
        <v>106417.654326</v>
      </c>
    </row>
    <row r="2484" spans="1:5" x14ac:dyDescent="0.3">
      <c r="A2484">
        <v>89</v>
      </c>
      <c r="B2484">
        <v>545000</v>
      </c>
      <c r="C2484" t="s">
        <v>45</v>
      </c>
      <c r="D2484" t="s">
        <v>30</v>
      </c>
      <c r="E2484">
        <v>53445.814982000004</v>
      </c>
    </row>
    <row r="2485" spans="1:5" x14ac:dyDescent="0.3">
      <c r="A2485">
        <v>89</v>
      </c>
      <c r="B2485">
        <v>545000</v>
      </c>
      <c r="C2485" t="s">
        <v>45</v>
      </c>
      <c r="D2485" t="s">
        <v>31</v>
      </c>
      <c r="E2485">
        <v>0.14252400000000001</v>
      </c>
    </row>
    <row r="2486" spans="1:5" x14ac:dyDescent="0.3">
      <c r="A2486">
        <v>89</v>
      </c>
      <c r="B2486">
        <v>545000</v>
      </c>
      <c r="C2486" t="s">
        <v>45</v>
      </c>
      <c r="D2486" t="s">
        <v>32</v>
      </c>
      <c r="E2486">
        <v>0.123097</v>
      </c>
    </row>
    <row r="2487" spans="1:5" x14ac:dyDescent="0.3">
      <c r="A2487">
        <v>89</v>
      </c>
      <c r="B2487">
        <v>545000</v>
      </c>
      <c r="C2487" t="s">
        <v>45</v>
      </c>
      <c r="D2487" t="s">
        <v>33</v>
      </c>
      <c r="E2487">
        <v>99387.591214999993</v>
      </c>
    </row>
    <row r="2488" spans="1:5" x14ac:dyDescent="0.3">
      <c r="A2488">
        <v>89</v>
      </c>
      <c r="B2488">
        <v>545000</v>
      </c>
      <c r="C2488" t="s">
        <v>45</v>
      </c>
      <c r="D2488" t="s">
        <v>34</v>
      </c>
      <c r="E2488">
        <v>33327.246456000001</v>
      </c>
    </row>
    <row r="2489" spans="1:5" x14ac:dyDescent="0.3">
      <c r="A2489">
        <v>89</v>
      </c>
      <c r="B2489">
        <v>545000</v>
      </c>
      <c r="C2489" t="s">
        <v>45</v>
      </c>
      <c r="D2489" t="s">
        <v>35</v>
      </c>
      <c r="E2489">
        <v>6574.5483539999996</v>
      </c>
    </row>
    <row r="2490" spans="1:5" x14ac:dyDescent="0.3">
      <c r="A2490">
        <v>89</v>
      </c>
      <c r="B2490">
        <v>545000</v>
      </c>
      <c r="C2490" t="s">
        <v>45</v>
      </c>
      <c r="D2490" t="s">
        <v>36</v>
      </c>
      <c r="E2490">
        <v>4.7486E-2</v>
      </c>
    </row>
    <row r="2491" spans="1:5" x14ac:dyDescent="0.3">
      <c r="A2491">
        <v>89</v>
      </c>
      <c r="B2491">
        <v>545000</v>
      </c>
      <c r="C2491" t="s">
        <v>45</v>
      </c>
      <c r="D2491" t="s">
        <v>37</v>
      </c>
      <c r="E2491">
        <v>75103.343718000004</v>
      </c>
    </row>
    <row r="2492" spans="1:5" x14ac:dyDescent="0.3">
      <c r="A2492">
        <v>89</v>
      </c>
      <c r="B2492">
        <v>545000</v>
      </c>
      <c r="C2492" t="s">
        <v>45</v>
      </c>
      <c r="D2492" t="s">
        <v>38</v>
      </c>
      <c r="E2492">
        <v>0.253855</v>
      </c>
    </row>
    <row r="2493" spans="1:5" x14ac:dyDescent="0.3">
      <c r="A2493">
        <v>89</v>
      </c>
      <c r="B2493">
        <v>545000</v>
      </c>
      <c r="C2493" t="s">
        <v>45</v>
      </c>
      <c r="D2493" t="s">
        <v>39</v>
      </c>
      <c r="E2493">
        <v>0.249308</v>
      </c>
    </row>
    <row r="2494" spans="1:5" x14ac:dyDescent="0.3">
      <c r="A2494">
        <v>89</v>
      </c>
      <c r="B2494">
        <v>545000</v>
      </c>
      <c r="C2494" t="s">
        <v>45</v>
      </c>
      <c r="D2494" t="s">
        <v>40</v>
      </c>
      <c r="E2494">
        <v>0.35345300000000002</v>
      </c>
    </row>
    <row r="2495" spans="1:5" x14ac:dyDescent="0.3">
      <c r="A2495">
        <v>89</v>
      </c>
      <c r="B2495">
        <v>545000</v>
      </c>
      <c r="C2495" t="s">
        <v>45</v>
      </c>
      <c r="D2495" t="s">
        <v>41</v>
      </c>
      <c r="E2495">
        <v>0.12750400000000001</v>
      </c>
    </row>
    <row r="2496" spans="1:5" x14ac:dyDescent="0.3">
      <c r="A2496">
        <v>89</v>
      </c>
      <c r="B2496">
        <v>545000</v>
      </c>
      <c r="C2496" t="s">
        <v>45</v>
      </c>
      <c r="D2496" t="s">
        <v>42</v>
      </c>
      <c r="E2496">
        <v>6.0733000000000002E-2</v>
      </c>
    </row>
    <row r="2497" spans="1:5" x14ac:dyDescent="0.3">
      <c r="A2497">
        <v>89</v>
      </c>
      <c r="B2497">
        <v>545000</v>
      </c>
      <c r="C2497" t="s">
        <v>45</v>
      </c>
      <c r="D2497" t="s">
        <v>43</v>
      </c>
      <c r="E2497">
        <v>1.6982000000000001E-2</v>
      </c>
    </row>
    <row r="2498" spans="1:5" x14ac:dyDescent="0.3">
      <c r="A2498">
        <v>90</v>
      </c>
      <c r="B2498">
        <v>550000</v>
      </c>
      <c r="C2498" t="s">
        <v>45</v>
      </c>
      <c r="D2498" t="s">
        <v>28</v>
      </c>
      <c r="E2498">
        <v>171567.164127</v>
      </c>
    </row>
    <row r="2499" spans="1:5" x14ac:dyDescent="0.3">
      <c r="A2499">
        <v>90</v>
      </c>
      <c r="B2499">
        <v>550000</v>
      </c>
      <c r="C2499" t="s">
        <v>45</v>
      </c>
      <c r="D2499" t="s">
        <v>29</v>
      </c>
      <c r="E2499">
        <v>106417.295213</v>
      </c>
    </row>
    <row r="2500" spans="1:5" x14ac:dyDescent="0.3">
      <c r="A2500">
        <v>90</v>
      </c>
      <c r="B2500">
        <v>550000</v>
      </c>
      <c r="C2500" t="s">
        <v>45</v>
      </c>
      <c r="D2500" t="s">
        <v>30</v>
      </c>
      <c r="E2500">
        <v>60618.619310000002</v>
      </c>
    </row>
    <row r="2501" spans="1:5" x14ac:dyDescent="0.3">
      <c r="A2501">
        <v>90</v>
      </c>
      <c r="B2501">
        <v>550000</v>
      </c>
      <c r="C2501" t="s">
        <v>45</v>
      </c>
      <c r="D2501" t="s">
        <v>31</v>
      </c>
      <c r="E2501">
        <v>0.22865099999999999</v>
      </c>
    </row>
    <row r="2502" spans="1:5" x14ac:dyDescent="0.3">
      <c r="A2502">
        <v>90</v>
      </c>
      <c r="B2502">
        <v>550000</v>
      </c>
      <c r="C2502" t="s">
        <v>45</v>
      </c>
      <c r="D2502" t="s">
        <v>32</v>
      </c>
      <c r="E2502">
        <v>0.19062100000000001</v>
      </c>
    </row>
    <row r="2503" spans="1:5" x14ac:dyDescent="0.3">
      <c r="A2503">
        <v>90</v>
      </c>
      <c r="B2503">
        <v>550000</v>
      </c>
      <c r="C2503" t="s">
        <v>45</v>
      </c>
      <c r="D2503" t="s">
        <v>33</v>
      </c>
      <c r="E2503">
        <v>99387.540068000002</v>
      </c>
    </row>
    <row r="2504" spans="1:5" x14ac:dyDescent="0.3">
      <c r="A2504">
        <v>90</v>
      </c>
      <c r="B2504">
        <v>550000</v>
      </c>
      <c r="C2504" t="s">
        <v>45</v>
      </c>
      <c r="D2504" t="s">
        <v>34</v>
      </c>
      <c r="E2504">
        <v>32412.351150999999</v>
      </c>
    </row>
    <row r="2505" spans="1:5" x14ac:dyDescent="0.3">
      <c r="A2505">
        <v>90</v>
      </c>
      <c r="B2505">
        <v>550000</v>
      </c>
      <c r="C2505" t="s">
        <v>45</v>
      </c>
      <c r="D2505" t="s">
        <v>35</v>
      </c>
      <c r="E2505">
        <v>6574.7428980000004</v>
      </c>
    </row>
    <row r="2506" spans="1:5" x14ac:dyDescent="0.3">
      <c r="A2506">
        <v>90</v>
      </c>
      <c r="B2506">
        <v>550000</v>
      </c>
      <c r="C2506" t="s">
        <v>45</v>
      </c>
      <c r="D2506" t="s">
        <v>36</v>
      </c>
      <c r="E2506">
        <v>7.2311E-2</v>
      </c>
    </row>
    <row r="2507" spans="1:5" x14ac:dyDescent="0.3">
      <c r="A2507">
        <v>90</v>
      </c>
      <c r="B2507">
        <v>550000</v>
      </c>
      <c r="C2507" t="s">
        <v>45</v>
      </c>
      <c r="D2507" t="s">
        <v>37</v>
      </c>
      <c r="E2507">
        <v>73020.207213999995</v>
      </c>
    </row>
    <row r="2508" spans="1:5" x14ac:dyDescent="0.3">
      <c r="A2508">
        <v>90</v>
      </c>
      <c r="B2508">
        <v>550000</v>
      </c>
      <c r="C2508" t="s">
        <v>45</v>
      </c>
      <c r="D2508" t="s">
        <v>38</v>
      </c>
      <c r="E2508">
        <v>0.38789600000000002</v>
      </c>
    </row>
    <row r="2509" spans="1:5" x14ac:dyDescent="0.3">
      <c r="A2509">
        <v>90</v>
      </c>
      <c r="B2509">
        <v>550000</v>
      </c>
      <c r="C2509" t="s">
        <v>45</v>
      </c>
      <c r="D2509" t="s">
        <v>39</v>
      </c>
      <c r="E2509">
        <v>0.391096</v>
      </c>
    </row>
    <row r="2510" spans="1:5" x14ac:dyDescent="0.3">
      <c r="A2510">
        <v>90</v>
      </c>
      <c r="B2510">
        <v>550000</v>
      </c>
      <c r="C2510" t="s">
        <v>45</v>
      </c>
      <c r="D2510" t="s">
        <v>40</v>
      </c>
      <c r="E2510">
        <v>0.53085300000000002</v>
      </c>
    </row>
    <row r="2511" spans="1:5" x14ac:dyDescent="0.3">
      <c r="A2511">
        <v>90</v>
      </c>
      <c r="B2511">
        <v>550000</v>
      </c>
      <c r="C2511" t="s">
        <v>45</v>
      </c>
      <c r="D2511" t="s">
        <v>41</v>
      </c>
      <c r="E2511">
        <v>0.19059000000000001</v>
      </c>
    </row>
    <row r="2512" spans="1:5" x14ac:dyDescent="0.3">
      <c r="A2512">
        <v>90</v>
      </c>
      <c r="B2512">
        <v>550000</v>
      </c>
      <c r="C2512" t="s">
        <v>45</v>
      </c>
      <c r="D2512" t="s">
        <v>42</v>
      </c>
      <c r="E2512">
        <v>9.3181E-2</v>
      </c>
    </row>
    <row r="2513" spans="1:5" x14ac:dyDescent="0.3">
      <c r="A2513">
        <v>90</v>
      </c>
      <c r="B2513">
        <v>550000</v>
      </c>
      <c r="C2513" t="s">
        <v>45</v>
      </c>
      <c r="D2513" t="s">
        <v>43</v>
      </c>
      <c r="E2513">
        <v>2.5867000000000001E-2</v>
      </c>
    </row>
    <row r="2514" spans="1:5" x14ac:dyDescent="0.3">
      <c r="A2514">
        <v>91</v>
      </c>
      <c r="B2514">
        <v>555000</v>
      </c>
      <c r="C2514" t="s">
        <v>45</v>
      </c>
      <c r="D2514" t="s">
        <v>28</v>
      </c>
      <c r="E2514">
        <v>172235.41649900001</v>
      </c>
    </row>
    <row r="2515" spans="1:5" x14ac:dyDescent="0.3">
      <c r="A2515">
        <v>91</v>
      </c>
      <c r="B2515">
        <v>555000</v>
      </c>
      <c r="C2515" t="s">
        <v>45</v>
      </c>
      <c r="D2515" t="s">
        <v>29</v>
      </c>
      <c r="E2515">
        <v>106417.06112499999</v>
      </c>
    </row>
    <row r="2516" spans="1:5" x14ac:dyDescent="0.3">
      <c r="A2516">
        <v>91</v>
      </c>
      <c r="B2516">
        <v>555000</v>
      </c>
      <c r="C2516" t="s">
        <v>45</v>
      </c>
      <c r="D2516" t="s">
        <v>30</v>
      </c>
      <c r="E2516">
        <v>66513.479516000007</v>
      </c>
    </row>
    <row r="2517" spans="1:5" x14ac:dyDescent="0.3">
      <c r="A2517">
        <v>91</v>
      </c>
      <c r="B2517">
        <v>555000</v>
      </c>
      <c r="C2517" t="s">
        <v>45</v>
      </c>
      <c r="D2517" t="s">
        <v>31</v>
      </c>
      <c r="E2517">
        <v>0.26716800000000002</v>
      </c>
    </row>
    <row r="2518" spans="1:5" x14ac:dyDescent="0.3">
      <c r="A2518">
        <v>91</v>
      </c>
      <c r="B2518">
        <v>555000</v>
      </c>
      <c r="C2518" t="s">
        <v>45</v>
      </c>
      <c r="D2518" t="s">
        <v>32</v>
      </c>
      <c r="E2518">
        <v>0.21712999999999999</v>
      </c>
    </row>
    <row r="2519" spans="1:5" x14ac:dyDescent="0.3">
      <c r="A2519">
        <v>91</v>
      </c>
      <c r="B2519">
        <v>555000</v>
      </c>
      <c r="C2519" t="s">
        <v>45</v>
      </c>
      <c r="D2519" t="s">
        <v>33</v>
      </c>
      <c r="E2519">
        <v>99387.764731999996</v>
      </c>
    </row>
    <row r="2520" spans="1:5" x14ac:dyDescent="0.3">
      <c r="A2520">
        <v>91</v>
      </c>
      <c r="B2520">
        <v>555000</v>
      </c>
      <c r="C2520" t="s">
        <v>45</v>
      </c>
      <c r="D2520" t="s">
        <v>34</v>
      </c>
      <c r="E2520">
        <v>31791.224302999999</v>
      </c>
    </row>
    <row r="2521" spans="1:5" x14ac:dyDescent="0.3">
      <c r="A2521">
        <v>91</v>
      </c>
      <c r="B2521">
        <v>555000</v>
      </c>
      <c r="C2521" t="s">
        <v>45</v>
      </c>
      <c r="D2521" t="s">
        <v>35</v>
      </c>
      <c r="E2521">
        <v>6574.8636489999999</v>
      </c>
    </row>
    <row r="2522" spans="1:5" x14ac:dyDescent="0.3">
      <c r="A2522">
        <v>91</v>
      </c>
      <c r="B2522">
        <v>555000</v>
      </c>
      <c r="C2522" t="s">
        <v>45</v>
      </c>
      <c r="D2522" t="s">
        <v>36</v>
      </c>
      <c r="E2522">
        <v>8.2768999999999995E-2</v>
      </c>
    </row>
    <row r="2523" spans="1:5" x14ac:dyDescent="0.3">
      <c r="A2523">
        <v>91</v>
      </c>
      <c r="B2523">
        <v>555000</v>
      </c>
      <c r="C2523" t="s">
        <v>45</v>
      </c>
      <c r="D2523" t="s">
        <v>37</v>
      </c>
      <c r="E2523">
        <v>72077.812659999996</v>
      </c>
    </row>
    <row r="2524" spans="1:5" x14ac:dyDescent="0.3">
      <c r="A2524">
        <v>91</v>
      </c>
      <c r="B2524">
        <v>555000</v>
      </c>
      <c r="C2524" t="s">
        <v>45</v>
      </c>
      <c r="D2524" t="s">
        <v>38</v>
      </c>
      <c r="E2524">
        <v>0.44097900000000001</v>
      </c>
    </row>
    <row r="2525" spans="1:5" x14ac:dyDescent="0.3">
      <c r="A2525">
        <v>91</v>
      </c>
      <c r="B2525">
        <v>555000</v>
      </c>
      <c r="C2525" t="s">
        <v>45</v>
      </c>
      <c r="D2525" t="s">
        <v>39</v>
      </c>
      <c r="E2525">
        <v>0.44642500000000002</v>
      </c>
    </row>
    <row r="2526" spans="1:5" x14ac:dyDescent="0.3">
      <c r="A2526">
        <v>91</v>
      </c>
      <c r="B2526">
        <v>555000</v>
      </c>
      <c r="C2526" t="s">
        <v>45</v>
      </c>
      <c r="D2526" t="s">
        <v>40</v>
      </c>
      <c r="E2526">
        <v>0.59070100000000003</v>
      </c>
    </row>
    <row r="2527" spans="1:5" x14ac:dyDescent="0.3">
      <c r="A2527">
        <v>91</v>
      </c>
      <c r="B2527">
        <v>555000</v>
      </c>
      <c r="C2527" t="s">
        <v>45</v>
      </c>
      <c r="D2527" t="s">
        <v>41</v>
      </c>
      <c r="E2527">
        <v>0.22195999999999999</v>
      </c>
    </row>
    <row r="2528" spans="1:5" x14ac:dyDescent="0.3">
      <c r="A2528">
        <v>91</v>
      </c>
      <c r="B2528">
        <v>555000</v>
      </c>
      <c r="C2528" t="s">
        <v>45</v>
      </c>
      <c r="D2528" t="s">
        <v>42</v>
      </c>
      <c r="E2528">
        <v>0.106641</v>
      </c>
    </row>
    <row r="2529" spans="1:5" x14ac:dyDescent="0.3">
      <c r="A2529">
        <v>91</v>
      </c>
      <c r="B2529">
        <v>555000</v>
      </c>
      <c r="C2529" t="s">
        <v>45</v>
      </c>
      <c r="D2529" t="s">
        <v>43</v>
      </c>
      <c r="E2529">
        <v>2.9606E-2</v>
      </c>
    </row>
    <row r="2530" spans="1:5" x14ac:dyDescent="0.3">
      <c r="A2530">
        <v>92</v>
      </c>
      <c r="B2530">
        <v>560000</v>
      </c>
      <c r="C2530" t="s">
        <v>45</v>
      </c>
      <c r="D2530" t="s">
        <v>28</v>
      </c>
      <c r="E2530">
        <v>172711.27145500001</v>
      </c>
    </row>
    <row r="2531" spans="1:5" x14ac:dyDescent="0.3">
      <c r="A2531">
        <v>92</v>
      </c>
      <c r="B2531">
        <v>560000</v>
      </c>
      <c r="C2531" t="s">
        <v>45</v>
      </c>
      <c r="D2531" t="s">
        <v>29</v>
      </c>
      <c r="E2531">
        <v>106417.754573</v>
      </c>
    </row>
    <row r="2532" spans="1:5" x14ac:dyDescent="0.3">
      <c r="A2532">
        <v>92</v>
      </c>
      <c r="B2532">
        <v>560000</v>
      </c>
      <c r="C2532" t="s">
        <v>45</v>
      </c>
      <c r="D2532" t="s">
        <v>30</v>
      </c>
      <c r="E2532">
        <v>71526.550573999994</v>
      </c>
    </row>
    <row r="2533" spans="1:5" x14ac:dyDescent="0.3">
      <c r="A2533">
        <v>92</v>
      </c>
      <c r="B2533">
        <v>560000</v>
      </c>
      <c r="C2533" t="s">
        <v>45</v>
      </c>
      <c r="D2533" t="s">
        <v>31</v>
      </c>
      <c r="E2533">
        <v>9.7415000000000002E-2</v>
      </c>
    </row>
    <row r="2534" spans="1:5" x14ac:dyDescent="0.3">
      <c r="A2534">
        <v>92</v>
      </c>
      <c r="B2534">
        <v>560000</v>
      </c>
      <c r="C2534" t="s">
        <v>45</v>
      </c>
      <c r="D2534" t="s">
        <v>32</v>
      </c>
      <c r="E2534">
        <v>8.1990999999999994E-2</v>
      </c>
    </row>
    <row r="2535" spans="1:5" x14ac:dyDescent="0.3">
      <c r="A2535">
        <v>92</v>
      </c>
      <c r="B2535">
        <v>560000</v>
      </c>
      <c r="C2535" t="s">
        <v>45</v>
      </c>
      <c r="D2535" t="s">
        <v>33</v>
      </c>
      <c r="E2535">
        <v>99387.650949999996</v>
      </c>
    </row>
    <row r="2536" spans="1:5" x14ac:dyDescent="0.3">
      <c r="A2536">
        <v>92</v>
      </c>
      <c r="B2536">
        <v>560000</v>
      </c>
      <c r="C2536" t="s">
        <v>45</v>
      </c>
      <c r="D2536" t="s">
        <v>34</v>
      </c>
      <c r="E2536">
        <v>31218.139367</v>
      </c>
    </row>
    <row r="2537" spans="1:5" x14ac:dyDescent="0.3">
      <c r="A2537">
        <v>92</v>
      </c>
      <c r="B2537">
        <v>560000</v>
      </c>
      <c r="C2537" t="s">
        <v>45</v>
      </c>
      <c r="D2537" t="s">
        <v>35</v>
      </c>
      <c r="E2537">
        <v>6574.4213920000002</v>
      </c>
    </row>
    <row r="2538" spans="1:5" x14ac:dyDescent="0.3">
      <c r="A2538">
        <v>92</v>
      </c>
      <c r="B2538">
        <v>560000</v>
      </c>
      <c r="C2538" t="s">
        <v>45</v>
      </c>
      <c r="D2538" t="s">
        <v>36</v>
      </c>
      <c r="E2538">
        <v>3.1483999999999998E-2</v>
      </c>
    </row>
    <row r="2539" spans="1:5" x14ac:dyDescent="0.3">
      <c r="A2539">
        <v>92</v>
      </c>
      <c r="B2539">
        <v>560000</v>
      </c>
      <c r="C2539" t="s">
        <v>45</v>
      </c>
      <c r="D2539" t="s">
        <v>37</v>
      </c>
      <c r="E2539">
        <v>72163.324192999993</v>
      </c>
    </row>
    <row r="2540" spans="1:5" x14ac:dyDescent="0.3">
      <c r="A2540">
        <v>92</v>
      </c>
      <c r="B2540">
        <v>560000</v>
      </c>
      <c r="C2540" t="s">
        <v>45</v>
      </c>
      <c r="D2540" t="s">
        <v>38</v>
      </c>
      <c r="E2540">
        <v>0.16590099999999999</v>
      </c>
    </row>
    <row r="2541" spans="1:5" x14ac:dyDescent="0.3">
      <c r="A2541">
        <v>92</v>
      </c>
      <c r="B2541">
        <v>560000</v>
      </c>
      <c r="C2541" t="s">
        <v>45</v>
      </c>
      <c r="D2541" t="s">
        <v>39</v>
      </c>
      <c r="E2541">
        <v>0.16673399999999999</v>
      </c>
    </row>
    <row r="2542" spans="1:5" x14ac:dyDescent="0.3">
      <c r="A2542">
        <v>92</v>
      </c>
      <c r="B2542">
        <v>560000</v>
      </c>
      <c r="C2542" t="s">
        <v>45</v>
      </c>
      <c r="D2542" t="s">
        <v>40</v>
      </c>
      <c r="E2542">
        <v>0.228023</v>
      </c>
    </row>
    <row r="2543" spans="1:5" x14ac:dyDescent="0.3">
      <c r="A2543">
        <v>92</v>
      </c>
      <c r="B2543">
        <v>560000</v>
      </c>
      <c r="C2543" t="s">
        <v>45</v>
      </c>
      <c r="D2543" t="s">
        <v>41</v>
      </c>
      <c r="E2543">
        <v>8.3443000000000003E-2</v>
      </c>
    </row>
    <row r="2544" spans="1:5" x14ac:dyDescent="0.3">
      <c r="A2544">
        <v>92</v>
      </c>
      <c r="B2544">
        <v>560000</v>
      </c>
      <c r="C2544" t="s">
        <v>45</v>
      </c>
      <c r="D2544" t="s">
        <v>42</v>
      </c>
      <c r="E2544">
        <v>4.0406999999999998E-2</v>
      </c>
    </row>
    <row r="2545" spans="1:5" x14ac:dyDescent="0.3">
      <c r="A2545">
        <v>92</v>
      </c>
      <c r="B2545">
        <v>560000</v>
      </c>
      <c r="C2545" t="s">
        <v>45</v>
      </c>
      <c r="D2545" t="s">
        <v>43</v>
      </c>
      <c r="E2545">
        <v>1.1289E-2</v>
      </c>
    </row>
    <row r="2546" spans="1:5" x14ac:dyDescent="0.3">
      <c r="A2546">
        <v>93</v>
      </c>
      <c r="B2546">
        <v>565000</v>
      </c>
      <c r="C2546" t="s">
        <v>45</v>
      </c>
      <c r="D2546" t="s">
        <v>28</v>
      </c>
      <c r="E2546">
        <v>173173.056705</v>
      </c>
    </row>
    <row r="2547" spans="1:5" x14ac:dyDescent="0.3">
      <c r="A2547">
        <v>93</v>
      </c>
      <c r="B2547">
        <v>565000</v>
      </c>
      <c r="C2547" t="s">
        <v>45</v>
      </c>
      <c r="D2547" t="s">
        <v>29</v>
      </c>
      <c r="E2547">
        <v>106417.397493</v>
      </c>
    </row>
    <row r="2548" spans="1:5" x14ac:dyDescent="0.3">
      <c r="A2548">
        <v>93</v>
      </c>
      <c r="B2548">
        <v>565000</v>
      </c>
      <c r="C2548" t="s">
        <v>45</v>
      </c>
      <c r="D2548" t="s">
        <v>30</v>
      </c>
      <c r="E2548">
        <v>76663.991271000006</v>
      </c>
    </row>
    <row r="2549" spans="1:5" x14ac:dyDescent="0.3">
      <c r="A2549">
        <v>93</v>
      </c>
      <c r="B2549">
        <v>565000</v>
      </c>
      <c r="C2549" t="s">
        <v>45</v>
      </c>
      <c r="D2549" t="s">
        <v>31</v>
      </c>
      <c r="E2549">
        <v>0.17468500000000001</v>
      </c>
    </row>
    <row r="2550" spans="1:5" x14ac:dyDescent="0.3">
      <c r="A2550">
        <v>93</v>
      </c>
      <c r="B2550">
        <v>565000</v>
      </c>
      <c r="C2550" t="s">
        <v>45</v>
      </c>
      <c r="D2550" t="s">
        <v>32</v>
      </c>
      <c r="E2550">
        <v>0.14399200000000001</v>
      </c>
    </row>
    <row r="2551" spans="1:5" x14ac:dyDescent="0.3">
      <c r="A2551">
        <v>93</v>
      </c>
      <c r="B2551">
        <v>565000</v>
      </c>
      <c r="C2551" t="s">
        <v>45</v>
      </c>
      <c r="D2551" t="s">
        <v>33</v>
      </c>
      <c r="E2551">
        <v>99387.658903999996</v>
      </c>
    </row>
    <row r="2552" spans="1:5" x14ac:dyDescent="0.3">
      <c r="A2552">
        <v>93</v>
      </c>
      <c r="B2552">
        <v>565000</v>
      </c>
      <c r="C2552" t="s">
        <v>45</v>
      </c>
      <c r="D2552" t="s">
        <v>34</v>
      </c>
      <c r="E2552">
        <v>30583.757884999999</v>
      </c>
    </row>
    <row r="2553" spans="1:5" x14ac:dyDescent="0.3">
      <c r="A2553">
        <v>93</v>
      </c>
      <c r="B2553">
        <v>565000</v>
      </c>
      <c r="C2553" t="s">
        <v>45</v>
      </c>
      <c r="D2553" t="s">
        <v>35</v>
      </c>
      <c r="E2553">
        <v>6574.5984820000003</v>
      </c>
    </row>
    <row r="2554" spans="1:5" x14ac:dyDescent="0.3">
      <c r="A2554">
        <v>93</v>
      </c>
      <c r="B2554">
        <v>565000</v>
      </c>
      <c r="C2554" t="s">
        <v>45</v>
      </c>
      <c r="D2554" t="s">
        <v>36</v>
      </c>
      <c r="E2554">
        <v>5.7507999999999997E-2</v>
      </c>
    </row>
    <row r="2555" spans="1:5" x14ac:dyDescent="0.3">
      <c r="A2555">
        <v>93</v>
      </c>
      <c r="B2555">
        <v>565000</v>
      </c>
      <c r="C2555" t="s">
        <v>45</v>
      </c>
      <c r="D2555" t="s">
        <v>37</v>
      </c>
      <c r="E2555">
        <v>71811.183078000002</v>
      </c>
    </row>
    <row r="2556" spans="1:5" x14ac:dyDescent="0.3">
      <c r="A2556">
        <v>93</v>
      </c>
      <c r="B2556">
        <v>565000</v>
      </c>
      <c r="C2556" t="s">
        <v>45</v>
      </c>
      <c r="D2556" t="s">
        <v>38</v>
      </c>
      <c r="E2556">
        <v>0.29643700000000001</v>
      </c>
    </row>
    <row r="2557" spans="1:5" x14ac:dyDescent="0.3">
      <c r="A2557">
        <v>93</v>
      </c>
      <c r="B2557">
        <v>565000</v>
      </c>
      <c r="C2557" t="s">
        <v>45</v>
      </c>
      <c r="D2557" t="s">
        <v>39</v>
      </c>
      <c r="E2557">
        <v>0.30848900000000001</v>
      </c>
    </row>
    <row r="2558" spans="1:5" x14ac:dyDescent="0.3">
      <c r="A2558">
        <v>93</v>
      </c>
      <c r="B2558">
        <v>565000</v>
      </c>
      <c r="C2558" t="s">
        <v>45</v>
      </c>
      <c r="D2558" t="s">
        <v>40</v>
      </c>
      <c r="E2558">
        <v>0.40010699999999999</v>
      </c>
    </row>
    <row r="2559" spans="1:5" x14ac:dyDescent="0.3">
      <c r="A2559">
        <v>93</v>
      </c>
      <c r="B2559">
        <v>565000</v>
      </c>
      <c r="C2559" t="s">
        <v>45</v>
      </c>
      <c r="D2559" t="s">
        <v>41</v>
      </c>
      <c r="E2559">
        <v>0.15135799999999999</v>
      </c>
    </row>
    <row r="2560" spans="1:5" x14ac:dyDescent="0.3">
      <c r="A2560">
        <v>93</v>
      </c>
      <c r="B2560">
        <v>565000</v>
      </c>
      <c r="C2560" t="s">
        <v>45</v>
      </c>
      <c r="D2560" t="s">
        <v>42</v>
      </c>
      <c r="E2560">
        <v>7.3908000000000001E-2</v>
      </c>
    </row>
    <row r="2561" spans="1:5" x14ac:dyDescent="0.3">
      <c r="A2561">
        <v>93</v>
      </c>
      <c r="B2561">
        <v>565000</v>
      </c>
      <c r="C2561" t="s">
        <v>45</v>
      </c>
      <c r="D2561" t="s">
        <v>43</v>
      </c>
      <c r="E2561">
        <v>2.0476999999999999E-2</v>
      </c>
    </row>
    <row r="2562" spans="1:5" x14ac:dyDescent="0.3">
      <c r="A2562">
        <v>94</v>
      </c>
      <c r="B2562">
        <v>570000</v>
      </c>
      <c r="C2562" t="s">
        <v>45</v>
      </c>
      <c r="D2562" t="s">
        <v>28</v>
      </c>
      <c r="E2562">
        <v>173172.679791</v>
      </c>
    </row>
    <row r="2563" spans="1:5" x14ac:dyDescent="0.3">
      <c r="A2563">
        <v>94</v>
      </c>
      <c r="B2563">
        <v>570000</v>
      </c>
      <c r="C2563" t="s">
        <v>45</v>
      </c>
      <c r="D2563" t="s">
        <v>29</v>
      </c>
      <c r="E2563">
        <v>106416.99780700001</v>
      </c>
    </row>
    <row r="2564" spans="1:5" x14ac:dyDescent="0.3">
      <c r="A2564">
        <v>94</v>
      </c>
      <c r="B2564">
        <v>570000</v>
      </c>
      <c r="C2564" t="s">
        <v>45</v>
      </c>
      <c r="D2564" t="s">
        <v>30</v>
      </c>
      <c r="E2564">
        <v>76667.805173000001</v>
      </c>
    </row>
    <row r="2565" spans="1:5" x14ac:dyDescent="0.3">
      <c r="A2565">
        <v>94</v>
      </c>
      <c r="B2565">
        <v>570000</v>
      </c>
      <c r="C2565" t="s">
        <v>45</v>
      </c>
      <c r="D2565" t="s">
        <v>31</v>
      </c>
      <c r="E2565">
        <v>0.25222899999999998</v>
      </c>
    </row>
    <row r="2566" spans="1:5" x14ac:dyDescent="0.3">
      <c r="A2566">
        <v>94</v>
      </c>
      <c r="B2566">
        <v>570000</v>
      </c>
      <c r="C2566" t="s">
        <v>45</v>
      </c>
      <c r="D2566" t="s">
        <v>32</v>
      </c>
      <c r="E2566">
        <v>0.212925</v>
      </c>
    </row>
    <row r="2567" spans="1:5" x14ac:dyDescent="0.3">
      <c r="A2567">
        <v>94</v>
      </c>
      <c r="B2567">
        <v>570000</v>
      </c>
      <c r="C2567" t="s">
        <v>45</v>
      </c>
      <c r="D2567" t="s">
        <v>33</v>
      </c>
      <c r="E2567">
        <v>99388.086557000002</v>
      </c>
    </row>
    <row r="2568" spans="1:5" x14ac:dyDescent="0.3">
      <c r="A2568">
        <v>94</v>
      </c>
      <c r="B2568">
        <v>570000</v>
      </c>
      <c r="C2568" t="s">
        <v>45</v>
      </c>
      <c r="D2568" t="s">
        <v>34</v>
      </c>
      <c r="E2568">
        <v>30579.900066999999</v>
      </c>
    </row>
    <row r="2569" spans="1:5" x14ac:dyDescent="0.3">
      <c r="A2569">
        <v>94</v>
      </c>
      <c r="B2569">
        <v>570000</v>
      </c>
      <c r="C2569" t="s">
        <v>45</v>
      </c>
      <c r="D2569" t="s">
        <v>35</v>
      </c>
      <c r="E2569">
        <v>6574.8328190000002</v>
      </c>
    </row>
    <row r="2570" spans="1:5" x14ac:dyDescent="0.3">
      <c r="A2570">
        <v>94</v>
      </c>
      <c r="B2570">
        <v>570000</v>
      </c>
      <c r="C2570" t="s">
        <v>45</v>
      </c>
      <c r="D2570" t="s">
        <v>36</v>
      </c>
      <c r="E2570">
        <v>8.1460000000000005E-2</v>
      </c>
    </row>
    <row r="2571" spans="1:5" x14ac:dyDescent="0.3">
      <c r="A2571">
        <v>94</v>
      </c>
      <c r="B2571">
        <v>570000</v>
      </c>
      <c r="C2571" t="s">
        <v>45</v>
      </c>
      <c r="D2571" t="s">
        <v>37</v>
      </c>
      <c r="E2571">
        <v>71810.837719000003</v>
      </c>
    </row>
    <row r="2572" spans="1:5" x14ac:dyDescent="0.3">
      <c r="A2572">
        <v>94</v>
      </c>
      <c r="B2572">
        <v>570000</v>
      </c>
      <c r="C2572" t="s">
        <v>45</v>
      </c>
      <c r="D2572" t="s">
        <v>38</v>
      </c>
      <c r="E2572">
        <v>0.435477</v>
      </c>
    </row>
    <row r="2573" spans="1:5" x14ac:dyDescent="0.3">
      <c r="A2573">
        <v>94</v>
      </c>
      <c r="B2573">
        <v>570000</v>
      </c>
      <c r="C2573" t="s">
        <v>45</v>
      </c>
      <c r="D2573" t="s">
        <v>39</v>
      </c>
      <c r="E2573">
        <v>0.436166</v>
      </c>
    </row>
    <row r="2574" spans="1:5" x14ac:dyDescent="0.3">
      <c r="A2574">
        <v>94</v>
      </c>
      <c r="B2574">
        <v>570000</v>
      </c>
      <c r="C2574" t="s">
        <v>45</v>
      </c>
      <c r="D2574" t="s">
        <v>40</v>
      </c>
      <c r="E2574">
        <v>0.59755800000000003</v>
      </c>
    </row>
    <row r="2575" spans="1:5" x14ac:dyDescent="0.3">
      <c r="A2575">
        <v>94</v>
      </c>
      <c r="B2575">
        <v>570000</v>
      </c>
      <c r="C2575" t="s">
        <v>45</v>
      </c>
      <c r="D2575" t="s">
        <v>41</v>
      </c>
      <c r="E2575">
        <v>0.22026000000000001</v>
      </c>
    </row>
    <row r="2576" spans="1:5" x14ac:dyDescent="0.3">
      <c r="A2576">
        <v>94</v>
      </c>
      <c r="B2576">
        <v>570000</v>
      </c>
      <c r="C2576" t="s">
        <v>45</v>
      </c>
      <c r="D2576" t="s">
        <v>42</v>
      </c>
      <c r="E2576">
        <v>0.104405</v>
      </c>
    </row>
    <row r="2577" spans="1:5" x14ac:dyDescent="0.3">
      <c r="A2577">
        <v>94</v>
      </c>
      <c r="B2577">
        <v>570000</v>
      </c>
      <c r="C2577" t="s">
        <v>45</v>
      </c>
      <c r="D2577" t="s">
        <v>43</v>
      </c>
      <c r="E2577">
        <v>2.9097000000000001E-2</v>
      </c>
    </row>
    <row r="2578" spans="1:5" x14ac:dyDescent="0.3">
      <c r="A2578">
        <v>95</v>
      </c>
      <c r="B2578">
        <v>575000</v>
      </c>
      <c r="C2578" t="s">
        <v>45</v>
      </c>
      <c r="D2578" t="s">
        <v>28</v>
      </c>
      <c r="E2578">
        <v>173171.882725</v>
      </c>
    </row>
    <row r="2579" spans="1:5" x14ac:dyDescent="0.3">
      <c r="A2579">
        <v>95</v>
      </c>
      <c r="B2579">
        <v>575000</v>
      </c>
      <c r="C2579" t="s">
        <v>45</v>
      </c>
      <c r="D2579" t="s">
        <v>29</v>
      </c>
      <c r="E2579">
        <v>106417.89900999999</v>
      </c>
    </row>
    <row r="2580" spans="1:5" x14ac:dyDescent="0.3">
      <c r="A2580">
        <v>95</v>
      </c>
      <c r="B2580">
        <v>575000</v>
      </c>
      <c r="C2580" t="s">
        <v>45</v>
      </c>
      <c r="D2580" t="s">
        <v>30</v>
      </c>
      <c r="E2580">
        <v>76668.978935000006</v>
      </c>
    </row>
    <row r="2581" spans="1:5" x14ac:dyDescent="0.3">
      <c r="A2581">
        <v>95</v>
      </c>
      <c r="B2581">
        <v>575000</v>
      </c>
      <c r="C2581" t="s">
        <v>45</v>
      </c>
      <c r="D2581" t="s">
        <v>31</v>
      </c>
      <c r="E2581">
        <v>7.6151999999999997E-2</v>
      </c>
    </row>
    <row r="2582" spans="1:5" x14ac:dyDescent="0.3">
      <c r="A2582">
        <v>95</v>
      </c>
      <c r="B2582">
        <v>575000</v>
      </c>
      <c r="C2582" t="s">
        <v>45</v>
      </c>
      <c r="D2582" t="s">
        <v>32</v>
      </c>
      <c r="E2582">
        <v>6.2335000000000002E-2</v>
      </c>
    </row>
    <row r="2583" spans="1:5" x14ac:dyDescent="0.3">
      <c r="A2583">
        <v>95</v>
      </c>
      <c r="B2583">
        <v>575000</v>
      </c>
      <c r="C2583" t="s">
        <v>45</v>
      </c>
      <c r="D2583" t="s">
        <v>33</v>
      </c>
      <c r="E2583">
        <v>99387.614807999998</v>
      </c>
    </row>
    <row r="2584" spans="1:5" x14ac:dyDescent="0.3">
      <c r="A2584">
        <v>95</v>
      </c>
      <c r="B2584">
        <v>575000</v>
      </c>
      <c r="C2584" t="s">
        <v>45</v>
      </c>
      <c r="D2584" t="s">
        <v>34</v>
      </c>
      <c r="E2584">
        <v>30580.948203</v>
      </c>
    </row>
    <row r="2585" spans="1:5" x14ac:dyDescent="0.3">
      <c r="A2585">
        <v>95</v>
      </c>
      <c r="B2585">
        <v>575000</v>
      </c>
      <c r="C2585" t="s">
        <v>45</v>
      </c>
      <c r="D2585" t="s">
        <v>35</v>
      </c>
      <c r="E2585">
        <v>6574.3641449999996</v>
      </c>
    </row>
    <row r="2586" spans="1:5" x14ac:dyDescent="0.3">
      <c r="A2586">
        <v>95</v>
      </c>
      <c r="B2586">
        <v>575000</v>
      </c>
      <c r="C2586" t="s">
        <v>45</v>
      </c>
      <c r="D2586" t="s">
        <v>36</v>
      </c>
      <c r="E2586">
        <v>2.3507E-2</v>
      </c>
    </row>
    <row r="2587" spans="1:5" x14ac:dyDescent="0.3">
      <c r="A2587">
        <v>95</v>
      </c>
      <c r="B2587">
        <v>575000</v>
      </c>
      <c r="C2587" t="s">
        <v>45</v>
      </c>
      <c r="D2587" t="s">
        <v>37</v>
      </c>
      <c r="E2587">
        <v>71810.783756000004</v>
      </c>
    </row>
    <row r="2588" spans="1:5" x14ac:dyDescent="0.3">
      <c r="A2588">
        <v>95</v>
      </c>
      <c r="B2588">
        <v>575000</v>
      </c>
      <c r="C2588" t="s">
        <v>45</v>
      </c>
      <c r="D2588" t="s">
        <v>38</v>
      </c>
      <c r="E2588">
        <v>0.12637699999999999</v>
      </c>
    </row>
    <row r="2589" spans="1:5" x14ac:dyDescent="0.3">
      <c r="A2589">
        <v>95</v>
      </c>
      <c r="B2589">
        <v>575000</v>
      </c>
      <c r="C2589" t="s">
        <v>45</v>
      </c>
      <c r="D2589" t="s">
        <v>39</v>
      </c>
      <c r="E2589">
        <v>0.124214</v>
      </c>
    </row>
    <row r="2590" spans="1:5" x14ac:dyDescent="0.3">
      <c r="A2590">
        <v>95</v>
      </c>
      <c r="B2590">
        <v>575000</v>
      </c>
      <c r="C2590" t="s">
        <v>45</v>
      </c>
      <c r="D2590" t="s">
        <v>40</v>
      </c>
      <c r="E2590">
        <v>0.17277999999999999</v>
      </c>
    </row>
    <row r="2591" spans="1:5" x14ac:dyDescent="0.3">
      <c r="A2591">
        <v>95</v>
      </c>
      <c r="B2591">
        <v>575000</v>
      </c>
      <c r="C2591" t="s">
        <v>45</v>
      </c>
      <c r="D2591" t="s">
        <v>41</v>
      </c>
      <c r="E2591">
        <v>6.2759999999999996E-2</v>
      </c>
    </row>
    <row r="2592" spans="1:5" x14ac:dyDescent="0.3">
      <c r="A2592">
        <v>95</v>
      </c>
      <c r="B2592">
        <v>575000</v>
      </c>
      <c r="C2592" t="s">
        <v>45</v>
      </c>
      <c r="D2592" t="s">
        <v>42</v>
      </c>
      <c r="E2592">
        <v>2.9975999999999999E-2</v>
      </c>
    </row>
    <row r="2593" spans="1:5" x14ac:dyDescent="0.3">
      <c r="A2593">
        <v>95</v>
      </c>
      <c r="B2593">
        <v>575000</v>
      </c>
      <c r="C2593" t="s">
        <v>45</v>
      </c>
      <c r="D2593" t="s">
        <v>43</v>
      </c>
      <c r="E2593">
        <v>8.3339999999999994E-3</v>
      </c>
    </row>
    <row r="2594" spans="1:5" x14ac:dyDescent="0.3">
      <c r="A2594">
        <v>96</v>
      </c>
      <c r="B2594">
        <v>580000</v>
      </c>
      <c r="C2594" t="s">
        <v>45</v>
      </c>
      <c r="D2594" t="s">
        <v>28</v>
      </c>
      <c r="E2594">
        <v>173172.60840299999</v>
      </c>
    </row>
    <row r="2595" spans="1:5" x14ac:dyDescent="0.3">
      <c r="A2595">
        <v>96</v>
      </c>
      <c r="B2595">
        <v>580000</v>
      </c>
      <c r="C2595" t="s">
        <v>45</v>
      </c>
      <c r="D2595" t="s">
        <v>29</v>
      </c>
      <c r="E2595">
        <v>106417.529914</v>
      </c>
    </row>
    <row r="2596" spans="1:5" x14ac:dyDescent="0.3">
      <c r="A2596">
        <v>96</v>
      </c>
      <c r="B2596">
        <v>580000</v>
      </c>
      <c r="C2596" t="s">
        <v>45</v>
      </c>
      <c r="D2596" t="s">
        <v>30</v>
      </c>
      <c r="E2596">
        <v>76668.634650000007</v>
      </c>
    </row>
    <row r="2597" spans="1:5" x14ac:dyDescent="0.3">
      <c r="A2597">
        <v>96</v>
      </c>
      <c r="B2597">
        <v>580000</v>
      </c>
      <c r="C2597" t="s">
        <v>45</v>
      </c>
      <c r="D2597" t="s">
        <v>31</v>
      </c>
      <c r="E2597">
        <v>0.15554299999999999</v>
      </c>
    </row>
    <row r="2598" spans="1:5" x14ac:dyDescent="0.3">
      <c r="A2598">
        <v>96</v>
      </c>
      <c r="B2598">
        <v>580000</v>
      </c>
      <c r="C2598" t="s">
        <v>45</v>
      </c>
      <c r="D2598" t="s">
        <v>32</v>
      </c>
      <c r="E2598">
        <v>0.128717</v>
      </c>
    </row>
    <row r="2599" spans="1:5" x14ac:dyDescent="0.3">
      <c r="A2599">
        <v>96</v>
      </c>
      <c r="B2599">
        <v>580000</v>
      </c>
      <c r="C2599" t="s">
        <v>45</v>
      </c>
      <c r="D2599" t="s">
        <v>33</v>
      </c>
      <c r="E2599">
        <v>99387.708360999997</v>
      </c>
    </row>
    <row r="2600" spans="1:5" x14ac:dyDescent="0.3">
      <c r="A2600">
        <v>96</v>
      </c>
      <c r="B2600">
        <v>580000</v>
      </c>
      <c r="C2600" t="s">
        <v>45</v>
      </c>
      <c r="D2600" t="s">
        <v>34</v>
      </c>
      <c r="E2600">
        <v>30580.836093999998</v>
      </c>
    </row>
    <row r="2601" spans="1:5" x14ac:dyDescent="0.3">
      <c r="A2601">
        <v>96</v>
      </c>
      <c r="B2601">
        <v>580000</v>
      </c>
      <c r="C2601" t="s">
        <v>45</v>
      </c>
      <c r="D2601" t="s">
        <v>35</v>
      </c>
      <c r="E2601">
        <v>6574.5962220000001</v>
      </c>
    </row>
    <row r="2602" spans="1:5" x14ac:dyDescent="0.3">
      <c r="A2602">
        <v>96</v>
      </c>
      <c r="B2602">
        <v>580000</v>
      </c>
      <c r="C2602" t="s">
        <v>45</v>
      </c>
      <c r="D2602" t="s">
        <v>36</v>
      </c>
      <c r="E2602">
        <v>4.9088E-2</v>
      </c>
    </row>
    <row r="2603" spans="1:5" x14ac:dyDescent="0.3">
      <c r="A2603">
        <v>96</v>
      </c>
      <c r="B2603">
        <v>580000</v>
      </c>
      <c r="C2603" t="s">
        <v>45</v>
      </c>
      <c r="D2603" t="s">
        <v>37</v>
      </c>
      <c r="E2603">
        <v>71810.016921000002</v>
      </c>
    </row>
    <row r="2604" spans="1:5" x14ac:dyDescent="0.3">
      <c r="A2604">
        <v>96</v>
      </c>
      <c r="B2604">
        <v>580000</v>
      </c>
      <c r="C2604" t="s">
        <v>45</v>
      </c>
      <c r="D2604" t="s">
        <v>38</v>
      </c>
      <c r="E2604">
        <v>0.25838299999999997</v>
      </c>
    </row>
    <row r="2605" spans="1:5" x14ac:dyDescent="0.3">
      <c r="A2605">
        <v>96</v>
      </c>
      <c r="B2605">
        <v>580000</v>
      </c>
      <c r="C2605" t="s">
        <v>45</v>
      </c>
      <c r="D2605" t="s">
        <v>39</v>
      </c>
      <c r="E2605">
        <v>0.25448700000000002</v>
      </c>
    </row>
    <row r="2606" spans="1:5" x14ac:dyDescent="0.3">
      <c r="A2606">
        <v>96</v>
      </c>
      <c r="B2606">
        <v>580000</v>
      </c>
      <c r="C2606" t="s">
        <v>45</v>
      </c>
      <c r="D2606" t="s">
        <v>40</v>
      </c>
      <c r="E2606">
        <v>0.36043700000000001</v>
      </c>
    </row>
    <row r="2607" spans="1:5" x14ac:dyDescent="0.3">
      <c r="A2607">
        <v>96</v>
      </c>
      <c r="B2607">
        <v>580000</v>
      </c>
      <c r="C2607" t="s">
        <v>45</v>
      </c>
      <c r="D2607" t="s">
        <v>41</v>
      </c>
      <c r="E2607">
        <v>0.13075400000000001</v>
      </c>
    </row>
    <row r="2608" spans="1:5" x14ac:dyDescent="0.3">
      <c r="A2608">
        <v>96</v>
      </c>
      <c r="B2608">
        <v>580000</v>
      </c>
      <c r="C2608" t="s">
        <v>45</v>
      </c>
      <c r="D2608" t="s">
        <v>42</v>
      </c>
      <c r="E2608">
        <v>6.2674999999999995E-2</v>
      </c>
    </row>
    <row r="2609" spans="1:5" x14ac:dyDescent="0.3">
      <c r="A2609">
        <v>96</v>
      </c>
      <c r="B2609">
        <v>580000</v>
      </c>
      <c r="C2609" t="s">
        <v>45</v>
      </c>
      <c r="D2609" t="s">
        <v>43</v>
      </c>
      <c r="E2609">
        <v>1.7536E-2</v>
      </c>
    </row>
    <row r="2610" spans="1:5" x14ac:dyDescent="0.3">
      <c r="A2610">
        <v>97</v>
      </c>
      <c r="B2610">
        <v>585000</v>
      </c>
      <c r="C2610" t="s">
        <v>45</v>
      </c>
      <c r="D2610" t="s">
        <v>28</v>
      </c>
      <c r="E2610">
        <v>173173.047047</v>
      </c>
    </row>
    <row r="2611" spans="1:5" x14ac:dyDescent="0.3">
      <c r="A2611">
        <v>97</v>
      </c>
      <c r="B2611">
        <v>585000</v>
      </c>
      <c r="C2611" t="s">
        <v>45</v>
      </c>
      <c r="D2611" t="s">
        <v>29</v>
      </c>
      <c r="E2611">
        <v>106418.055936</v>
      </c>
    </row>
    <row r="2612" spans="1:5" x14ac:dyDescent="0.3">
      <c r="A2612">
        <v>97</v>
      </c>
      <c r="B2612">
        <v>585000</v>
      </c>
      <c r="C2612" t="s">
        <v>45</v>
      </c>
      <c r="D2612" t="s">
        <v>30</v>
      </c>
      <c r="E2612">
        <v>76663.778189000004</v>
      </c>
    </row>
    <row r="2613" spans="1:5" x14ac:dyDescent="0.3">
      <c r="A2613">
        <v>97</v>
      </c>
      <c r="B2613">
        <v>585000</v>
      </c>
      <c r="C2613" t="s">
        <v>45</v>
      </c>
      <c r="D2613" t="s">
        <v>31</v>
      </c>
      <c r="E2613">
        <v>3.0981000000000002E-2</v>
      </c>
    </row>
    <row r="2614" spans="1:5" x14ac:dyDescent="0.3">
      <c r="A2614">
        <v>97</v>
      </c>
      <c r="B2614">
        <v>585000</v>
      </c>
      <c r="C2614" t="s">
        <v>45</v>
      </c>
      <c r="D2614" t="s">
        <v>32</v>
      </c>
      <c r="E2614">
        <v>2.5135999999999999E-2</v>
      </c>
    </row>
    <row r="2615" spans="1:5" x14ac:dyDescent="0.3">
      <c r="A2615">
        <v>97</v>
      </c>
      <c r="B2615">
        <v>585000</v>
      </c>
      <c r="C2615" t="s">
        <v>45</v>
      </c>
      <c r="D2615" t="s">
        <v>33</v>
      </c>
      <c r="E2615">
        <v>99387.573969000005</v>
      </c>
    </row>
    <row r="2616" spans="1:5" x14ac:dyDescent="0.3">
      <c r="A2616">
        <v>97</v>
      </c>
      <c r="B2616">
        <v>585000</v>
      </c>
      <c r="C2616" t="s">
        <v>45</v>
      </c>
      <c r="D2616" t="s">
        <v>34</v>
      </c>
      <c r="E2616">
        <v>30585.931796000001</v>
      </c>
    </row>
    <row r="2617" spans="1:5" x14ac:dyDescent="0.3">
      <c r="A2617">
        <v>97</v>
      </c>
      <c r="B2617">
        <v>585000</v>
      </c>
      <c r="C2617" t="s">
        <v>45</v>
      </c>
      <c r="D2617" t="s">
        <v>35</v>
      </c>
      <c r="E2617">
        <v>6574.2547459999996</v>
      </c>
    </row>
    <row r="2618" spans="1:5" x14ac:dyDescent="0.3">
      <c r="A2618">
        <v>97</v>
      </c>
      <c r="B2618">
        <v>585000</v>
      </c>
      <c r="C2618" t="s">
        <v>45</v>
      </c>
      <c r="D2618" t="s">
        <v>36</v>
      </c>
      <c r="E2618">
        <v>9.7990000000000004E-3</v>
      </c>
    </row>
    <row r="2619" spans="1:5" x14ac:dyDescent="0.3">
      <c r="A2619">
        <v>97</v>
      </c>
      <c r="B2619">
        <v>585000</v>
      </c>
      <c r="C2619" t="s">
        <v>45</v>
      </c>
      <c r="D2619" t="s">
        <v>37</v>
      </c>
      <c r="E2619">
        <v>71810.148484000005</v>
      </c>
    </row>
    <row r="2620" spans="1:5" x14ac:dyDescent="0.3">
      <c r="A2620">
        <v>97</v>
      </c>
      <c r="B2620">
        <v>585000</v>
      </c>
      <c r="C2620" t="s">
        <v>45</v>
      </c>
      <c r="D2620" t="s">
        <v>38</v>
      </c>
      <c r="E2620">
        <v>5.1491000000000002E-2</v>
      </c>
    </row>
    <row r="2621" spans="1:5" x14ac:dyDescent="0.3">
      <c r="A2621">
        <v>97</v>
      </c>
      <c r="B2621">
        <v>585000</v>
      </c>
      <c r="C2621" t="s">
        <v>45</v>
      </c>
      <c r="D2621" t="s">
        <v>39</v>
      </c>
      <c r="E2621">
        <v>5.1596999999999997E-2</v>
      </c>
    </row>
    <row r="2622" spans="1:5" x14ac:dyDescent="0.3">
      <c r="A2622">
        <v>97</v>
      </c>
      <c r="B2622">
        <v>585000</v>
      </c>
      <c r="C2622" t="s">
        <v>45</v>
      </c>
      <c r="D2622" t="s">
        <v>40</v>
      </c>
      <c r="E2622">
        <v>7.0969000000000004E-2</v>
      </c>
    </row>
    <row r="2623" spans="1:5" x14ac:dyDescent="0.3">
      <c r="A2623">
        <v>97</v>
      </c>
      <c r="B2623">
        <v>585000</v>
      </c>
      <c r="C2623" t="s">
        <v>45</v>
      </c>
      <c r="D2623" t="s">
        <v>41</v>
      </c>
      <c r="E2623">
        <v>2.6015E-2</v>
      </c>
    </row>
    <row r="2624" spans="1:5" x14ac:dyDescent="0.3">
      <c r="A2624">
        <v>97</v>
      </c>
      <c r="B2624">
        <v>585000</v>
      </c>
      <c r="C2624" t="s">
        <v>45</v>
      </c>
      <c r="D2624" t="s">
        <v>42</v>
      </c>
      <c r="E2624">
        <v>1.2446E-2</v>
      </c>
    </row>
    <row r="2625" spans="1:5" x14ac:dyDescent="0.3">
      <c r="A2625">
        <v>97</v>
      </c>
      <c r="B2625">
        <v>585000</v>
      </c>
      <c r="C2625" t="s">
        <v>45</v>
      </c>
      <c r="D2625" t="s">
        <v>43</v>
      </c>
      <c r="E2625">
        <v>3.4989999999999999E-3</v>
      </c>
    </row>
    <row r="2626" spans="1:5" x14ac:dyDescent="0.3">
      <c r="A2626">
        <v>98</v>
      </c>
      <c r="B2626">
        <v>590000</v>
      </c>
      <c r="C2626" t="s">
        <v>45</v>
      </c>
      <c r="D2626" t="s">
        <v>28</v>
      </c>
      <c r="E2626">
        <v>173172.426282</v>
      </c>
    </row>
    <row r="2627" spans="1:5" x14ac:dyDescent="0.3">
      <c r="A2627">
        <v>98</v>
      </c>
      <c r="B2627">
        <v>590000</v>
      </c>
      <c r="C2627" t="s">
        <v>45</v>
      </c>
      <c r="D2627" t="s">
        <v>29</v>
      </c>
      <c r="E2627">
        <v>106417.664632</v>
      </c>
    </row>
    <row r="2628" spans="1:5" x14ac:dyDescent="0.3">
      <c r="A2628">
        <v>98</v>
      </c>
      <c r="B2628">
        <v>590000</v>
      </c>
      <c r="C2628" t="s">
        <v>45</v>
      </c>
      <c r="D2628" t="s">
        <v>30</v>
      </c>
      <c r="E2628">
        <v>76671.201751999994</v>
      </c>
    </row>
    <row r="2629" spans="1:5" x14ac:dyDescent="0.3">
      <c r="A2629">
        <v>98</v>
      </c>
      <c r="B2629">
        <v>590000</v>
      </c>
      <c r="C2629" t="s">
        <v>45</v>
      </c>
      <c r="D2629" t="s">
        <v>31</v>
      </c>
      <c r="E2629">
        <v>0.15375900000000001</v>
      </c>
    </row>
    <row r="2630" spans="1:5" x14ac:dyDescent="0.3">
      <c r="A2630">
        <v>98</v>
      </c>
      <c r="B2630">
        <v>590000</v>
      </c>
      <c r="C2630" t="s">
        <v>45</v>
      </c>
      <c r="D2630" t="s">
        <v>32</v>
      </c>
      <c r="E2630">
        <v>0.12656300000000001</v>
      </c>
    </row>
    <row r="2631" spans="1:5" x14ac:dyDescent="0.3">
      <c r="A2631">
        <v>98</v>
      </c>
      <c r="B2631">
        <v>590000</v>
      </c>
      <c r="C2631" t="s">
        <v>45</v>
      </c>
      <c r="D2631" t="s">
        <v>33</v>
      </c>
      <c r="E2631">
        <v>99387.458692</v>
      </c>
    </row>
    <row r="2632" spans="1:5" x14ac:dyDescent="0.3">
      <c r="A2632">
        <v>98</v>
      </c>
      <c r="B2632">
        <v>590000</v>
      </c>
      <c r="C2632" t="s">
        <v>45</v>
      </c>
      <c r="D2632" t="s">
        <v>34</v>
      </c>
      <c r="E2632">
        <v>30576.454031000001</v>
      </c>
    </row>
    <row r="2633" spans="1:5" x14ac:dyDescent="0.3">
      <c r="A2633">
        <v>98</v>
      </c>
      <c r="B2633">
        <v>590000</v>
      </c>
      <c r="C2633" t="s">
        <v>45</v>
      </c>
      <c r="D2633" t="s">
        <v>35</v>
      </c>
      <c r="E2633">
        <v>6574.5699299999997</v>
      </c>
    </row>
    <row r="2634" spans="1:5" x14ac:dyDescent="0.3">
      <c r="A2634">
        <v>98</v>
      </c>
      <c r="B2634">
        <v>590000</v>
      </c>
      <c r="C2634" t="s">
        <v>45</v>
      </c>
      <c r="D2634" t="s">
        <v>36</v>
      </c>
      <c r="E2634">
        <v>4.7442999999999999E-2</v>
      </c>
    </row>
    <row r="2635" spans="1:5" x14ac:dyDescent="0.3">
      <c r="A2635">
        <v>98</v>
      </c>
      <c r="B2635">
        <v>590000</v>
      </c>
      <c r="C2635" t="s">
        <v>45</v>
      </c>
      <c r="D2635" t="s">
        <v>37</v>
      </c>
      <c r="E2635">
        <v>71812.117536000005</v>
      </c>
    </row>
    <row r="2636" spans="1:5" x14ac:dyDescent="0.3">
      <c r="A2636">
        <v>98</v>
      </c>
      <c r="B2636">
        <v>590000</v>
      </c>
      <c r="C2636" t="s">
        <v>45</v>
      </c>
      <c r="D2636" t="s">
        <v>38</v>
      </c>
      <c r="E2636">
        <v>0.24931300000000001</v>
      </c>
    </row>
    <row r="2637" spans="1:5" x14ac:dyDescent="0.3">
      <c r="A2637">
        <v>98</v>
      </c>
      <c r="B2637">
        <v>590000</v>
      </c>
      <c r="C2637" t="s">
        <v>45</v>
      </c>
      <c r="D2637" t="s">
        <v>39</v>
      </c>
      <c r="E2637">
        <v>0.255604</v>
      </c>
    </row>
    <row r="2638" spans="1:5" x14ac:dyDescent="0.3">
      <c r="A2638">
        <v>98</v>
      </c>
      <c r="B2638">
        <v>590000</v>
      </c>
      <c r="C2638" t="s">
        <v>45</v>
      </c>
      <c r="D2638" t="s">
        <v>40</v>
      </c>
      <c r="E2638">
        <v>0.345802</v>
      </c>
    </row>
    <row r="2639" spans="1:5" x14ac:dyDescent="0.3">
      <c r="A2639">
        <v>98</v>
      </c>
      <c r="B2639">
        <v>590000</v>
      </c>
      <c r="C2639" t="s">
        <v>45</v>
      </c>
      <c r="D2639" t="s">
        <v>41</v>
      </c>
      <c r="E2639">
        <v>0.12674099999999999</v>
      </c>
    </row>
    <row r="2640" spans="1:5" x14ac:dyDescent="0.3">
      <c r="A2640">
        <v>98</v>
      </c>
      <c r="B2640">
        <v>590000</v>
      </c>
      <c r="C2640" t="s">
        <v>45</v>
      </c>
      <c r="D2640" t="s">
        <v>42</v>
      </c>
      <c r="E2640">
        <v>6.0622000000000002E-2</v>
      </c>
    </row>
    <row r="2641" spans="1:5" x14ac:dyDescent="0.3">
      <c r="A2641">
        <v>98</v>
      </c>
      <c r="B2641">
        <v>590000</v>
      </c>
      <c r="C2641" t="s">
        <v>45</v>
      </c>
      <c r="D2641" t="s">
        <v>43</v>
      </c>
      <c r="E2641">
        <v>1.6868999999999999E-2</v>
      </c>
    </row>
    <row r="2642" spans="1:5" x14ac:dyDescent="0.3">
      <c r="A2642">
        <v>99</v>
      </c>
      <c r="B2642">
        <v>595000</v>
      </c>
      <c r="C2642" t="s">
        <v>45</v>
      </c>
      <c r="D2642" t="s">
        <v>28</v>
      </c>
      <c r="E2642">
        <v>173174.22813199999</v>
      </c>
    </row>
    <row r="2643" spans="1:5" x14ac:dyDescent="0.3">
      <c r="A2643">
        <v>99</v>
      </c>
      <c r="B2643">
        <v>595000</v>
      </c>
      <c r="C2643" t="s">
        <v>45</v>
      </c>
      <c r="D2643" t="s">
        <v>29</v>
      </c>
      <c r="E2643">
        <v>106416.61632</v>
      </c>
    </row>
    <row r="2644" spans="1:5" x14ac:dyDescent="0.3">
      <c r="A2644">
        <v>99</v>
      </c>
      <c r="B2644">
        <v>595000</v>
      </c>
      <c r="C2644" t="s">
        <v>45</v>
      </c>
      <c r="D2644" t="s">
        <v>30</v>
      </c>
      <c r="E2644">
        <v>76674.041521000006</v>
      </c>
    </row>
    <row r="2645" spans="1:5" x14ac:dyDescent="0.3">
      <c r="A2645">
        <v>99</v>
      </c>
      <c r="B2645">
        <v>595000</v>
      </c>
      <c r="C2645" t="s">
        <v>45</v>
      </c>
      <c r="D2645" t="s">
        <v>31</v>
      </c>
      <c r="E2645">
        <v>0.42895499999999998</v>
      </c>
    </row>
    <row r="2646" spans="1:5" x14ac:dyDescent="0.3">
      <c r="A2646">
        <v>99</v>
      </c>
      <c r="B2646">
        <v>595000</v>
      </c>
      <c r="C2646" t="s">
        <v>45</v>
      </c>
      <c r="D2646" t="s">
        <v>32</v>
      </c>
      <c r="E2646">
        <v>0.35435499999999998</v>
      </c>
    </row>
    <row r="2647" spans="1:5" x14ac:dyDescent="0.3">
      <c r="A2647">
        <v>99</v>
      </c>
      <c r="B2647">
        <v>595000</v>
      </c>
      <c r="C2647" t="s">
        <v>45</v>
      </c>
      <c r="D2647" t="s">
        <v>33</v>
      </c>
      <c r="E2647">
        <v>99387.140721999996</v>
      </c>
    </row>
    <row r="2648" spans="1:5" x14ac:dyDescent="0.3">
      <c r="A2648">
        <v>99</v>
      </c>
      <c r="B2648">
        <v>595000</v>
      </c>
      <c r="C2648" t="s">
        <v>45</v>
      </c>
      <c r="D2648" t="s">
        <v>34</v>
      </c>
      <c r="E2648">
        <v>30567.971135</v>
      </c>
    </row>
    <row r="2649" spans="1:5" x14ac:dyDescent="0.3">
      <c r="A2649">
        <v>99</v>
      </c>
      <c r="B2649">
        <v>595000</v>
      </c>
      <c r="C2649" t="s">
        <v>45</v>
      </c>
      <c r="D2649" t="s">
        <v>35</v>
      </c>
      <c r="E2649">
        <v>6575.1345170000004</v>
      </c>
    </row>
    <row r="2650" spans="1:5" x14ac:dyDescent="0.3">
      <c r="A2650">
        <v>99</v>
      </c>
      <c r="B2650">
        <v>595000</v>
      </c>
      <c r="C2650" t="s">
        <v>45</v>
      </c>
      <c r="D2650" t="s">
        <v>36</v>
      </c>
      <c r="E2650">
        <v>0.14538999999999999</v>
      </c>
    </row>
    <row r="2651" spans="1:5" x14ac:dyDescent="0.3">
      <c r="A2651">
        <v>99</v>
      </c>
      <c r="B2651">
        <v>595000</v>
      </c>
      <c r="C2651" t="s">
        <v>45</v>
      </c>
      <c r="D2651" t="s">
        <v>37</v>
      </c>
      <c r="E2651">
        <v>71814.091302999994</v>
      </c>
    </row>
    <row r="2652" spans="1:5" x14ac:dyDescent="0.3">
      <c r="A2652">
        <v>99</v>
      </c>
      <c r="B2652">
        <v>595000</v>
      </c>
      <c r="C2652" t="s">
        <v>45</v>
      </c>
      <c r="D2652" t="s">
        <v>38</v>
      </c>
      <c r="E2652">
        <v>0.73412699999999997</v>
      </c>
    </row>
    <row r="2653" spans="1:5" x14ac:dyDescent="0.3">
      <c r="A2653">
        <v>99</v>
      </c>
      <c r="B2653">
        <v>595000</v>
      </c>
      <c r="C2653" t="s">
        <v>45</v>
      </c>
      <c r="D2653" t="s">
        <v>39</v>
      </c>
      <c r="E2653">
        <v>0.77556499999999995</v>
      </c>
    </row>
    <row r="2654" spans="1:5" x14ac:dyDescent="0.3">
      <c r="A2654">
        <v>99</v>
      </c>
      <c r="B2654">
        <v>595000</v>
      </c>
      <c r="C2654" t="s">
        <v>45</v>
      </c>
      <c r="D2654" t="s">
        <v>40</v>
      </c>
      <c r="E2654">
        <v>1.0078400000000001</v>
      </c>
    </row>
    <row r="2655" spans="1:5" x14ac:dyDescent="0.3">
      <c r="A2655">
        <v>99</v>
      </c>
      <c r="B2655">
        <v>595000</v>
      </c>
      <c r="C2655" t="s">
        <v>45</v>
      </c>
      <c r="D2655" t="s">
        <v>41</v>
      </c>
      <c r="E2655">
        <v>0.37198700000000001</v>
      </c>
    </row>
    <row r="2656" spans="1:5" x14ac:dyDescent="0.3">
      <c r="A2656">
        <v>99</v>
      </c>
      <c r="B2656">
        <v>595000</v>
      </c>
      <c r="C2656" t="s">
        <v>45</v>
      </c>
      <c r="D2656" t="s">
        <v>42</v>
      </c>
      <c r="E2656">
        <v>0.18340000000000001</v>
      </c>
    </row>
    <row r="2657" spans="1:5" x14ac:dyDescent="0.3">
      <c r="A2657">
        <v>99</v>
      </c>
      <c r="B2657">
        <v>595000</v>
      </c>
      <c r="C2657" t="s">
        <v>45</v>
      </c>
      <c r="D2657" t="s">
        <v>43</v>
      </c>
      <c r="E2657">
        <v>4.9442E-2</v>
      </c>
    </row>
    <row r="2658" spans="1:5" x14ac:dyDescent="0.3">
      <c r="A2658">
        <v>100</v>
      </c>
      <c r="B2658">
        <v>600000</v>
      </c>
      <c r="C2658" t="s">
        <v>45</v>
      </c>
      <c r="D2658" t="s">
        <v>28</v>
      </c>
      <c r="E2658">
        <v>173173.486539</v>
      </c>
    </row>
    <row r="2659" spans="1:5" x14ac:dyDescent="0.3">
      <c r="A2659">
        <v>100</v>
      </c>
      <c r="B2659">
        <v>600000</v>
      </c>
      <c r="C2659" t="s">
        <v>45</v>
      </c>
      <c r="D2659" t="s">
        <v>29</v>
      </c>
      <c r="E2659">
        <v>106416.377227</v>
      </c>
    </row>
    <row r="2660" spans="1:5" x14ac:dyDescent="0.3">
      <c r="A2660">
        <v>100</v>
      </c>
      <c r="B2660">
        <v>600000</v>
      </c>
      <c r="C2660" t="s">
        <v>45</v>
      </c>
      <c r="D2660" t="s">
        <v>30</v>
      </c>
      <c r="E2660">
        <v>76683.699838</v>
      </c>
    </row>
    <row r="2661" spans="1:5" x14ac:dyDescent="0.3">
      <c r="A2661">
        <v>100</v>
      </c>
      <c r="B2661">
        <v>600000</v>
      </c>
      <c r="C2661" t="s">
        <v>45</v>
      </c>
      <c r="D2661" t="s">
        <v>31</v>
      </c>
      <c r="E2661">
        <v>0.423209</v>
      </c>
    </row>
    <row r="2662" spans="1:5" x14ac:dyDescent="0.3">
      <c r="A2662">
        <v>100</v>
      </c>
      <c r="B2662">
        <v>600000</v>
      </c>
      <c r="C2662" t="s">
        <v>45</v>
      </c>
      <c r="D2662" t="s">
        <v>32</v>
      </c>
      <c r="E2662">
        <v>0.35071799999999997</v>
      </c>
    </row>
    <row r="2663" spans="1:5" x14ac:dyDescent="0.3">
      <c r="A2663">
        <v>100</v>
      </c>
      <c r="B2663">
        <v>600000</v>
      </c>
      <c r="C2663" t="s">
        <v>45</v>
      </c>
      <c r="D2663" t="s">
        <v>33</v>
      </c>
      <c r="E2663">
        <v>99387.395602999997</v>
      </c>
    </row>
    <row r="2664" spans="1:5" x14ac:dyDescent="0.3">
      <c r="A2664">
        <v>100</v>
      </c>
      <c r="B2664">
        <v>600000</v>
      </c>
      <c r="C2664" t="s">
        <v>45</v>
      </c>
      <c r="D2664" t="s">
        <v>34</v>
      </c>
      <c r="E2664">
        <v>30565.606699</v>
      </c>
    </row>
    <row r="2665" spans="1:5" x14ac:dyDescent="0.3">
      <c r="A2665">
        <v>100</v>
      </c>
      <c r="B2665">
        <v>600000</v>
      </c>
      <c r="C2665" t="s">
        <v>45</v>
      </c>
      <c r="D2665" t="s">
        <v>35</v>
      </c>
      <c r="E2665">
        <v>6575.3185430000003</v>
      </c>
    </row>
    <row r="2666" spans="1:5" x14ac:dyDescent="0.3">
      <c r="A2666">
        <v>100</v>
      </c>
      <c r="B2666">
        <v>600000</v>
      </c>
      <c r="C2666" t="s">
        <v>45</v>
      </c>
      <c r="D2666" t="s">
        <v>36</v>
      </c>
      <c r="E2666">
        <v>0.14033100000000001</v>
      </c>
    </row>
    <row r="2667" spans="1:5" x14ac:dyDescent="0.3">
      <c r="A2667">
        <v>100</v>
      </c>
      <c r="B2667">
        <v>600000</v>
      </c>
      <c r="C2667" t="s">
        <v>45</v>
      </c>
      <c r="D2667" t="s">
        <v>37</v>
      </c>
      <c r="E2667">
        <v>71807.869292999996</v>
      </c>
    </row>
    <row r="2668" spans="1:5" x14ac:dyDescent="0.3">
      <c r="A2668">
        <v>100</v>
      </c>
      <c r="B2668">
        <v>600000</v>
      </c>
      <c r="C2668" t="s">
        <v>45</v>
      </c>
      <c r="D2668" t="s">
        <v>38</v>
      </c>
      <c r="E2668">
        <v>0.77154</v>
      </c>
    </row>
    <row r="2669" spans="1:5" x14ac:dyDescent="0.3">
      <c r="A2669">
        <v>100</v>
      </c>
      <c r="B2669">
        <v>600000</v>
      </c>
      <c r="C2669" t="s">
        <v>45</v>
      </c>
      <c r="D2669" t="s">
        <v>39</v>
      </c>
      <c r="E2669">
        <v>0.88413299999999995</v>
      </c>
    </row>
    <row r="2670" spans="1:5" x14ac:dyDescent="0.3">
      <c r="A2670">
        <v>100</v>
      </c>
      <c r="B2670">
        <v>600000</v>
      </c>
      <c r="C2670" t="s">
        <v>45</v>
      </c>
      <c r="D2670" t="s">
        <v>40</v>
      </c>
      <c r="E2670">
        <v>1.0800510000000001</v>
      </c>
    </row>
    <row r="2671" spans="1:5" x14ac:dyDescent="0.3">
      <c r="A2671">
        <v>100</v>
      </c>
      <c r="B2671">
        <v>600000</v>
      </c>
      <c r="C2671" t="s">
        <v>45</v>
      </c>
      <c r="D2671" t="s">
        <v>41</v>
      </c>
      <c r="E2671">
        <v>0.37441099999999999</v>
      </c>
    </row>
    <row r="2672" spans="1:5" x14ac:dyDescent="0.3">
      <c r="A2672">
        <v>100</v>
      </c>
      <c r="B2672">
        <v>600000</v>
      </c>
      <c r="C2672" t="s">
        <v>45</v>
      </c>
      <c r="D2672" t="s">
        <v>42</v>
      </c>
      <c r="E2672">
        <v>0.176538</v>
      </c>
    </row>
    <row r="2673" spans="1:5" x14ac:dyDescent="0.3">
      <c r="A2673">
        <v>100</v>
      </c>
      <c r="B2673">
        <v>600000</v>
      </c>
      <c r="C2673" t="s">
        <v>45</v>
      </c>
      <c r="D2673" t="s">
        <v>43</v>
      </c>
      <c r="E2673">
        <v>4.3851000000000001E-2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Resources 2050</vt:lpstr>
      <vt:lpstr>Results HIGH</vt:lpstr>
      <vt:lpstr>Results MED</vt:lpstr>
      <vt:lpstr>Results LOW</vt:lpstr>
      <vt:lpstr>Graphs</vt:lpstr>
      <vt:lpstr>runs</vt:lpstr>
      <vt:lpstr>segments</vt:lpstr>
      <vt:lpstr>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CHAMBOST DE LEPIN Etienne</cp:lastModifiedBy>
  <dcterms:created xsi:type="dcterms:W3CDTF">2026-02-02T14:43:29Z</dcterms:created>
  <dcterms:modified xsi:type="dcterms:W3CDTF">2026-02-16T17:20:56Z</dcterms:modified>
</cp:coreProperties>
</file>